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ink/ink1.xml" ContentType="application/inkml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https://feedu-my.sharepoint.com/personal/huonglh3_fe_edu_vn/Documents/Nganh SE/SWP490_Luan van tot nghiep/SWP490_Templates _ Samples _ student guide/Project Reports/"/>
    </mc:Choice>
  </mc:AlternateContent>
  <xr:revisionPtr revIDLastSave="16" documentId="11_F2720A8ED0C6A3596E6CDFA91348C23BF3D69C5D" xr6:coauthVersionLast="47" xr6:coauthVersionMax="47" xr10:uidLastSave="{D7C6A2AB-AC16-984D-96F0-98C44140AE5A}"/>
  <bookViews>
    <workbookView xWindow="828" yWindow="-108" windowWidth="22320" windowHeight="13176" tabRatio="821" activeTab="2" xr2:uid="{00000000-000D-0000-FFFF-FFFF00000000}"/>
  </bookViews>
  <sheets>
    <sheet name="Cover" sheetId="1" r:id="rId1"/>
    <sheet name="Test case List" sheetId="2" r:id="rId2"/>
    <sheet name="Feature1" sheetId="3" r:id="rId3"/>
    <sheet name="Feature2" sheetId="7" r:id="rId4"/>
    <sheet name="Test Report" sheetId="5" r:id="rId5"/>
  </sheets>
  <definedNames>
    <definedName name="_xlnm._FilterDatabase" localSheetId="2" hidden="1">Feature1!$A$8:$J$16</definedName>
    <definedName name="_xlnm._FilterDatabase" localSheetId="3" hidden="1">Feature2!$A$8:$I$16</definedName>
    <definedName name="ACTION" localSheetId="3">#REF!</definedName>
    <definedName name="ACTION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E12" i="5"/>
  <c r="G12" i="5"/>
  <c r="C12" i="5"/>
  <c r="D12" i="5"/>
  <c r="A17" i="7"/>
  <c r="A15" i="7"/>
  <c r="A14" i="7"/>
  <c r="A12" i="7"/>
  <c r="A11" i="7"/>
  <c r="A10" i="7"/>
  <c r="D6" i="7"/>
  <c r="B6" i="7"/>
  <c r="A6" i="7"/>
  <c r="E6" i="7"/>
  <c r="D6" i="3"/>
  <c r="G11" i="5"/>
  <c r="G14" i="5"/>
  <c r="B6" i="3"/>
  <c r="E11" i="5"/>
  <c r="A6" i="3"/>
  <c r="D11" i="5"/>
  <c r="C6" i="1"/>
  <c r="A15" i="3"/>
  <c r="A17" i="3"/>
  <c r="D3" i="2"/>
  <c r="D4" i="2"/>
  <c r="C5" i="5"/>
  <c r="C11" i="5"/>
  <c r="C6" i="7"/>
  <c r="F12" i="5"/>
  <c r="H12" i="5"/>
  <c r="D14" i="5"/>
  <c r="E14" i="5"/>
  <c r="F6" i="3"/>
  <c r="C6" i="3"/>
  <c r="F11" i="5"/>
  <c r="H11" i="5"/>
  <c r="H14" i="5"/>
  <c r="E16" i="5"/>
  <c r="F14" i="5"/>
  <c r="E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00000000-0006-0000-02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<sst xmlns="http://schemas.openxmlformats.org/spreadsheetml/2006/main" count="140" uniqueCount="85">
  <si>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</si>
  <si>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</si>
  <si>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</si>
  <si>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</si>
  <si>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</si>
  <si>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</si>
  <si>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</si>
  <si>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</si>
  <si>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</si>
  <si>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</si>
  <si>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</si>
  <si>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</si>
  <si>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</si>
  <si>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</si>
  <si>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</si>
  <si>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</si>
  <si>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</si>
  <si>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</si>
  <si>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</si>
  <si>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</si>
  <si>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</si>
  <si>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</si>
  <si>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</si>
  <si>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</si>
  <si>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</si>
  <si>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</si>
  <si>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</si>
  <si>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</si>
  <si>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</si>
  <si>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</si>
  <si>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</si>
  <si>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</si>
  <si>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</si>
  <si>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</si>
  <si>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</si>
  <si>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</si>
  <si>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</si>
  <si>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</si>
  <si>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</si>
  <si>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</si>
  <si>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Inter-test case Dependence</t>
  </si>
  <si>
    <t>Result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</si>
  <si>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</si>
  <si>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</si>
  <si>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</si>
  <si>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</si>
  <si>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</si>
  <si>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</si>
  <si>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</si>
  <si>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</si>
  <si>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</si>
  <si>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</si>
  <si>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</si>
  <si>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</si>
  <si>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</si>
  <si>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</si>
  <si>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</si>
  <si>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</si>
  <si>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</si>
  <si>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</si>
  <si>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</si>
  <si>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</si>
  <si>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</si>
  <si>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</si>
  <si>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Expected Results</t>
  </si>
  <si>
    <t>Reference Document</t>
  </si>
  <si>
    <t>Function A (each function includes multiple test cases to check User Interface (GUI), Data Validation (GUI), Functionality, Non-Functionality,..)</t>
  </si>
  <si>
    <t>Function B (each function includes multiple test cases to check User Interface (GUI), Data Validation (GUI), Functionality, Non-Functionality,..)</t>
  </si>
  <si>
    <t>Function C (each function includes multiple test cases to check User Interface (GUI), Data Validation (GUI), Functionality, Non-Functionality,..)</t>
  </si>
  <si>
    <t>SYSTEM TEST CASE</t>
  </si>
  <si>
    <t>Test Case Procedure</t>
  </si>
  <si>
    <t>Feature1</t>
  </si>
  <si>
    <t>Feature2</t>
  </si>
  <si>
    <t>Feature</t>
  </si>
  <si>
    <t>&lt;Feature Name1&gt;</t>
  </si>
  <si>
    <t>&lt;Feature Name2&gt;</t>
  </si>
  <si>
    <t>Login (each function includes multiple test cases to check User Interface (GUI), Data Validation (GUI), Functionality, Non-Functionality,..)</t>
  </si>
  <si>
    <t>Login - 1</t>
  </si>
  <si>
    <t>Login - 2</t>
  </si>
  <si>
    <t>Login -3</t>
  </si>
  <si>
    <t>Kiểm thử đăng nhập thành công</t>
  </si>
  <si>
    <t>1. Truy cập vào website
2. Click vào nút login.
3. Điển username: huonglh
4. Điền password: 123
5. Click nút sign…</t>
  </si>
  <si>
    <t>1. Nhận được thông báo "đăng nhập thành công"
2. Được chuyển sang trang chủ.</t>
  </si>
  <si>
    <t>Actual Results</t>
  </si>
  <si>
    <t>- Tài khoản phải tồn tại và không bị deactive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</si>
</sst>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3" x14ac:knownFonts="1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b/>
      <sz val="8"/>
      <color indexed="8"/>
      <name val="Times New Roman"/>
      <family val="1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charset val="128"/>
    </font>
    <font>
      <b/>
      <i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21" fillId="0" borderId="0"/>
    <xf numFmtId="0" fontId="21" fillId="0" borderId="0"/>
    <xf numFmtId="0" fontId="1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2" fillId="2" borderId="0" xfId="0" applyFont="1" applyFill="1"/>
    <xf numFmtId="0" fontId="6" fillId="2" borderId="1" xfId="0" applyFont="1" applyFill="1" applyBorder="1" applyAlignment="1">
      <alignment horizontal="left"/>
    </xf>
    <xf numFmtId="0" fontId="2" fillId="0" borderId="2" xfId="0" applyFont="1" applyBorder="1"/>
    <xf numFmtId="0" fontId="6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indent="1"/>
    </xf>
    <xf numFmtId="0" fontId="6" fillId="2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7" fillId="0" borderId="6" xfId="0" applyFont="1" applyBorder="1" applyAlignment="1">
      <alignment vertical="top" wrapText="1"/>
    </xf>
    <xf numFmtId="49" fontId="2" fillId="0" borderId="7" xfId="0" applyNumberFormat="1" applyFont="1" applyBorder="1" applyAlignment="1">
      <alignment vertical="top"/>
    </xf>
    <xf numFmtId="0" fontId="2" fillId="0" borderId="7" xfId="0" applyFont="1" applyBorder="1" applyAlignment="1">
      <alignment vertical="top"/>
    </xf>
    <xf numFmtId="15" fontId="2" fillId="0" borderId="7" xfId="0" applyNumberFormat="1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164" fontId="2" fillId="0" borderId="6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64" fontId="2" fillId="0" borderId="9" xfId="0" applyNumberFormat="1" applyFont="1" applyBorder="1" applyAlignment="1">
      <alignment vertical="top"/>
    </xf>
    <xf numFmtId="49" fontId="2" fillId="0" borderId="10" xfId="0" applyNumberFormat="1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6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8" fillId="4" borderId="3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4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6" fillId="2" borderId="0" xfId="0" applyFont="1" applyFill="1"/>
    <xf numFmtId="0" fontId="16" fillId="2" borderId="0" xfId="0" applyFont="1" applyFill="1" applyAlignment="1">
      <alignment wrapText="1"/>
    </xf>
    <xf numFmtId="0" fontId="17" fillId="2" borderId="0" xfId="0" applyFont="1" applyFill="1"/>
    <xf numFmtId="0" fontId="2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12" fillId="2" borderId="0" xfId="3" applyFont="1" applyFill="1" applyAlignment="1">
      <alignment horizontal="center" vertical="center" wrapText="1"/>
    </xf>
    <xf numFmtId="0" fontId="13" fillId="5" borderId="13" xfId="3" applyFont="1" applyFill="1" applyBorder="1" applyAlignment="1">
      <alignment horizontal="left" vertical="center"/>
    </xf>
    <xf numFmtId="0" fontId="13" fillId="5" borderId="14" xfId="3" applyFont="1" applyFill="1" applyBorder="1" applyAlignment="1">
      <alignment horizontal="left" vertical="center"/>
    </xf>
    <xf numFmtId="0" fontId="13" fillId="5" borderId="2" xfId="3" applyFont="1" applyFill="1" applyBorder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7" fillId="2" borderId="1" xfId="3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6" fillId="2" borderId="0" xfId="0" applyFont="1" applyFill="1" applyAlignment="1">
      <alignment vertical="top" wrapText="1"/>
    </xf>
    <xf numFmtId="0" fontId="17" fillId="2" borderId="0" xfId="0" applyFont="1" applyFill="1" applyAlignment="1">
      <alignment vertical="top"/>
    </xf>
    <xf numFmtId="0" fontId="17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3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6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top"/>
    </xf>
    <xf numFmtId="0" fontId="7" fillId="2" borderId="0" xfId="2" applyFont="1" applyFill="1"/>
    <xf numFmtId="0" fontId="2" fillId="2" borderId="15" xfId="0" applyFont="1" applyFill="1" applyBorder="1"/>
    <xf numFmtId="0" fontId="8" fillId="3" borderId="16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9" fillId="3" borderId="21" xfId="0" applyFont="1" applyFill="1" applyBorder="1" applyAlignment="1">
      <alignment horizontal="center"/>
    </xf>
    <xf numFmtId="0" fontId="8" fillId="3" borderId="10" xfId="0" applyFont="1" applyFill="1" applyBorder="1"/>
    <xf numFmtId="0" fontId="19" fillId="3" borderId="10" xfId="0" applyFont="1" applyFill="1" applyBorder="1" applyAlignment="1">
      <alignment horizontal="center"/>
    </xf>
    <xf numFmtId="0" fontId="19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2" fontId="20" fillId="2" borderId="0" xfId="0" applyNumberFormat="1" applyFont="1" applyFill="1" applyAlignment="1">
      <alignment horizontal="right" wrapText="1"/>
    </xf>
    <xf numFmtId="0" fontId="7" fillId="2" borderId="0" xfId="3" applyFont="1" applyFill="1" applyAlignment="1">
      <alignment horizontal="left" wrapText="1"/>
    </xf>
    <xf numFmtId="0" fontId="11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3" fillId="5" borderId="23" xfId="3" applyFont="1" applyFill="1" applyBorder="1" applyAlignment="1">
      <alignment horizontal="left" vertical="center"/>
    </xf>
    <xf numFmtId="0" fontId="13" fillId="5" borderId="24" xfId="3" applyFont="1" applyFill="1" applyBorder="1" applyAlignment="1">
      <alignment horizontal="left" vertical="center"/>
    </xf>
    <xf numFmtId="0" fontId="13" fillId="5" borderId="25" xfId="3" applyFont="1" applyFill="1" applyBorder="1" applyAlignment="1">
      <alignment horizontal="left" vertical="center"/>
    </xf>
    <xf numFmtId="0" fontId="7" fillId="2" borderId="0" xfId="3" applyFont="1" applyFill="1" applyAlignment="1">
      <alignment wrapText="1"/>
    </xf>
    <xf numFmtId="0" fontId="22" fillId="2" borderId="1" xfId="3" applyFont="1" applyFill="1" applyBorder="1" applyAlignment="1">
      <alignment horizontal="center" vertical="top" wrapText="1"/>
    </xf>
    <xf numFmtId="0" fontId="13" fillId="2" borderId="27" xfId="3" applyFont="1" applyFill="1" applyBorder="1" applyAlignment="1">
      <alignment vertical="top" wrapText="1"/>
    </xf>
    <xf numFmtId="0" fontId="13" fillId="2" borderId="31" xfId="3" applyFont="1" applyFill="1" applyBorder="1" applyAlignment="1">
      <alignment vertical="top" wrapText="1"/>
    </xf>
    <xf numFmtId="0" fontId="22" fillId="2" borderId="31" xfId="3" applyFont="1" applyFill="1" applyBorder="1" applyAlignment="1">
      <alignment horizontal="center" vertical="top" wrapText="1"/>
    </xf>
    <xf numFmtId="0" fontId="2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5" xfId="3" applyFont="1" applyFill="1" applyBorder="1" applyAlignment="1">
      <alignment horizontal="center" vertical="top" wrapText="1"/>
    </xf>
    <xf numFmtId="0" fontId="2" fillId="2" borderId="36" xfId="3" applyFont="1" applyFill="1" applyBorder="1" applyAlignment="1">
      <alignment horizontal="center" vertical="top" wrapText="1"/>
    </xf>
    <xf numFmtId="0" fontId="8" fillId="6" borderId="26" xfId="3" applyFont="1" applyFill="1" applyBorder="1" applyAlignment="1">
      <alignment horizontal="center" vertical="center" wrapText="1"/>
    </xf>
    <xf numFmtId="0" fontId="22" fillId="2" borderId="13" xfId="3" applyFont="1" applyFill="1" applyBorder="1" applyAlignment="1">
      <alignment horizontal="center" vertical="top" wrapText="1"/>
    </xf>
    <xf numFmtId="0" fontId="2" fillId="2" borderId="37" xfId="3" applyFont="1" applyFill="1" applyBorder="1" applyAlignment="1">
      <alignment horizontal="center" vertical="top" wrapText="1"/>
    </xf>
    <xf numFmtId="0" fontId="7" fillId="2" borderId="1" xfId="0" quotePrefix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" fontId="6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 wrapText="1"/>
    </xf>
    <xf numFmtId="1" fontId="6" fillId="2" borderId="13" xfId="0" applyNumberFormat="1" applyFont="1" applyFill="1" applyBorder="1"/>
    <xf numFmtId="0" fontId="7" fillId="2" borderId="1" xfId="0" applyFont="1" applyFill="1" applyBorder="1" applyAlignment="1">
      <alignment horizontal="left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30" xfId="3" applyFont="1" applyFill="1" applyBorder="1" applyAlignment="1">
      <alignment horizontal="left" vertical="top" wrapText="1"/>
    </xf>
    <xf numFmtId="0" fontId="2" fillId="2" borderId="13" xfId="3" applyFont="1" applyFill="1" applyBorder="1" applyAlignment="1">
      <alignment horizontal="left" vertical="top" wrapText="1"/>
    </xf>
    <xf numFmtId="0" fontId="2" fillId="2" borderId="14" xfId="3" applyFont="1" applyFill="1" applyBorder="1" applyAlignment="1">
      <alignment horizontal="left" vertical="top" wrapText="1"/>
    </xf>
    <xf numFmtId="0" fontId="2" fillId="2" borderId="32" xfId="3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/>
    </xf>
    <xf numFmtId="0" fontId="7" fillId="2" borderId="1" xfId="2" applyFont="1" applyFill="1" applyBorder="1" applyAlignment="1">
      <alignment vertical="top"/>
    </xf>
    <xf numFmtId="0" fontId="5" fillId="2" borderId="0" xfId="2" applyFont="1" applyFill="1" applyAlignment="1">
      <alignment horizontal="center"/>
    </xf>
  </cellXfs>
  <cellStyles count="5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525780</xdr:colOff>
      <xdr:row>1</xdr:row>
      <xdr:rowOff>99060</xdr:rowOff>
    </xdr:from>
    <xdr:to>
      <xdr:col>3</xdr:col>
      <xdr:colOff>464820</xdr:colOff>
      <xdr:row>1</xdr:row>
      <xdr:rowOff>800100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266700"/>
          <a:ext cx="192024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1130200</xdr:colOff>
      <xdr:row>8</xdr:row>
      <xdr:rowOff>93067</xdr:rowOff>
    </xdr:from>
    <xdr:to>
      <xdr:col>3</xdr:col>
      <xdr:colOff>1143160</xdr:colOff>
      <xdr:row>8</xdr:row>
      <xdr:rowOff>97747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699DE7A-C1CA-AAD0-7D79-77FF69C24BAD}"/>
                </a:ext>
              </a:extLst>
            </xdr14:cNvPr>
            <xdr14:cNvContentPartPr/>
          </xdr14:nvContentPartPr>
          <xdr14:nvPr macro=""/>
          <xdr14:xfrm>
            <a:off x="3898800" y="2599200"/>
            <a:ext cx="12960" cy="4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699DE7A-C1CA-AAD0-7D79-77FF69C24B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83320" y="2583720"/>
              <a:ext cx="43560" cy="34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4T14:12:40.315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36 12 12287,'-12'-5'0,"5"3"0,1-3 0,2 5 0,3 0 0,-5 0 0,6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workbookViewId="0">
      <selection activeCell="E13" sqref="E13"/>
    </sheetView>
  </sheetViews>
  <sheetFormatPr defaultColWidth="8.99609375" defaultRowHeight="12.75" x14ac:dyDescent="0.15"/>
  <cols>
    <col min="1" max="1" width="2.31640625" style="1" customWidth="1"/>
    <col min="2" max="2" width="19.6328125" style="2" customWidth="1"/>
    <col min="3" max="3" width="9.1328125" style="1" customWidth="1"/>
    <col min="4" max="4" width="14.453125" style="1" customWidth="1"/>
    <col min="5" max="5" width="8.04296875" style="1" customWidth="1"/>
    <col min="6" max="7" width="31.08984375" style="1" customWidth="1"/>
    <col min="8" max="16384" width="8.99609375" style="1"/>
  </cols>
  <sheetData>
    <row r="2" spans="1:7" s="4" customFormat="1" ht="75.75" customHeight="1" x14ac:dyDescent="0.1">
      <c r="A2" s="3"/>
      <c r="B2" s="125"/>
      <c r="C2" s="126"/>
      <c r="D2" s="127"/>
      <c r="E2" s="128" t="s">
        <v>69</v>
      </c>
      <c r="F2" s="129"/>
      <c r="G2" s="130"/>
    </row>
    <row r="3" spans="1:7" x14ac:dyDescent="0.15">
      <c r="B3" s="5"/>
      <c r="C3" s="6"/>
      <c r="F3" s="7"/>
    </row>
    <row r="4" spans="1:7" ht="14.25" customHeight="1" x14ac:dyDescent="0.15">
      <c r="B4" s="8" t="s">
        <v>0</v>
      </c>
      <c r="C4" s="122" t="s">
        <v>1</v>
      </c>
      <c r="D4" s="122"/>
      <c r="E4" s="122"/>
      <c r="F4" s="8" t="s">
        <v>2</v>
      </c>
      <c r="G4" s="9"/>
    </row>
    <row r="5" spans="1:7" ht="14.25" customHeight="1" x14ac:dyDescent="0.15">
      <c r="B5" s="8" t="s">
        <v>3</v>
      </c>
      <c r="C5" s="122" t="s">
        <v>4</v>
      </c>
      <c r="D5" s="122"/>
      <c r="E5" s="122"/>
      <c r="F5" s="8" t="s">
        <v>5</v>
      </c>
      <c r="G5" s="9"/>
    </row>
    <row r="6" spans="1:7" ht="15.75" customHeight="1" x14ac:dyDescent="0.15">
      <c r="B6" s="123" t="s">
        <v>6</v>
      </c>
      <c r="C6" s="124" t="str">
        <f>C5&amp;"_"&amp;"XXX"&amp;"_"&amp;"vx.x"</f>
        <v>&lt;Project Code&gt;_XXX_vx.x</v>
      </c>
      <c r="D6" s="124"/>
      <c r="E6" s="124"/>
      <c r="F6" s="8" t="s">
        <v>7</v>
      </c>
      <c r="G6" s="11"/>
    </row>
    <row r="7" spans="1:7" ht="13.5" customHeight="1" x14ac:dyDescent="0.15">
      <c r="B7" s="123"/>
      <c r="C7" s="124"/>
      <c r="D7" s="124"/>
      <c r="E7" s="124"/>
      <c r="F7" s="8" t="s">
        <v>8</v>
      </c>
      <c r="G7" s="11"/>
    </row>
    <row r="8" spans="1:7" x14ac:dyDescent="0.15">
      <c r="B8" s="12"/>
      <c r="C8" s="13"/>
      <c r="F8" s="5"/>
      <c r="G8" s="6"/>
    </row>
    <row r="10" spans="1:7" x14ac:dyDescent="0.15">
      <c r="B10" s="14" t="s">
        <v>9</v>
      </c>
    </row>
    <row r="11" spans="1:7" s="15" customFormat="1" x14ac:dyDescent="0.1">
      <c r="B11" s="16" t="s">
        <v>10</v>
      </c>
      <c r="C11" s="17" t="s">
        <v>8</v>
      </c>
      <c r="D11" s="17" t="s">
        <v>11</v>
      </c>
      <c r="E11" s="17" t="s">
        <v>12</v>
      </c>
      <c r="F11" s="17" t="s">
        <v>13</v>
      </c>
      <c r="G11" s="18" t="s">
        <v>14</v>
      </c>
    </row>
    <row r="12" spans="1:7" s="19" customFormat="1" ht="24.75" x14ac:dyDescent="0.15">
      <c r="B12" s="20" t="s">
        <v>15</v>
      </c>
      <c r="C12" s="21"/>
      <c r="D12" s="22"/>
      <c r="E12" s="22"/>
      <c r="F12" s="23"/>
      <c r="G12" s="24" t="s">
        <v>63</v>
      </c>
    </row>
    <row r="13" spans="1:7" s="19" customFormat="1" ht="21.75" customHeight="1" x14ac:dyDescent="0.1">
      <c r="B13" s="25"/>
      <c r="C13" s="21"/>
      <c r="D13" s="22"/>
      <c r="E13" s="22"/>
      <c r="F13" s="22"/>
      <c r="G13" s="26"/>
    </row>
    <row r="14" spans="1:7" s="19" customFormat="1" ht="19.5" customHeight="1" x14ac:dyDescent="0.1">
      <c r="B14" s="25"/>
      <c r="C14" s="21"/>
      <c r="D14" s="22"/>
      <c r="E14" s="22"/>
      <c r="F14" s="22"/>
      <c r="G14" s="26"/>
    </row>
    <row r="15" spans="1:7" s="19" customFormat="1" ht="21.75" customHeight="1" x14ac:dyDescent="0.1">
      <c r="B15" s="25"/>
      <c r="C15" s="21"/>
      <c r="D15" s="22"/>
      <c r="E15" s="22"/>
      <c r="F15" s="22"/>
      <c r="G15" s="26"/>
    </row>
    <row r="16" spans="1:7" s="19" customFormat="1" ht="19.5" customHeight="1" x14ac:dyDescent="0.1">
      <c r="B16" s="25"/>
      <c r="C16" s="21"/>
      <c r="D16" s="22"/>
      <c r="E16" s="22"/>
      <c r="F16" s="22"/>
      <c r="G16" s="26"/>
    </row>
    <row r="17" spans="2:7" s="19" customFormat="1" ht="21.75" customHeight="1" x14ac:dyDescent="0.1">
      <c r="B17" s="25"/>
      <c r="C17" s="21"/>
      <c r="D17" s="22"/>
      <c r="E17" s="22"/>
      <c r="F17" s="22"/>
      <c r="G17" s="26"/>
    </row>
    <row r="18" spans="2:7" s="19" customFormat="1" ht="19.5" customHeight="1" x14ac:dyDescent="0.1">
      <c r="B18" s="27"/>
      <c r="C18" s="28"/>
      <c r="D18" s="29"/>
      <c r="E18" s="29"/>
      <c r="F18" s="29"/>
      <c r="G18" s="30"/>
    </row>
  </sheetData>
  <mergeCells count="6">
    <mergeCell ref="C4:E4"/>
    <mergeCell ref="C5:E5"/>
    <mergeCell ref="B6:B7"/>
    <mergeCell ref="C6:E7"/>
    <mergeCell ref="B2:D2"/>
    <mergeCell ref="E2:G2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use&amp;R&amp;"tahomaTahoma,Regular"&amp;8&amp;P/&amp;N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topLeftCell="B1" workbookViewId="0">
      <selection activeCell="C13" sqref="C13"/>
    </sheetView>
  </sheetViews>
  <sheetFormatPr defaultColWidth="8.99609375" defaultRowHeight="12.75" x14ac:dyDescent="0.15"/>
  <cols>
    <col min="1" max="1" width="1.36328125" style="7" customWidth="1"/>
    <col min="2" max="2" width="11.7265625" style="31" customWidth="1"/>
    <col min="3" max="3" width="26.453125" style="32" customWidth="1"/>
    <col min="4" max="4" width="17.1796875" style="32" customWidth="1"/>
    <col min="5" max="5" width="28.08984375" style="32" customWidth="1"/>
    <col min="6" max="6" width="30.6796875" style="32" customWidth="1"/>
    <col min="7" max="16384" width="8.99609375" style="7"/>
  </cols>
  <sheetData>
    <row r="1" spans="2:6" ht="25.5" x14ac:dyDescent="0.3">
      <c r="B1" s="33"/>
      <c r="D1" s="34" t="s">
        <v>16</v>
      </c>
      <c r="E1" s="35"/>
    </row>
    <row r="2" spans="2:6" ht="13.5" customHeight="1" x14ac:dyDescent="0.15">
      <c r="B2" s="33"/>
      <c r="D2" s="36"/>
      <c r="E2" s="36"/>
    </row>
    <row r="3" spans="2:6" x14ac:dyDescent="0.15">
      <c r="B3" s="133" t="s">
        <v>0</v>
      </c>
      <c r="C3" s="133"/>
      <c r="D3" s="134" t="str">
        <f>Cover!C4</f>
        <v>&lt;Project Name&gt;</v>
      </c>
      <c r="E3" s="134"/>
      <c r="F3" s="134"/>
    </row>
    <row r="4" spans="2:6" x14ac:dyDescent="0.15">
      <c r="B4" s="133" t="s">
        <v>3</v>
      </c>
      <c r="C4" s="133"/>
      <c r="D4" s="134" t="str">
        <f>Cover!C5</f>
        <v>&lt;Project Code&gt;</v>
      </c>
      <c r="E4" s="134"/>
      <c r="F4" s="134"/>
    </row>
    <row r="5" spans="2:6" s="37" customFormat="1" ht="84.75" customHeight="1" x14ac:dyDescent="0.15">
      <c r="B5" s="131" t="s">
        <v>17</v>
      </c>
      <c r="C5" s="131"/>
      <c r="D5" s="132" t="s">
        <v>18</v>
      </c>
      <c r="E5" s="132"/>
      <c r="F5" s="132"/>
    </row>
    <row r="6" spans="2:6" x14ac:dyDescent="0.15">
      <c r="B6" s="38"/>
      <c r="C6" s="7"/>
      <c r="D6" s="7"/>
      <c r="E6" s="7"/>
      <c r="F6" s="7"/>
    </row>
    <row r="7" spans="2:6" s="39" customFormat="1" x14ac:dyDescent="0.1">
      <c r="B7" s="40"/>
      <c r="C7" s="41"/>
      <c r="D7" s="41"/>
      <c r="E7" s="41"/>
      <c r="F7" s="41"/>
    </row>
    <row r="8" spans="2:6" s="42" customFormat="1" ht="21" customHeight="1" x14ac:dyDescent="0.15">
      <c r="B8" s="43" t="s">
        <v>19</v>
      </c>
      <c r="C8" s="44" t="s">
        <v>20</v>
      </c>
      <c r="D8" s="44" t="s">
        <v>21</v>
      </c>
      <c r="E8" s="45" t="s">
        <v>22</v>
      </c>
      <c r="F8" s="46" t="s">
        <v>23</v>
      </c>
    </row>
    <row r="9" spans="2:6" x14ac:dyDescent="0.15">
      <c r="B9" s="47">
        <v>1</v>
      </c>
      <c r="C9" s="48" t="s">
        <v>24</v>
      </c>
      <c r="D9" s="49" t="s">
        <v>71</v>
      </c>
      <c r="E9" s="49"/>
      <c r="F9" s="50"/>
    </row>
    <row r="10" spans="2:6" x14ac:dyDescent="0.15">
      <c r="B10" s="47">
        <v>2</v>
      </c>
      <c r="C10" s="48" t="s">
        <v>25</v>
      </c>
      <c r="D10" s="49" t="s">
        <v>71</v>
      </c>
      <c r="E10" s="49"/>
      <c r="F10" s="50"/>
    </row>
    <row r="11" spans="2:6" x14ac:dyDescent="0.15">
      <c r="B11" s="47">
        <v>3</v>
      </c>
      <c r="C11" s="48" t="s">
        <v>26</v>
      </c>
      <c r="D11" s="49" t="s">
        <v>71</v>
      </c>
      <c r="E11" s="49"/>
      <c r="F11" s="50"/>
    </row>
    <row r="12" spans="2:6" x14ac:dyDescent="0.15">
      <c r="B12" s="47">
        <v>4</v>
      </c>
      <c r="C12" s="48" t="s">
        <v>27</v>
      </c>
      <c r="D12" s="49" t="s">
        <v>72</v>
      </c>
      <c r="E12" s="49"/>
      <c r="F12" s="50"/>
    </row>
    <row r="13" spans="2:6" x14ac:dyDescent="0.15">
      <c r="B13" s="47">
        <v>5</v>
      </c>
      <c r="C13" s="48" t="s">
        <v>28</v>
      </c>
      <c r="D13" s="49" t="s">
        <v>72</v>
      </c>
      <c r="E13" s="49"/>
      <c r="F13" s="50"/>
    </row>
    <row r="14" spans="2:6" x14ac:dyDescent="0.15">
      <c r="B14" s="47"/>
      <c r="C14" s="48"/>
      <c r="D14" s="51"/>
      <c r="E14" s="51"/>
      <c r="F14" s="50"/>
    </row>
    <row r="15" spans="2:6" x14ac:dyDescent="0.15">
      <c r="B15" s="47"/>
      <c r="C15" s="48"/>
      <c r="D15" s="51"/>
      <c r="E15" s="51"/>
      <c r="F15" s="50"/>
    </row>
    <row r="16" spans="2:6" x14ac:dyDescent="0.15">
      <c r="B16" s="47"/>
      <c r="C16" s="48"/>
      <c r="D16" s="51"/>
      <c r="E16" s="51"/>
      <c r="F16" s="50"/>
    </row>
    <row r="17" spans="2:6" x14ac:dyDescent="0.15">
      <c r="B17" s="47"/>
      <c r="C17" s="48"/>
      <c r="D17" s="51"/>
      <c r="E17" s="51"/>
      <c r="F17" s="50"/>
    </row>
    <row r="18" spans="2:6" x14ac:dyDescent="0.15">
      <c r="B18" s="47"/>
      <c r="C18" s="48"/>
      <c r="D18" s="51"/>
      <c r="E18" s="51"/>
      <c r="F18" s="50"/>
    </row>
    <row r="19" spans="2:6" x14ac:dyDescent="0.15">
      <c r="B19" s="47"/>
      <c r="C19" s="48"/>
      <c r="D19" s="51"/>
      <c r="E19" s="51"/>
      <c r="F19" s="50"/>
    </row>
    <row r="20" spans="2:6" x14ac:dyDescent="0.15">
      <c r="B20" s="47"/>
      <c r="C20" s="48"/>
      <c r="D20" s="51"/>
      <c r="E20" s="51"/>
      <c r="F20" s="50"/>
    </row>
    <row r="21" spans="2:6" x14ac:dyDescent="0.15">
      <c r="B21" s="52"/>
      <c r="C21" s="53"/>
      <c r="D21" s="54"/>
      <c r="E21" s="54"/>
      <c r="F21" s="55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odule1!B10" display="Module1" xr:uid="{00000000-0004-0000-0100-000000000000}"/>
    <hyperlink ref="D10" location="Module1!B14" display="Module1" xr:uid="{00000000-0004-0000-0100-000001000000}"/>
    <hyperlink ref="D11" location="Module1!B17" display="Module1" xr:uid="{00000000-0004-0000-0100-000002000000}"/>
    <hyperlink ref="D12" location="Module2!B10" display="Module2" xr:uid="{00000000-0004-0000-0100-000003000000}"/>
    <hyperlink ref="D13" location="Module2!B14" display="Modul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tabSelected="1" zoomScale="115" zoomScaleNormal="115" workbookViewId="0">
      <pane ySplit="8" topLeftCell="A9" activePane="bottomLeft" state="frozen"/>
      <selection activeCell="D1" sqref="D1"/>
      <selection pane="bottomLeft" activeCell="A15" sqref="A15"/>
    </sheetView>
  </sheetViews>
  <sheetFormatPr defaultColWidth="8.99609375" defaultRowHeight="12.75" x14ac:dyDescent="0.15"/>
  <cols>
    <col min="1" max="1" width="20.04296875" style="7" customWidth="1"/>
    <col min="2" max="2" width="19.08984375" style="7" customWidth="1"/>
    <col min="3" max="5" width="25.6328125" style="7" customWidth="1"/>
    <col min="6" max="6" width="28.49609375" style="7" customWidth="1"/>
    <col min="7" max="7" width="11.1796875" style="7" customWidth="1"/>
    <col min="8" max="8" width="10.6328125" style="7" customWidth="1"/>
    <col min="9" max="9" width="8.99609375" style="7"/>
    <col min="10" max="10" width="23.04296875" style="7" customWidth="1"/>
    <col min="11" max="11" width="37.2265625" style="7" customWidth="1"/>
    <col min="12" max="12" width="8.1796875" style="56" customWidth="1"/>
    <col min="13" max="13" width="9.81640625" style="7" hidden="1" customWidth="1"/>
    <col min="14" max="16384" width="8.99609375" style="7"/>
  </cols>
  <sheetData>
    <row r="1" spans="1:13" ht="13.5" thickBot="1" x14ac:dyDescent="0.2"/>
    <row r="2" spans="1:13" s="58" customFormat="1" ht="15" customHeight="1" x14ac:dyDescent="0.15">
      <c r="A2" s="111" t="s">
        <v>73</v>
      </c>
      <c r="B2" s="135" t="s">
        <v>74</v>
      </c>
      <c r="C2" s="136"/>
      <c r="D2" s="136"/>
      <c r="E2" s="136"/>
      <c r="F2" s="137"/>
      <c r="G2" s="109"/>
      <c r="H2" s="103"/>
      <c r="I2" s="37"/>
      <c r="J2" s="37"/>
      <c r="K2" s="37"/>
      <c r="L2" s="57"/>
      <c r="M2" s="58" t="s">
        <v>29</v>
      </c>
    </row>
    <row r="3" spans="1:13" s="58" customFormat="1" x14ac:dyDescent="0.15">
      <c r="A3" s="112" t="s">
        <v>30</v>
      </c>
      <c r="B3" s="138" t="s">
        <v>31</v>
      </c>
      <c r="C3" s="139"/>
      <c r="D3" s="139"/>
      <c r="E3" s="139"/>
      <c r="F3" s="140"/>
      <c r="G3" s="109"/>
      <c r="H3" s="103"/>
      <c r="I3" s="37"/>
      <c r="J3" s="37"/>
      <c r="K3" s="37"/>
      <c r="L3" s="57"/>
      <c r="M3" s="58" t="s">
        <v>32</v>
      </c>
    </row>
    <row r="4" spans="1:13" s="58" customFormat="1" ht="18" customHeight="1" x14ac:dyDescent="0.15">
      <c r="A4" s="112" t="s">
        <v>65</v>
      </c>
      <c r="B4" s="138"/>
      <c r="C4" s="139"/>
      <c r="D4" s="139"/>
      <c r="E4" s="139"/>
      <c r="F4" s="140"/>
      <c r="G4" s="109"/>
      <c r="H4" s="103"/>
      <c r="I4" s="37"/>
      <c r="J4" s="37"/>
      <c r="K4" s="37"/>
      <c r="L4" s="57"/>
      <c r="M4" s="58" t="s">
        <v>37</v>
      </c>
    </row>
    <row r="5" spans="1:13" s="58" customFormat="1" ht="19.5" customHeight="1" x14ac:dyDescent="0.15">
      <c r="A5" s="113" t="s">
        <v>29</v>
      </c>
      <c r="B5" s="110" t="s">
        <v>32</v>
      </c>
      <c r="C5" s="110" t="s">
        <v>34</v>
      </c>
      <c r="D5" s="110" t="s">
        <v>35</v>
      </c>
      <c r="E5" s="119"/>
      <c r="F5" s="114" t="s">
        <v>36</v>
      </c>
      <c r="G5" s="104"/>
      <c r="H5" s="104"/>
      <c r="I5" s="59"/>
      <c r="J5" s="59"/>
      <c r="K5" s="59"/>
      <c r="L5" s="60"/>
      <c r="M5" s="58" t="s">
        <v>35</v>
      </c>
    </row>
    <row r="6" spans="1:13" s="58" customFormat="1" ht="15" customHeight="1" thickBot="1" x14ac:dyDescent="0.2">
      <c r="A6" s="115">
        <f>COUNTIF(H10:H998,"Pass")</f>
        <v>0</v>
      </c>
      <c r="B6" s="116">
        <f>COUNTIF(H10:H998,"Fail")</f>
        <v>0</v>
      </c>
      <c r="C6" s="116">
        <f>F6-D6-B6-A6</f>
        <v>8</v>
      </c>
      <c r="D6" s="116">
        <f>COUNTIF(H10:H998,"N/A")</f>
        <v>0</v>
      </c>
      <c r="E6" s="120"/>
      <c r="F6" s="117">
        <f>COUNTA(A10:A998)</f>
        <v>8</v>
      </c>
      <c r="G6" s="105"/>
      <c r="H6" s="105"/>
      <c r="I6" s="59"/>
      <c r="J6" s="59"/>
      <c r="K6" s="59"/>
      <c r="L6" s="60"/>
    </row>
    <row r="7" spans="1:13" s="58" customFormat="1" ht="15" customHeight="1" x14ac:dyDescent="0.15">
      <c r="A7" s="59"/>
      <c r="B7" s="59"/>
      <c r="C7" s="59"/>
      <c r="D7" s="59"/>
      <c r="E7" s="59"/>
      <c r="F7" s="59"/>
      <c r="G7" s="61"/>
      <c r="H7" s="59"/>
      <c r="I7" s="59"/>
      <c r="J7" s="59"/>
      <c r="K7" s="59"/>
      <c r="L7" s="60"/>
    </row>
    <row r="8" spans="1:13" s="58" customFormat="1" ht="25.5" customHeight="1" x14ac:dyDescent="0.15">
      <c r="A8" s="118" t="s">
        <v>38</v>
      </c>
      <c r="B8" s="118" t="s">
        <v>39</v>
      </c>
      <c r="C8" s="118" t="s">
        <v>70</v>
      </c>
      <c r="D8" s="118" t="s">
        <v>64</v>
      </c>
      <c r="E8" s="118" t="s">
        <v>83</v>
      </c>
      <c r="F8" s="118" t="s">
        <v>40</v>
      </c>
      <c r="G8" s="118" t="s">
        <v>41</v>
      </c>
      <c r="H8" s="118" t="s">
        <v>42</v>
      </c>
      <c r="I8" s="118" t="s">
        <v>33</v>
      </c>
      <c r="J8" s="118" t="s">
        <v>43</v>
      </c>
      <c r="L8" s="62"/>
    </row>
    <row r="9" spans="1:13" s="58" customFormat="1" ht="15.75" customHeight="1" x14ac:dyDescent="0.15">
      <c r="A9" s="106" t="s">
        <v>76</v>
      </c>
      <c r="B9" s="106"/>
      <c r="C9" s="107"/>
      <c r="D9" s="107"/>
      <c r="E9" s="107"/>
      <c r="F9" s="107"/>
      <c r="G9" s="107"/>
      <c r="H9" s="107"/>
      <c r="I9" s="107"/>
      <c r="J9" s="108"/>
      <c r="L9" s="66"/>
    </row>
    <row r="10" spans="1:13" s="72" customFormat="1" ht="120.95" customHeight="1" x14ac:dyDescent="0.15">
      <c r="A10" s="67" t="s">
        <v>77</v>
      </c>
      <c r="B10" s="68" t="s">
        <v>80</v>
      </c>
      <c r="C10" s="68" t="s">
        <v>81</v>
      </c>
      <c r="D10" s="69" t="s">
        <v>82</v>
      </c>
      <c r="E10" s="69" t="s">
        <v>82</v>
      </c>
      <c r="F10" s="121" t="s">
        <v>84</v>
      </c>
      <c r="G10" s="67" t="s">
        <v>29</v>
      </c>
      <c r="H10" s="67"/>
      <c r="I10" s="67"/>
      <c r="J10" s="70"/>
      <c r="L10" s="71"/>
    </row>
    <row r="11" spans="1:13" x14ac:dyDescent="0.15">
      <c r="A11" s="67" t="s">
        <v>78</v>
      </c>
      <c r="B11" s="67" t="s">
        <v>48</v>
      </c>
      <c r="C11" s="67"/>
      <c r="D11" s="73"/>
      <c r="E11" s="73"/>
      <c r="F11" s="73"/>
      <c r="G11" s="67"/>
      <c r="H11" s="67"/>
      <c r="I11" s="67"/>
      <c r="J11" s="70"/>
      <c r="L11" s="71"/>
    </row>
    <row r="12" spans="1:13" x14ac:dyDescent="0.15">
      <c r="A12" s="67" t="s">
        <v>79</v>
      </c>
      <c r="B12" s="67" t="s">
        <v>49</v>
      </c>
      <c r="C12" s="67"/>
      <c r="D12" s="73"/>
      <c r="E12" s="73"/>
      <c r="F12" s="73"/>
      <c r="G12" s="67"/>
      <c r="H12" s="67"/>
      <c r="I12" s="67"/>
      <c r="J12" s="70"/>
      <c r="L12" s="71"/>
    </row>
    <row r="13" spans="1:13" s="58" customFormat="1" ht="15.75" customHeight="1" x14ac:dyDescent="0.15">
      <c r="A13" s="106" t="s">
        <v>67</v>
      </c>
      <c r="B13" s="63"/>
      <c r="C13" s="64"/>
      <c r="D13" s="64"/>
      <c r="E13" s="64"/>
      <c r="F13" s="64"/>
      <c r="G13" s="64"/>
      <c r="H13" s="64"/>
      <c r="I13" s="64"/>
      <c r="J13" s="65"/>
      <c r="L13" s="66"/>
    </row>
    <row r="14" spans="1:13" x14ac:dyDescent="0.15">
      <c r="A14" s="67" t="str">
        <f>IF(OR(B14&lt;&gt;"",D14&lt;&gt;""),"["&amp;TEXT($B$2,"##")&amp;"-"&amp;TEXT(ROW()-11,"##")&amp;"]","")</f>
        <v>[&lt;Feature Name1&gt;-3]</v>
      </c>
      <c r="B14" s="67" t="s">
        <v>50</v>
      </c>
      <c r="C14" s="67"/>
      <c r="D14" s="67"/>
      <c r="E14" s="67"/>
      <c r="F14" s="67"/>
      <c r="G14" s="67"/>
      <c r="H14" s="67"/>
      <c r="I14" s="67"/>
      <c r="J14" s="70"/>
      <c r="L14" s="71"/>
    </row>
    <row r="15" spans="1:13" x14ac:dyDescent="0.15">
      <c r="A15" s="67" t="str">
        <f>IF(OR(B15&lt;&gt;"",D15&lt;&gt;""),"["&amp;TEXT($B$2,"##")&amp;"-"&amp;TEXT(ROW()-11,"##")&amp;"]","")</f>
        <v>[&lt;Feature Name1&gt;-4]</v>
      </c>
      <c r="B15" s="67" t="s">
        <v>51</v>
      </c>
      <c r="C15" s="67"/>
      <c r="D15" s="67"/>
      <c r="E15" s="67"/>
      <c r="F15" s="67"/>
      <c r="G15" s="67"/>
      <c r="H15" s="74"/>
      <c r="I15" s="74"/>
      <c r="J15" s="74"/>
    </row>
    <row r="16" spans="1:13" s="58" customFormat="1" ht="15.75" customHeight="1" x14ac:dyDescent="0.15">
      <c r="A16" s="106" t="s">
        <v>68</v>
      </c>
      <c r="B16" s="63"/>
      <c r="C16" s="64"/>
      <c r="D16" s="64"/>
      <c r="E16" s="64"/>
      <c r="F16" s="64"/>
      <c r="G16" s="64"/>
      <c r="H16" s="64"/>
      <c r="I16" s="64"/>
      <c r="J16" s="65"/>
      <c r="L16" s="66"/>
    </row>
    <row r="17" spans="1:12" x14ac:dyDescent="0.15">
      <c r="A17" s="67" t="str">
        <f>IF(OR(B17&lt;&gt;"",D17&lt;&gt;""),"["&amp;TEXT($B$2,"##")&amp;"-"&amp;TEXT(ROW()-12,"##")&amp;"]","")</f>
        <v>[&lt;Feature Name1&gt;-5]</v>
      </c>
      <c r="B17" s="67" t="s">
        <v>52</v>
      </c>
      <c r="C17" s="67"/>
      <c r="D17" s="67"/>
      <c r="E17" s="67"/>
      <c r="F17" s="67"/>
      <c r="G17" s="67"/>
      <c r="H17" s="67"/>
      <c r="I17" s="67"/>
      <c r="J17" s="70"/>
      <c r="L17" s="71"/>
    </row>
  </sheetData>
  <mergeCells count="3">
    <mergeCell ref="B2:F2"/>
    <mergeCell ref="B4:F4"/>
    <mergeCell ref="B3:F3"/>
  </mergeCells>
  <phoneticPr fontId="0" type="noConversion"/>
  <dataValidations count="1">
    <dataValidation type="list" allowBlank="1" showErrorMessage="1" sqref="G8:G17 H7 H18:H145 H2:H3" xr:uid="{00000000-0002-0000-0200-000000000000}">
      <formula1>$M$2:$M$5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zoomScale="85" zoomScaleNormal="85" workbookViewId="0">
      <pane ySplit="8" topLeftCell="A9" activePane="bottomLeft" state="frozen"/>
      <selection pane="bottomLeft" activeCell="B3" sqref="B3:E3"/>
    </sheetView>
  </sheetViews>
  <sheetFormatPr defaultColWidth="8.99609375" defaultRowHeight="12.75" x14ac:dyDescent="0.15"/>
  <cols>
    <col min="1" max="1" width="20.04296875" style="7" customWidth="1"/>
    <col min="2" max="2" width="19.08984375" style="7" customWidth="1"/>
    <col min="3" max="4" width="25.6328125" style="7" customWidth="1"/>
    <col min="5" max="5" width="28.49609375" style="7" customWidth="1"/>
    <col min="6" max="6" width="11.1796875" style="7" customWidth="1"/>
    <col min="7" max="7" width="10.6328125" style="7" customWidth="1"/>
    <col min="8" max="8" width="8.99609375" style="7"/>
    <col min="9" max="9" width="23.04296875" style="7" customWidth="1"/>
    <col min="10" max="10" width="37.2265625" style="7" customWidth="1"/>
    <col min="11" max="11" width="8.1796875" style="56" customWidth="1"/>
    <col min="12" max="12" width="9.81640625" style="7" hidden="1" customWidth="1"/>
    <col min="13" max="16384" width="8.99609375" style="7"/>
  </cols>
  <sheetData>
    <row r="1" spans="1:12" ht="13.5" thickBot="1" x14ac:dyDescent="0.2"/>
    <row r="2" spans="1:12" s="58" customFormat="1" ht="15" customHeight="1" x14ac:dyDescent="0.15">
      <c r="A2" s="111" t="s">
        <v>73</v>
      </c>
      <c r="B2" s="135" t="s">
        <v>75</v>
      </c>
      <c r="C2" s="136"/>
      <c r="D2" s="136"/>
      <c r="E2" s="137"/>
      <c r="F2" s="109"/>
      <c r="G2" s="103"/>
      <c r="H2" s="37"/>
      <c r="I2" s="37"/>
      <c r="J2" s="37"/>
      <c r="K2" s="57"/>
      <c r="L2" s="58" t="s">
        <v>29</v>
      </c>
    </row>
    <row r="3" spans="1:12" s="58" customFormat="1" x14ac:dyDescent="0.15">
      <c r="A3" s="112" t="s">
        <v>30</v>
      </c>
      <c r="B3" s="138" t="s">
        <v>31</v>
      </c>
      <c r="C3" s="139"/>
      <c r="D3" s="139"/>
      <c r="E3" s="140"/>
      <c r="F3" s="109"/>
      <c r="G3" s="103"/>
      <c r="H3" s="37"/>
      <c r="I3" s="37"/>
      <c r="J3" s="37"/>
      <c r="K3" s="57"/>
      <c r="L3" s="58" t="s">
        <v>32</v>
      </c>
    </row>
    <row r="4" spans="1:12" s="58" customFormat="1" ht="18" customHeight="1" x14ac:dyDescent="0.15">
      <c r="A4" s="112" t="s">
        <v>65</v>
      </c>
      <c r="B4" s="138"/>
      <c r="C4" s="139"/>
      <c r="D4" s="139"/>
      <c r="E4" s="140"/>
      <c r="F4" s="109"/>
      <c r="G4" s="103"/>
      <c r="H4" s="37"/>
      <c r="I4" s="37"/>
      <c r="J4" s="37"/>
      <c r="K4" s="57"/>
      <c r="L4" s="58" t="s">
        <v>37</v>
      </c>
    </row>
    <row r="5" spans="1:12" s="58" customFormat="1" ht="19.5" customHeight="1" x14ac:dyDescent="0.15">
      <c r="A5" s="113" t="s">
        <v>29</v>
      </c>
      <c r="B5" s="110" t="s">
        <v>32</v>
      </c>
      <c r="C5" s="110" t="s">
        <v>34</v>
      </c>
      <c r="D5" s="110" t="s">
        <v>35</v>
      </c>
      <c r="E5" s="114" t="s">
        <v>36</v>
      </c>
      <c r="F5" s="104"/>
      <c r="G5" s="104"/>
      <c r="H5" s="59"/>
      <c r="I5" s="59"/>
      <c r="J5" s="59"/>
      <c r="K5" s="60"/>
      <c r="L5" s="58" t="s">
        <v>35</v>
      </c>
    </row>
    <row r="6" spans="1:12" s="58" customFormat="1" ht="15" customHeight="1" thickBot="1" x14ac:dyDescent="0.2">
      <c r="A6" s="115">
        <f>COUNTIF(G10:G998,"Pass")</f>
        <v>0</v>
      </c>
      <c r="B6" s="116">
        <f>COUNTIF(G10:G998,"Fail")</f>
        <v>0</v>
      </c>
      <c r="C6" s="116">
        <f>E6-D6-B6-A6</f>
        <v>8</v>
      </c>
      <c r="D6" s="116">
        <f>COUNTIF(G10:G998,"N/A")</f>
        <v>0</v>
      </c>
      <c r="E6" s="117">
        <f>COUNTA(A10:A998)</f>
        <v>8</v>
      </c>
      <c r="F6" s="105"/>
      <c r="G6" s="105"/>
      <c r="H6" s="59"/>
      <c r="I6" s="59"/>
      <c r="J6" s="59"/>
      <c r="K6" s="60"/>
    </row>
    <row r="7" spans="1:12" s="58" customFormat="1" ht="15" customHeight="1" x14ac:dyDescent="0.15">
      <c r="A7" s="59"/>
      <c r="B7" s="59"/>
      <c r="C7" s="59"/>
      <c r="D7" s="59"/>
      <c r="E7" s="59"/>
      <c r="F7" s="61"/>
      <c r="G7" s="59"/>
      <c r="H7" s="59"/>
      <c r="I7" s="59"/>
      <c r="J7" s="59"/>
      <c r="K7" s="60"/>
    </row>
    <row r="8" spans="1:12" s="58" customFormat="1" ht="25.5" customHeight="1" x14ac:dyDescent="0.15">
      <c r="A8" s="118" t="s">
        <v>38</v>
      </c>
      <c r="B8" s="118" t="s">
        <v>39</v>
      </c>
      <c r="C8" s="118" t="s">
        <v>70</v>
      </c>
      <c r="D8" s="118" t="s">
        <v>64</v>
      </c>
      <c r="E8" s="118" t="s">
        <v>40</v>
      </c>
      <c r="F8" s="118" t="s">
        <v>41</v>
      </c>
      <c r="G8" s="118" t="s">
        <v>42</v>
      </c>
      <c r="H8" s="118" t="s">
        <v>33</v>
      </c>
      <c r="I8" s="118" t="s">
        <v>43</v>
      </c>
      <c r="K8" s="62"/>
    </row>
    <row r="9" spans="1:12" s="58" customFormat="1" ht="15.75" customHeight="1" x14ac:dyDescent="0.15">
      <c r="A9" s="106" t="s">
        <v>66</v>
      </c>
      <c r="B9" s="106"/>
      <c r="C9" s="107"/>
      <c r="D9" s="107"/>
      <c r="E9" s="107"/>
      <c r="F9" s="107"/>
      <c r="G9" s="107"/>
      <c r="H9" s="107"/>
      <c r="I9" s="108"/>
      <c r="K9" s="66"/>
    </row>
    <row r="10" spans="1:12" s="72" customFormat="1" ht="120.95" customHeight="1" x14ac:dyDescent="0.15">
      <c r="A10" s="67" t="str">
        <f>IF(OR(B10&lt;&gt;"",D10&lt;&gt;""),"["&amp;TEXT($B$2,"##")&amp;"-"&amp;TEXT(ROW()-10,"##")&amp;"]","")</f>
        <v>[&lt;Feature Name2&gt;-]</v>
      </c>
      <c r="B10" s="68" t="s">
        <v>44</v>
      </c>
      <c r="C10" s="68" t="s">
        <v>45</v>
      </c>
      <c r="D10" s="69" t="s">
        <v>46</v>
      </c>
      <c r="E10" s="69" t="s">
        <v>47</v>
      </c>
      <c r="F10" s="67" t="s">
        <v>29</v>
      </c>
      <c r="G10" s="67"/>
      <c r="H10" s="67"/>
      <c r="I10" s="70"/>
      <c r="K10" s="71"/>
    </row>
    <row r="11" spans="1:12" x14ac:dyDescent="0.15">
      <c r="A11" s="67" t="str">
        <f>IF(OR(B11&lt;&gt;"",D11&lt;&gt;""),"["&amp;TEXT($B$2,"##")&amp;"-"&amp;TEXT(ROW()-10,"##")&amp;"]","")</f>
        <v>[&lt;Feature Name2&gt;-1]</v>
      </c>
      <c r="B11" s="67" t="s">
        <v>48</v>
      </c>
      <c r="C11" s="67"/>
      <c r="D11" s="73"/>
      <c r="E11" s="73"/>
      <c r="F11" s="67"/>
      <c r="G11" s="67"/>
      <c r="H11" s="67"/>
      <c r="I11" s="70"/>
      <c r="K11" s="71"/>
    </row>
    <row r="12" spans="1:12" x14ac:dyDescent="0.15">
      <c r="A12" s="67" t="str">
        <f>IF(OR(B12&lt;&gt;"",D12&lt;&gt;""),"["&amp;TEXT($B$2,"##")&amp;"-"&amp;TEXT(ROW()-10,"##")&amp;"]","")</f>
        <v>[&lt;Feature Name2&gt;-2]</v>
      </c>
      <c r="B12" s="67" t="s">
        <v>49</v>
      </c>
      <c r="C12" s="67"/>
      <c r="D12" s="73"/>
      <c r="E12" s="73"/>
      <c r="F12" s="67"/>
      <c r="G12" s="67"/>
      <c r="H12" s="67"/>
      <c r="I12" s="70"/>
      <c r="K12" s="71"/>
    </row>
    <row r="13" spans="1:12" s="58" customFormat="1" ht="15.75" customHeight="1" x14ac:dyDescent="0.15">
      <c r="A13" s="106" t="s">
        <v>67</v>
      </c>
      <c r="B13" s="63"/>
      <c r="C13" s="64"/>
      <c r="D13" s="64"/>
      <c r="E13" s="64"/>
      <c r="F13" s="64"/>
      <c r="G13" s="64"/>
      <c r="H13" s="64"/>
      <c r="I13" s="65"/>
      <c r="K13" s="66"/>
    </row>
    <row r="14" spans="1:12" x14ac:dyDescent="0.15">
      <c r="A14" s="67" t="str">
        <f>IF(OR(B14&lt;&gt;"",D14&lt;&gt;""),"["&amp;TEXT($B$2,"##")&amp;"-"&amp;TEXT(ROW()-11,"##")&amp;"]","")</f>
        <v>[&lt;Feature Name2&gt;-3]</v>
      </c>
      <c r="B14" s="67" t="s">
        <v>50</v>
      </c>
      <c r="C14" s="67"/>
      <c r="D14" s="67"/>
      <c r="E14" s="67"/>
      <c r="F14" s="67"/>
      <c r="G14" s="67"/>
      <c r="H14" s="67"/>
      <c r="I14" s="70"/>
      <c r="K14" s="71"/>
    </row>
    <row r="15" spans="1:12" x14ac:dyDescent="0.15">
      <c r="A15" s="67" t="str">
        <f>IF(OR(B15&lt;&gt;"",D15&lt;&gt;""),"["&amp;TEXT($B$2,"##")&amp;"-"&amp;TEXT(ROW()-11,"##")&amp;"]","")</f>
        <v>[&lt;Feature Name2&gt;-4]</v>
      </c>
      <c r="B15" s="67" t="s">
        <v>51</v>
      </c>
      <c r="C15" s="67"/>
      <c r="D15" s="67"/>
      <c r="E15" s="67"/>
      <c r="F15" s="67"/>
      <c r="G15" s="74"/>
      <c r="H15" s="74"/>
      <c r="I15" s="74"/>
    </row>
    <row r="16" spans="1:12" s="58" customFormat="1" ht="15.75" customHeight="1" x14ac:dyDescent="0.15">
      <c r="A16" s="106" t="s">
        <v>68</v>
      </c>
      <c r="B16" s="63"/>
      <c r="C16" s="64"/>
      <c r="D16" s="64"/>
      <c r="E16" s="64"/>
      <c r="F16" s="64"/>
      <c r="G16" s="64"/>
      <c r="H16" s="64"/>
      <c r="I16" s="65"/>
      <c r="K16" s="66"/>
    </row>
    <row r="17" spans="1:11" x14ac:dyDescent="0.15">
      <c r="A17" s="67" t="str">
        <f>IF(OR(B17&lt;&gt;"",D17&lt;&gt;""),"["&amp;TEXT($B$2,"##")&amp;"-"&amp;TEXT(ROW()-12,"##")&amp;"]","")</f>
        <v>[&lt;Feature Name2&gt;-5]</v>
      </c>
      <c r="B17" s="67" t="s">
        <v>52</v>
      </c>
      <c r="C17" s="67"/>
      <c r="D17" s="67"/>
      <c r="E17" s="67"/>
      <c r="F17" s="67"/>
      <c r="G17" s="67"/>
      <c r="H17" s="67"/>
      <c r="I17" s="70"/>
      <c r="K17" s="71"/>
    </row>
  </sheetData>
  <mergeCells count="3">
    <mergeCell ref="B2:E2"/>
    <mergeCell ref="B3:E3"/>
    <mergeCell ref="B4:E4"/>
  </mergeCells>
  <dataValidations count="1">
    <dataValidation type="list" allowBlank="1" showErrorMessage="1" sqref="F8:F17 G7 G18:G145 G2:G3" xr:uid="{00000000-0002-0000-0300-000000000000}">
      <formula1>$L$2:$L$5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G23" sqref="G23"/>
    </sheetView>
  </sheetViews>
  <sheetFormatPr defaultColWidth="8.99609375" defaultRowHeight="12.75" x14ac:dyDescent="0.15"/>
  <cols>
    <col min="1" max="1" width="4.49609375" style="7" customWidth="1"/>
    <col min="2" max="2" width="13.36328125" style="7" customWidth="1"/>
    <col min="3" max="3" width="19.2265625" style="7" customWidth="1"/>
    <col min="4" max="6" width="11.58984375" style="7" customWidth="1"/>
    <col min="7" max="7" width="8.99609375" style="7"/>
    <col min="8" max="8" width="35.453125" style="7" customWidth="1"/>
    <col min="9" max="9" width="33.1328125" style="7" customWidth="1"/>
    <col min="10" max="16384" width="8.99609375" style="7"/>
  </cols>
  <sheetData>
    <row r="1" spans="1:8" ht="25.5" customHeight="1" x14ac:dyDescent="0.3">
      <c r="B1" s="143" t="s">
        <v>53</v>
      </c>
      <c r="C1" s="143"/>
      <c r="D1" s="143"/>
      <c r="E1" s="143"/>
      <c r="F1" s="143"/>
      <c r="G1" s="143"/>
      <c r="H1" s="143"/>
    </row>
    <row r="2" spans="1:8" ht="14.25" customHeight="1" x14ac:dyDescent="0.15">
      <c r="A2" s="75"/>
      <c r="B2" s="75"/>
      <c r="C2" s="76"/>
      <c r="D2" s="76"/>
      <c r="E2" s="76"/>
      <c r="F2" s="76"/>
      <c r="G2" s="76"/>
      <c r="H2" s="77"/>
    </row>
    <row r="3" spans="1:8" ht="12" customHeight="1" x14ac:dyDescent="0.15">
      <c r="B3" s="10" t="s">
        <v>0</v>
      </c>
      <c r="C3" s="134" t="s">
        <v>1</v>
      </c>
      <c r="D3" s="134"/>
      <c r="E3" s="141" t="s">
        <v>2</v>
      </c>
      <c r="F3" s="141"/>
      <c r="G3" s="78"/>
      <c r="H3" s="79"/>
    </row>
    <row r="4" spans="1:8" ht="12" customHeight="1" x14ac:dyDescent="0.15">
      <c r="B4" s="10" t="s">
        <v>3</v>
      </c>
      <c r="C4" s="134" t="s">
        <v>4</v>
      </c>
      <c r="D4" s="134"/>
      <c r="E4" s="141" t="s">
        <v>5</v>
      </c>
      <c r="F4" s="141"/>
      <c r="G4" s="78"/>
      <c r="H4" s="79"/>
    </row>
    <row r="5" spans="1:8" ht="12" customHeight="1" x14ac:dyDescent="0.15">
      <c r="B5" s="80" t="s">
        <v>6</v>
      </c>
      <c r="C5" s="134" t="str">
        <f>C4&amp;"_"&amp;"Test Report"&amp;"_"&amp;"vx.x"</f>
        <v>&lt;Project Code&gt;_Test Report_vx.x</v>
      </c>
      <c r="D5" s="134"/>
      <c r="E5" s="141" t="s">
        <v>7</v>
      </c>
      <c r="F5" s="141"/>
      <c r="G5" s="78"/>
      <c r="H5" s="81" t="s">
        <v>54</v>
      </c>
    </row>
    <row r="6" spans="1:8" ht="21.75" customHeight="1" x14ac:dyDescent="0.15">
      <c r="A6" s="75"/>
      <c r="B6" s="80" t="s">
        <v>55</v>
      </c>
      <c r="C6" s="142" t="s">
        <v>56</v>
      </c>
      <c r="D6" s="142"/>
      <c r="E6" s="142"/>
      <c r="F6" s="142"/>
      <c r="G6" s="142"/>
      <c r="H6" s="142"/>
    </row>
    <row r="7" spans="1:8" ht="14.25" customHeight="1" x14ac:dyDescent="0.15">
      <c r="A7" s="75"/>
      <c r="B7" s="12"/>
      <c r="C7" s="82"/>
      <c r="D7" s="76"/>
      <c r="E7" s="76"/>
      <c r="F7" s="76"/>
      <c r="G7" s="76"/>
      <c r="H7" s="77"/>
    </row>
    <row r="8" spans="1:8" x14ac:dyDescent="0.15">
      <c r="B8" s="12"/>
      <c r="C8" s="82"/>
      <c r="D8" s="76"/>
      <c r="E8" s="76"/>
      <c r="F8" s="76"/>
      <c r="G8" s="76"/>
      <c r="H8" s="77"/>
    </row>
    <row r="10" spans="1:8" x14ac:dyDescent="0.15">
      <c r="A10" s="83"/>
      <c r="B10" s="84" t="s">
        <v>19</v>
      </c>
      <c r="C10" s="85" t="s">
        <v>57</v>
      </c>
      <c r="D10" s="86" t="s">
        <v>29</v>
      </c>
      <c r="E10" s="85" t="s">
        <v>32</v>
      </c>
      <c r="F10" s="85" t="s">
        <v>34</v>
      </c>
      <c r="G10" s="87" t="s">
        <v>35</v>
      </c>
      <c r="H10" s="88" t="s">
        <v>58</v>
      </c>
    </row>
    <row r="11" spans="1:8" x14ac:dyDescent="0.15">
      <c r="A11" s="83"/>
      <c r="B11" s="89">
        <v>1</v>
      </c>
      <c r="C11" s="90" t="str">
        <f>Feature1!B2</f>
        <v>&lt;Feature Name1&gt;</v>
      </c>
      <c r="D11" s="91">
        <f>Feature1!A6</f>
        <v>0</v>
      </c>
      <c r="E11" s="91">
        <f>Feature1!B6</f>
        <v>0</v>
      </c>
      <c r="F11" s="91">
        <f>Feature1!C6</f>
        <v>8</v>
      </c>
      <c r="G11" s="92">
        <f>Feature1!D6</f>
        <v>0</v>
      </c>
      <c r="H11" s="93">
        <f>Feature1!F6</f>
        <v>8</v>
      </c>
    </row>
    <row r="12" spans="1:8" x14ac:dyDescent="0.15">
      <c r="A12" s="83"/>
      <c r="B12" s="89">
        <v>2</v>
      </c>
      <c r="C12" s="90" t="str">
        <f>Feature2!B2</f>
        <v>&lt;Feature Name2&gt;</v>
      </c>
      <c r="D12" s="91">
        <f>Feature2!A6</f>
        <v>0</v>
      </c>
      <c r="E12" s="91">
        <f>Feature2!B6</f>
        <v>0</v>
      </c>
      <c r="F12" s="91">
        <f>Feature2!C6</f>
        <v>8</v>
      </c>
      <c r="G12" s="91">
        <f>Feature2!D6</f>
        <v>0</v>
      </c>
      <c r="H12" s="91">
        <f>Feature2!E6</f>
        <v>8</v>
      </c>
    </row>
    <row r="13" spans="1:8" x14ac:dyDescent="0.15">
      <c r="A13" s="83"/>
      <c r="B13" s="89"/>
      <c r="C13" s="90"/>
      <c r="D13" s="91"/>
      <c r="E13" s="91"/>
      <c r="F13" s="91"/>
      <c r="G13" s="92"/>
      <c r="H13" s="93"/>
    </row>
    <row r="14" spans="1:8" x14ac:dyDescent="0.15">
      <c r="A14" s="83"/>
      <c r="B14" s="94"/>
      <c r="C14" s="95" t="s">
        <v>59</v>
      </c>
      <c r="D14" s="96">
        <f>SUM(D9:D13)</f>
        <v>0</v>
      </c>
      <c r="E14" s="96">
        <f>SUM(E9:E13)</f>
        <v>0</v>
      </c>
      <c r="F14" s="96">
        <f>SUM(F9:F13)</f>
        <v>16</v>
      </c>
      <c r="G14" s="96">
        <f>SUM(G9:G13)</f>
        <v>0</v>
      </c>
      <c r="H14" s="97">
        <f>SUM(H9:H13)</f>
        <v>16</v>
      </c>
    </row>
    <row r="15" spans="1:8" x14ac:dyDescent="0.15">
      <c r="B15" s="98"/>
      <c r="D15" s="99"/>
      <c r="E15" s="100"/>
      <c r="F15" s="100"/>
      <c r="G15" s="100"/>
      <c r="H15" s="100"/>
    </row>
    <row r="16" spans="1:8" x14ac:dyDescent="0.15">
      <c r="C16" s="101" t="s">
        <v>60</v>
      </c>
      <c r="E16" s="102">
        <f>(D14+E14)*100/(H14-G14)</f>
        <v>0</v>
      </c>
      <c r="F16" s="7" t="s">
        <v>61</v>
      </c>
      <c r="H16" s="61"/>
    </row>
    <row r="17" spans="3:8" x14ac:dyDescent="0.15">
      <c r="C17" s="101" t="s">
        <v>62</v>
      </c>
      <c r="E17" s="102">
        <f>D14*100/(H14-G14)</f>
        <v>0</v>
      </c>
      <c r="F17" s="7" t="s">
        <v>61</v>
      </c>
      <c r="H17" s="61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Feature1</vt:lpstr>
      <vt:lpstr>Feature2</vt:lpstr>
      <vt:lpstr>Test Report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Huong Hoang Luong</cp:lastModifiedBy>
  <cp:lastPrinted>2010-11-12T10:33:20Z</cp:lastPrinted>
  <dcterms:created xsi:type="dcterms:W3CDTF">2020-03-17T17:34:29Z</dcterms:created>
  <dcterms:modified xsi:type="dcterms:W3CDTF">2023-03-09T14:59:07Z</dcterms:modified>
  <cp:category>BM</cp:category>
</cp:coreProperties>
</file>