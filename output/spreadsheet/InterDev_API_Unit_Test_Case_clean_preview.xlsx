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unction List" sheetId="2" state="visible" r:id="rId2"/>
    <sheet name="Test Report" sheetId="3" state="visible" r:id="rId3"/>
    <sheet name="List Contracts" sheetId="4" state="visible" r:id="rId4"/>
    <sheet name="Fund Milestone" sheetId="5" state="visible" r:id="rId5"/>
    <sheet name="Audit Spe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mm/dd"/>
  </numFmts>
  <fonts count="28">
    <font>
      <name val="Calibri"/>
      <family val="2"/>
      <color theme="1"/>
      <sz val="11"/>
      <scheme val="minor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ＭＳ Ｐゴシック"/>
      <charset val="128"/>
      <family val="3"/>
      <sz val="11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b val="1"/>
      <color indexed="9"/>
      <sz val="10"/>
    </font>
    <font>
      <name val="Tahoma"/>
      <family val="2"/>
      <i val="1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theme="1"/>
      <sz val="10"/>
    </font>
    <font>
      <name val="Tahoma"/>
      <family val="2"/>
      <color indexed="12"/>
      <sz val="11"/>
      <u val="single"/>
    </font>
    <font>
      <name val="Tahoma"/>
      <family val="2"/>
      <color indexed="9"/>
      <sz val="10"/>
    </font>
    <font>
      <name val="Tahoma"/>
      <family val="2"/>
      <b val="1"/>
      <color indexed="9"/>
      <sz val="11"/>
    </font>
    <font>
      <name val="Tahoma"/>
      <family val="2"/>
      <color indexed="8"/>
      <sz val="10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i val="1"/>
      <sz val="8"/>
    </font>
    <font>
      <name val="Tahoma"/>
      <family val="2"/>
      <b val="1"/>
      <color indexed="9"/>
      <sz val="8"/>
    </font>
    <font>
      <name val="Tahoma"/>
      <family val="2"/>
      <color indexed="9"/>
      <sz val="8"/>
    </font>
    <font>
      <name val="Tahoma"/>
      <family val="2"/>
      <b val="1"/>
      <color theme="0"/>
      <sz val="8"/>
    </font>
    <font>
      <name val="Tahoma"/>
      <family val="2"/>
      <b val="1"/>
      <color rgb="FFFF0000"/>
      <sz val="8"/>
    </font>
    <font>
      <name val="Tahoma"/>
      <family val="2"/>
      <b val="1"/>
      <sz val="12"/>
    </font>
    <font>
      <name val="Tahoma"/>
      <family val="2"/>
      <sz val="11"/>
    </font>
    <font>
      <name val="Tahoma"/>
      <family val="2"/>
      <color indexed="17"/>
      <sz val="8"/>
    </font>
  </fonts>
  <fills count="1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rgb="FFFFC000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theme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10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25">
    <xf numFmtId="0" fontId="0" fillId="0" borderId="0" pivotButton="0" quotePrefix="0" xfId="0"/>
    <xf numFmtId="0" fontId="1" fillId="2" borderId="1" applyAlignment="1" pivotButton="0" quotePrefix="0" xfId="41">
      <alignment horizontal="center" vertical="center"/>
    </xf>
    <xf numFmtId="0" fontId="2" fillId="2" borderId="2" applyAlignment="1" pivotButton="0" quotePrefix="0" xfId="4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0" applyAlignment="1" pivotButton="0" quotePrefix="0" xfId="41">
      <alignment horizontal="left" indent="1"/>
    </xf>
    <xf numFmtId="0" fontId="5" fillId="0" borderId="0" applyAlignment="1" pivotButton="0" quotePrefix="0" xfId="41">
      <alignment horizontal="left" indent="1"/>
    </xf>
    <xf numFmtId="0" fontId="6" fillId="3" borderId="0" pivotButton="0" quotePrefix="0" xfId="41"/>
    <xf numFmtId="0" fontId="7" fillId="3" borderId="2" applyAlignment="1" pivotButton="0" quotePrefix="0" xfId="41">
      <alignment horizontal="left"/>
    </xf>
    <xf numFmtId="0" fontId="6" fillId="0" borderId="2" applyAlignment="1" pivotButton="0" quotePrefix="0" xfId="41">
      <alignment horizontal="left"/>
    </xf>
    <xf numFmtId="0" fontId="6" fillId="0" borderId="4" pivotButton="0" quotePrefix="0" xfId="41"/>
    <xf numFmtId="0" fontId="7" fillId="3" borderId="2" applyAlignment="1" pivotButton="0" quotePrefix="0" xfId="41">
      <alignment horizontal="left" vertical="center"/>
    </xf>
    <xf numFmtId="0" fontId="6" fillId="0" borderId="2" applyAlignment="1" pivotButton="0" quotePrefix="0" xfId="41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4" fontId="6" fillId="0" borderId="4" applyAlignment="1" pivotButton="0" quotePrefix="0" xfId="41">
      <alignment horizontal="left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0" borderId="4" applyAlignment="1" pivotButton="0" quotePrefix="0" xfId="41">
      <alignment horizontal="left"/>
    </xf>
    <xf numFmtId="0" fontId="7" fillId="0" borderId="0" pivotButton="0" quotePrefix="0" xfId="41"/>
    <xf numFmtId="0" fontId="5" fillId="0" borderId="0" applyAlignment="1" pivotButton="0" quotePrefix="0" xfId="41">
      <alignment horizontal="left"/>
    </xf>
    <xf numFmtId="0" fontId="4" fillId="0" borderId="0" applyAlignment="1" pivotButton="0" quotePrefix="0" xfId="41">
      <alignment horizontal="left" indent="1"/>
    </xf>
    <xf numFmtId="0" fontId="6" fillId="0" borderId="0" pivotButton="0" quotePrefix="0" xfId="41"/>
    <xf numFmtId="0" fontId="7" fillId="0" borderId="0" applyAlignment="1" pivotButton="0" quotePrefix="0" xfId="41">
      <alignment horizontal="left"/>
    </xf>
    <xf numFmtId="164" fontId="8" fillId="4" borderId="11" applyAlignment="1" pivotButton="0" quotePrefix="0" xfId="41">
      <alignment horizontal="center" vertical="center"/>
    </xf>
    <xf numFmtId="0" fontId="8" fillId="4" borderId="12" applyAlignment="1" pivotButton="0" quotePrefix="0" xfId="41">
      <alignment horizontal="center" vertical="center"/>
    </xf>
    <xf numFmtId="0" fontId="8" fillId="4" borderId="13" applyAlignment="1" pivotButton="0" quotePrefix="0" xfId="41">
      <alignment horizontal="center" vertical="center"/>
    </xf>
    <xf numFmtId="14" fontId="6" fillId="0" borderId="14" applyAlignment="1" pivotButton="0" quotePrefix="0" xfId="41">
      <alignment vertical="top" wrapText="1"/>
    </xf>
    <xf numFmtId="49" fontId="6" fillId="0" borderId="15" applyAlignment="1" pivotButton="0" quotePrefix="0" xfId="41">
      <alignment vertical="top"/>
    </xf>
    <xf numFmtId="0" fontId="6" fillId="0" borderId="15" applyAlignment="1" pivotButton="0" quotePrefix="0" xfId="41">
      <alignment vertical="top"/>
    </xf>
    <xf numFmtId="15" fontId="6" fillId="0" borderId="15" applyAlignment="1" pivotButton="0" quotePrefix="0" xfId="41">
      <alignment vertical="top"/>
    </xf>
    <xf numFmtId="0" fontId="9" fillId="0" borderId="16" applyAlignment="1" pivotButton="0" quotePrefix="0" xfId="41">
      <alignment vertical="top" wrapText="1"/>
    </xf>
    <xf numFmtId="14" fontId="6" fillId="0" borderId="14" applyAlignment="1" pivotButton="0" quotePrefix="0" xfId="41">
      <alignment vertical="top"/>
    </xf>
    <xf numFmtId="0" fontId="6" fillId="0" borderId="16" applyAlignment="1" pivotButton="0" quotePrefix="0" xfId="41">
      <alignment vertical="top"/>
    </xf>
    <xf numFmtId="0" fontId="6" fillId="0" borderId="15" applyAlignment="1" pivotButton="0" quotePrefix="0" xfId="41">
      <alignment vertical="top" wrapText="1"/>
    </xf>
    <xf numFmtId="14" fontId="6" fillId="0" borderId="17" applyAlignment="1" pivotButton="0" quotePrefix="0" xfId="41">
      <alignment vertical="top"/>
    </xf>
    <xf numFmtId="49" fontId="6" fillId="0" borderId="18" applyAlignment="1" pivotButton="0" quotePrefix="0" xfId="41">
      <alignment vertical="top"/>
    </xf>
    <xf numFmtId="0" fontId="6" fillId="0" borderId="18" applyAlignment="1" pivotButton="0" quotePrefix="0" xfId="41">
      <alignment vertical="top"/>
    </xf>
    <xf numFmtId="0" fontId="6" fillId="0" borderId="19" applyAlignment="1" pivotButton="0" quotePrefix="0" xfId="41">
      <alignment vertical="top"/>
    </xf>
    <xf numFmtId="49" fontId="6" fillId="0" borderId="20" applyAlignment="1" pivotButton="0" quotePrefix="0" xfId="41">
      <alignment vertical="top"/>
    </xf>
    <xf numFmtId="0" fontId="6" fillId="0" borderId="20" applyAlignment="1" pivotButton="0" quotePrefix="0" xfId="41">
      <alignment vertical="top"/>
    </xf>
    <xf numFmtId="14" fontId="6" fillId="0" borderId="21" applyAlignment="1" pivotButton="0" quotePrefix="0" xfId="41">
      <alignment vertical="top"/>
    </xf>
    <xf numFmtId="0" fontId="6" fillId="0" borderId="22" applyAlignment="1" pivotButton="0" quotePrefix="0" xfId="41">
      <alignment vertical="top"/>
    </xf>
    <xf numFmtId="1" fontId="6" fillId="5" borderId="0" pivotButton="0" quotePrefix="0" xfId="41"/>
    <xf numFmtId="0" fontId="6" fillId="5" borderId="0" applyAlignment="1" pivotButton="0" quotePrefix="0" xfId="41">
      <alignment horizontal="left"/>
    </xf>
    <xf numFmtId="0" fontId="6" fillId="5" borderId="0" applyAlignment="1" pivotButton="0" quotePrefix="0" xfId="41">
      <alignment horizontal="left" wrapText="1"/>
    </xf>
    <xf numFmtId="1" fontId="6" fillId="5" borderId="0" applyProtection="1" pivotButton="0" quotePrefix="0" xfId="41">
      <protection locked="1" hidden="1"/>
    </xf>
    <xf numFmtId="0" fontId="2" fillId="5" borderId="0" applyAlignment="1" pivotButton="0" quotePrefix="0" xfId="41">
      <alignment horizontal="left"/>
    </xf>
    <xf numFmtId="0" fontId="10" fillId="5" borderId="0" applyAlignment="1" pivotButton="0" quotePrefix="0" xfId="41">
      <alignment horizontal="left"/>
    </xf>
    <xf numFmtId="0" fontId="11" fillId="5" borderId="0" applyAlignment="1" pivotButton="0" quotePrefix="0" xfId="41">
      <alignment horizontal="left"/>
    </xf>
    <xf numFmtId="1" fontId="7" fillId="3" borderId="1" pivotButton="0" quotePrefix="0" xfId="41"/>
    <xf numFmtId="0" fontId="6" fillId="3" borderId="2" applyAlignment="1" pivotButton="0" quotePrefix="0" xfId="41">
      <alignment horizontal="left"/>
    </xf>
    <xf numFmtId="1" fontId="7" fillId="3" borderId="2" applyAlignment="1" pivotButton="0" quotePrefix="0" xfId="41">
      <alignment horizontal="left"/>
    </xf>
    <xf numFmtId="0" fontId="6" fillId="3" borderId="1" applyAlignment="1" pivotButton="0" quotePrefix="0" xfId="41">
      <alignment horizontal="left"/>
    </xf>
    <xf numFmtId="0" fontId="6" fillId="3" borderId="3" applyAlignment="1" pivotButton="0" quotePrefix="0" xfId="41">
      <alignment horizontal="left"/>
    </xf>
    <xf numFmtId="0" fontId="6" fillId="3" borderId="4" applyAlignment="1" pivotButton="0" quotePrefix="0" xfId="41">
      <alignment horizontal="left"/>
    </xf>
    <xf numFmtId="1" fontId="7" fillId="3" borderId="2" applyAlignment="1" pivotButton="0" quotePrefix="0" xfId="41">
      <alignment vertical="center" wrapText="1"/>
    </xf>
    <xf numFmtId="0" fontId="6" fillId="3" borderId="2" applyAlignment="1" pivotButton="0" quotePrefix="0" xfId="41">
      <alignment horizontal="left" vertical="top" wrapText="1"/>
    </xf>
    <xf numFmtId="1" fontId="4" fillId="3" borderId="0" pivotButton="0" quotePrefix="0" xfId="41"/>
    <xf numFmtId="0" fontId="6" fillId="3" borderId="0" applyAlignment="1" pivotButton="0" quotePrefix="0" xfId="41">
      <alignment wrapText="1"/>
    </xf>
    <xf numFmtId="1" fontId="6" fillId="3" borderId="0" applyAlignment="1" applyProtection="1" pivotButton="0" quotePrefix="0" xfId="41">
      <alignment vertical="center"/>
      <protection locked="1" hidden="1"/>
    </xf>
    <xf numFmtId="0" fontId="6" fillId="3" borderId="0" applyAlignment="1" pivotButton="0" quotePrefix="0" xfId="41">
      <alignment horizontal="left" vertical="center"/>
    </xf>
    <xf numFmtId="0" fontId="6" fillId="3" borderId="0" applyAlignment="1" pivotButton="0" quotePrefix="0" xfId="41">
      <alignment horizontal="left" vertical="center" wrapText="1"/>
    </xf>
    <xf numFmtId="1" fontId="8" fillId="6" borderId="11" applyAlignment="1" pivotButton="0" quotePrefix="0" xfId="41">
      <alignment horizontal="center" vertical="center"/>
    </xf>
    <xf numFmtId="1" fontId="8" fillId="6" borderId="26" applyAlignment="1" pivotButton="0" quotePrefix="0" xfId="41">
      <alignment horizontal="center" vertical="center" wrapText="1"/>
    </xf>
    <xf numFmtId="1" fontId="8" fillId="6" borderId="26" applyAlignment="1" pivotButton="0" quotePrefix="0" xfId="41">
      <alignment horizontal="center" vertical="center"/>
    </xf>
    <xf numFmtId="0" fontId="8" fillId="6" borderId="12" applyAlignment="1" pivotButton="0" quotePrefix="0" xfId="41">
      <alignment horizontal="center" vertical="center"/>
    </xf>
    <xf numFmtId="0" fontId="8" fillId="6" borderId="12" applyAlignment="1" pivotButton="0" quotePrefix="0" xfId="41">
      <alignment horizontal="center" vertical="center" wrapText="1"/>
    </xf>
    <xf numFmtId="0" fontId="8" fillId="6" borderId="27" applyAlignment="1" pivotButton="0" quotePrefix="0" xfId="41">
      <alignment horizontal="center" vertical="center"/>
    </xf>
    <xf numFmtId="0" fontId="8" fillId="6" borderId="13" applyAlignment="1" pivotButton="0" quotePrefix="0" xfId="41">
      <alignment horizontal="center" vertical="center"/>
    </xf>
    <xf numFmtId="1" fontId="6" fillId="3" borderId="14" applyAlignment="1" pivotButton="0" quotePrefix="0" xfId="41">
      <alignment horizontal="center" vertical="center"/>
    </xf>
    <xf numFmtId="1" fontId="6" fillId="3" borderId="28" applyAlignment="1" pivotButton="0" quotePrefix="0" xfId="41">
      <alignment vertical="center"/>
    </xf>
    <xf numFmtId="49" fontId="6" fillId="3" borderId="15" applyAlignment="1" pivotButton="0" quotePrefix="0" xfId="41">
      <alignment horizontal="left" vertical="center"/>
    </xf>
    <xf numFmtId="49" fontId="6" fillId="3" borderId="15" applyAlignment="1" pivotButton="0" quotePrefix="0" xfId="41">
      <alignment horizontal="left" vertical="center" wrapText="1"/>
    </xf>
    <xf numFmtId="0" fontId="12" fillId="3" borderId="15" applyAlignment="1" pivotButton="0" quotePrefix="0" xfId="34">
      <alignment horizontal="left" vertical="center"/>
    </xf>
    <xf numFmtId="0" fontId="6" fillId="3" borderId="15" applyAlignment="1" pivotButton="0" quotePrefix="0" xfId="34">
      <alignment horizontal="left" vertical="center"/>
    </xf>
    <xf numFmtId="0" fontId="6" fillId="3" borderId="16" applyAlignment="1" pivotButton="0" quotePrefix="0" xfId="41">
      <alignment horizontal="left" vertical="center"/>
    </xf>
    <xf numFmtId="0" fontId="12" fillId="3" borderId="15" applyAlignment="1" pivotButton="0" quotePrefix="0" xfId="34">
      <alignment horizontal="left" vertical="center" wrapText="1"/>
    </xf>
    <xf numFmtId="0" fontId="13" fillId="3" borderId="15" applyAlignment="1" pivotButton="0" quotePrefix="0" xfId="34">
      <alignment horizontal="left" vertical="center"/>
    </xf>
    <xf numFmtId="0" fontId="6" fillId="3" borderId="15" applyAlignment="1" pivotButton="0" quotePrefix="0" xfId="41">
      <alignment horizontal="left" vertical="center"/>
    </xf>
    <xf numFmtId="49" fontId="12" fillId="3" borderId="15" applyAlignment="1" pivotButton="0" quotePrefix="0" xfId="34">
      <alignment horizontal="left" vertical="center"/>
    </xf>
    <xf numFmtId="1" fontId="6" fillId="3" borderId="29" applyAlignment="1" pivotButton="0" quotePrefix="0" xfId="41">
      <alignment vertical="center"/>
    </xf>
    <xf numFmtId="49" fontId="6" fillId="3" borderId="18" applyAlignment="1" pivotButton="0" quotePrefix="0" xfId="41">
      <alignment horizontal="left" vertical="center"/>
    </xf>
    <xf numFmtId="49" fontId="12" fillId="3" borderId="18" applyAlignment="1" pivotButton="0" quotePrefix="0" xfId="34">
      <alignment horizontal="left" vertical="center"/>
    </xf>
    <xf numFmtId="0" fontId="6" fillId="3" borderId="18" applyAlignment="1" pivotButton="0" quotePrefix="0" xfId="41">
      <alignment horizontal="left" vertical="center"/>
    </xf>
    <xf numFmtId="49" fontId="6" fillId="3" borderId="18" applyAlignment="1" pivotButton="0" quotePrefix="0" xfId="41">
      <alignment horizontal="left" vertical="center" wrapText="1"/>
    </xf>
    <xf numFmtId="0" fontId="12" fillId="3" borderId="18" applyAlignment="1" pivotButton="0" quotePrefix="0" xfId="34">
      <alignment horizontal="left" vertical="center"/>
    </xf>
    <xf numFmtId="0" fontId="6" fillId="3" borderId="22" applyAlignment="1" pivotButton="0" quotePrefix="0" xfId="41">
      <alignment horizontal="left" vertical="center"/>
    </xf>
    <xf numFmtId="0" fontId="6" fillId="5" borderId="0" pivotButton="0" quotePrefix="0" xfId="41"/>
    <xf numFmtId="0" fontId="2" fillId="5" borderId="0" applyAlignment="1" pivotButton="0" quotePrefix="0" xfId="38">
      <alignment horizontal="center"/>
    </xf>
    <xf numFmtId="0" fontId="7" fillId="5" borderId="0" pivotButton="0" quotePrefix="0" xfId="38"/>
    <xf numFmtId="0" fontId="6" fillId="5" borderId="0" pivotButton="0" quotePrefix="0" xfId="38"/>
    <xf numFmtId="164" fontId="6" fillId="5" borderId="0" pivotButton="0" quotePrefix="0" xfId="38"/>
    <xf numFmtId="0" fontId="6" fillId="3" borderId="2" applyAlignment="1" pivotButton="0" quotePrefix="0" xfId="41">
      <alignment horizontal="center"/>
    </xf>
    <xf numFmtId="0" fontId="7" fillId="3" borderId="2" applyAlignment="1" pivotButton="0" quotePrefix="0" xfId="41">
      <alignment horizontal="center"/>
    </xf>
    <xf numFmtId="0" fontId="7" fillId="3" borderId="2" applyAlignment="1" pivotButton="0" quotePrefix="0" xfId="41">
      <alignment vertical="center"/>
    </xf>
    <xf numFmtId="14" fontId="6" fillId="3" borderId="2" applyAlignment="1" pivotButton="0" quotePrefix="0" xfId="41">
      <alignment horizontal="center" vertical="top"/>
    </xf>
    <xf numFmtId="0" fontId="9" fillId="3" borderId="2" applyAlignment="1" pivotButton="0" quotePrefix="0" xfId="38">
      <alignment vertical="top"/>
    </xf>
    <xf numFmtId="0" fontId="4" fillId="3" borderId="0" pivotButton="0" quotePrefix="0" xfId="41"/>
    <xf numFmtId="0" fontId="5" fillId="3" borderId="0" pivotButton="0" quotePrefix="0" xfId="38"/>
    <xf numFmtId="0" fontId="6" fillId="3" borderId="0" pivotButton="0" quotePrefix="0" xfId="38"/>
    <xf numFmtId="164" fontId="6" fillId="3" borderId="0" pivotButton="0" quotePrefix="0" xfId="38"/>
    <xf numFmtId="0" fontId="8" fillId="4" borderId="26" applyAlignment="1" pivotButton="0" quotePrefix="0" xfId="41">
      <alignment horizontal="center"/>
    </xf>
    <xf numFmtId="0" fontId="8" fillId="4" borderId="12" applyAlignment="1" pivotButton="0" quotePrefix="0" xfId="41">
      <alignment horizontal="center"/>
    </xf>
    <xf numFmtId="0" fontId="8" fillId="4" borderId="12" applyAlignment="1" pivotButton="0" quotePrefix="0" xfId="41">
      <alignment horizontal="center" wrapText="1"/>
    </xf>
    <xf numFmtId="0" fontId="8" fillId="4" borderId="27" applyAlignment="1" pivotButton="0" quotePrefix="0" xfId="41">
      <alignment horizontal="center"/>
    </xf>
    <xf numFmtId="0" fontId="8" fillId="4" borderId="30" applyAlignment="1" pivotButton="0" quotePrefix="0" xfId="41">
      <alignment horizontal="center" wrapText="1"/>
    </xf>
    <xf numFmtId="0" fontId="6" fillId="7" borderId="28" applyAlignment="1" pivotButton="0" quotePrefix="0" xfId="41">
      <alignment horizontal="center"/>
    </xf>
    <xf numFmtId="49" fontId="12" fillId="3" borderId="15" applyAlignment="1" pivotButton="0" quotePrefix="0" xfId="34">
      <alignment horizontal="left" vertical="center" wrapText="1"/>
    </xf>
    <xf numFmtId="0" fontId="6" fillId="3" borderId="15" applyAlignment="1" pivotButton="0" quotePrefix="0" xfId="41">
      <alignment horizontal="center"/>
    </xf>
    <xf numFmtId="0" fontId="6" fillId="3" borderId="31" applyAlignment="1" pivotButton="0" quotePrefix="0" xfId="41">
      <alignment horizontal="center"/>
    </xf>
    <xf numFmtId="49" fontId="12" fillId="3" borderId="15" pivotButton="0" quotePrefix="0" xfId="34"/>
    <xf numFmtId="0" fontId="6" fillId="8" borderId="28" applyAlignment="1" pivotButton="0" quotePrefix="0" xfId="41">
      <alignment horizontal="center"/>
    </xf>
    <xf numFmtId="49" fontId="14" fillId="3" borderId="15" pivotButton="0" quotePrefix="0" xfId="34"/>
    <xf numFmtId="0" fontId="6" fillId="3" borderId="28" applyAlignment="1" pivotButton="0" quotePrefix="0" xfId="41">
      <alignment horizontal="center"/>
    </xf>
    <xf numFmtId="49" fontId="14" fillId="3" borderId="28" pivotButton="0" quotePrefix="0" xfId="34"/>
    <xf numFmtId="0" fontId="6" fillId="3" borderId="32" applyAlignment="1" pivotButton="0" quotePrefix="0" xfId="41">
      <alignment horizontal="center"/>
    </xf>
    <xf numFmtId="0" fontId="15" fillId="4" borderId="29" applyAlignment="1" pivotButton="0" quotePrefix="0" xfId="41">
      <alignment horizontal="center"/>
    </xf>
    <xf numFmtId="0" fontId="16" fillId="9" borderId="0" applyAlignment="1" pivotButton="0" quotePrefix="0" xfId="0">
      <alignment vertical="center"/>
    </xf>
    <xf numFmtId="0" fontId="15" fillId="4" borderId="18" applyAlignment="1" pivotButton="0" quotePrefix="0" xfId="41">
      <alignment horizontal="center"/>
    </xf>
    <xf numFmtId="0" fontId="6" fillId="3" borderId="0" applyAlignment="1" pivotButton="0" quotePrefix="0" xfId="41">
      <alignment horizontal="center"/>
    </xf>
    <xf numFmtId="10" fontId="6" fillId="3" borderId="0" applyAlignment="1" pivotButton="0" quotePrefix="0" xfId="41">
      <alignment horizontal="center"/>
    </xf>
    <xf numFmtId="9" fontId="6" fillId="3" borderId="0" applyAlignment="1" pivotButton="0" quotePrefix="0" xfId="41">
      <alignment horizontal="center"/>
    </xf>
    <xf numFmtId="0" fontId="7" fillId="3" borderId="0" applyAlignment="1" pivotButton="0" quotePrefix="0" xfId="41">
      <alignment horizontal="left"/>
    </xf>
    <xf numFmtId="2" fontId="7" fillId="3" borderId="0" applyAlignment="1" pivotButton="0" quotePrefix="0" xfId="41">
      <alignment horizontal="right" wrapText="1"/>
    </xf>
    <xf numFmtId="0" fontId="17" fillId="3" borderId="0" applyAlignment="1" pivotButton="0" quotePrefix="0" xfId="41">
      <alignment horizontal="center" wrapText="1"/>
    </xf>
    <xf numFmtId="0" fontId="18" fillId="0" borderId="33" pivotButton="0" quotePrefix="0" xfId="41"/>
    <xf numFmtId="0" fontId="19" fillId="0" borderId="33" applyAlignment="1" pivotButton="0" quotePrefix="0" xfId="41">
      <alignment horizontal="left"/>
    </xf>
    <xf numFmtId="0" fontId="19" fillId="3" borderId="34" applyAlignment="1" pivotButton="0" quotePrefix="0" xfId="39">
      <alignment horizontal="left" wrapText="1"/>
    </xf>
    <xf numFmtId="0" fontId="0" fillId="0" borderId="35" pivotButton="0" quotePrefix="0" xfId="0"/>
    <xf numFmtId="49" fontId="18" fillId="3" borderId="36" applyAlignment="1" pivotButton="0" quotePrefix="0" xfId="39">
      <alignment horizontal="center" wrapText="1"/>
    </xf>
    <xf numFmtId="0" fontId="0" fillId="0" borderId="37" pivotButton="0" quotePrefix="0" xfId="0"/>
    <xf numFmtId="0" fontId="19" fillId="3" borderId="36" applyAlignment="1" pivotButton="0" quotePrefix="0" xfId="39">
      <alignment horizontal="left" wrapText="1"/>
    </xf>
    <xf numFmtId="49" fontId="18" fillId="3" borderId="38" applyAlignment="1" pivotButton="0" quotePrefix="0" xfId="39">
      <alignment horizontal="center" wrapText="1"/>
    </xf>
    <xf numFmtId="0" fontId="0" fillId="0" borderId="39" pivotButton="0" quotePrefix="0" xfId="0"/>
    <xf numFmtId="49" fontId="18" fillId="0" borderId="0" pivotButton="0" quotePrefix="0" xfId="41"/>
    <xf numFmtId="0" fontId="19" fillId="3" borderId="40" applyAlignment="1" pivotButton="0" quotePrefix="0" xfId="39">
      <alignment horizontal="left" wrapText="1"/>
    </xf>
    <xf numFmtId="0" fontId="18" fillId="3" borderId="41" applyAlignment="1" pivotButton="0" quotePrefix="0" xfId="39">
      <alignment horizontal="center" wrapText="1"/>
    </xf>
    <xf numFmtId="0" fontId="0" fillId="0" borderId="42" pivotButton="0" quotePrefix="0" xfId="0"/>
    <xf numFmtId="0" fontId="19" fillId="3" borderId="43" applyAlignment="1" pivotButton="0" quotePrefix="0" xfId="39">
      <alignment horizontal="left" wrapText="1"/>
    </xf>
    <xf numFmtId="0" fontId="0" fillId="0" borderId="44" pivotButton="0" quotePrefix="0" xfId="0"/>
    <xf numFmtId="0" fontId="0" fillId="0" borderId="45" pivotButton="0" quotePrefix="0" xfId="0"/>
    <xf numFmtId="0" fontId="18" fillId="3" borderId="46" applyAlignment="1" pivotButton="0" quotePrefix="0" xfId="39">
      <alignment horizontal="center" wrapText="1"/>
    </xf>
    <xf numFmtId="0" fontId="0" fillId="0" borderId="47" pivotButton="0" quotePrefix="0" xfId="0"/>
    <xf numFmtId="0" fontId="18" fillId="3" borderId="1" applyAlignment="1" pivotButton="0" quotePrefix="0" xfId="39">
      <alignment horizontal="center" wrapText="1"/>
    </xf>
    <xf numFmtId="0" fontId="18" fillId="3" borderId="3" applyAlignment="1" pivotButton="0" quotePrefix="0" xfId="39">
      <alignment horizontal="center" wrapText="1"/>
    </xf>
    <xf numFmtId="0" fontId="18" fillId="3" borderId="48" applyAlignment="1" pivotButton="0" quotePrefix="0" xfId="39">
      <alignment horizontal="center" wrapText="1"/>
    </xf>
    <xf numFmtId="0" fontId="0" fillId="0" borderId="49" pivotButton="0" quotePrefix="0" xfId="0"/>
    <xf numFmtId="0" fontId="0" fillId="0" borderId="50" pivotButton="0" quotePrefix="0" xfId="0"/>
    <xf numFmtId="0" fontId="20" fillId="3" borderId="51" applyAlignment="1" pivotButton="0" quotePrefix="0" xfId="39">
      <alignment horizontal="left" wrapText="1"/>
    </xf>
    <xf numFmtId="0" fontId="0" fillId="0" borderId="52" pivotButton="0" quotePrefix="0" xfId="0"/>
    <xf numFmtId="0" fontId="19" fillId="3" borderId="40" applyAlignment="1" pivotButton="0" quotePrefix="0" xfId="41">
      <alignment horizontal="center" vertical="center"/>
    </xf>
    <xf numFmtId="0" fontId="19" fillId="3" borderId="2" applyAlignment="1" pivotButton="0" quotePrefix="0" xfId="41">
      <alignment horizontal="center" vertical="center" wrapText="1"/>
    </xf>
    <xf numFmtId="0" fontId="19" fillId="3" borderId="53" applyAlignment="1" pivotButton="0" quotePrefix="0" xfId="41">
      <alignment horizontal="center" vertical="center" wrapText="1"/>
    </xf>
    <xf numFmtId="0" fontId="0" fillId="0" borderId="54" pivotButton="0" quotePrefix="0" xfId="0"/>
    <xf numFmtId="0" fontId="19" fillId="3" borderId="55" applyAlignment="1" pivotButton="0" quotePrefix="0" xfId="41">
      <alignment horizontal="center" vertical="center" wrapText="1"/>
    </xf>
    <xf numFmtId="0" fontId="19" fillId="3" borderId="56" applyAlignment="1" pivotButton="0" quotePrefix="0" xfId="41">
      <alignment horizontal="center" vertical="center" wrapText="1"/>
    </xf>
    <xf numFmtId="0" fontId="0" fillId="0" borderId="57" pivotButton="0" quotePrefix="0" xfId="0"/>
    <xf numFmtId="0" fontId="18" fillId="3" borderId="58" applyAlignment="1" pivotButton="0" quotePrefix="0" xfId="41">
      <alignment horizontal="center" vertical="center"/>
    </xf>
    <xf numFmtId="0" fontId="0" fillId="0" borderId="59" pivotButton="0" quotePrefix="0" xfId="0"/>
    <xf numFmtId="0" fontId="18" fillId="3" borderId="60" applyAlignment="1" pivotButton="0" quotePrefix="0" xfId="41">
      <alignment horizontal="center" vertical="center"/>
    </xf>
    <xf numFmtId="0" fontId="0" fillId="0" borderId="61" pivotButton="0" quotePrefix="0" xfId="0"/>
    <xf numFmtId="0" fontId="18" fillId="3" borderId="62" applyAlignment="1" pivotButton="0" quotePrefix="0" xfId="41">
      <alignment horizontal="center" vertical="center"/>
    </xf>
    <xf numFmtId="0" fontId="0" fillId="0" borderId="63" pivotButton="0" quotePrefix="0" xfId="0"/>
    <xf numFmtId="0" fontId="18" fillId="3" borderId="64" applyAlignment="1" pivotButton="0" quotePrefix="0" xfId="41">
      <alignment horizontal="center" vertical="center"/>
    </xf>
    <xf numFmtId="0" fontId="18" fillId="3" borderId="65" applyAlignment="1" pivotButton="0" quotePrefix="0" xfId="41">
      <alignment horizontal="center" vertical="center"/>
    </xf>
    <xf numFmtId="0" fontId="0" fillId="0" borderId="66" pivotButton="0" quotePrefix="0" xfId="0"/>
    <xf numFmtId="0" fontId="18" fillId="0" borderId="67" pivotButton="0" quotePrefix="0" xfId="41"/>
    <xf numFmtId="164" fontId="8" fillId="4" borderId="68" applyAlignment="1" pivotButton="0" quotePrefix="0" xfId="41">
      <alignment horizontal="center" vertical="center"/>
    </xf>
    <xf numFmtId="0" fontId="21" fillId="9" borderId="69" applyAlignment="1" pivotButton="0" quotePrefix="0" xfId="41">
      <alignment horizontal="left"/>
    </xf>
    <xf numFmtId="0" fontId="22" fillId="9" borderId="69" pivotButton="0" quotePrefix="0" xfId="41"/>
    <xf numFmtId="0" fontId="22" fillId="9" borderId="69" applyAlignment="1" pivotButton="0" quotePrefix="0" xfId="41">
      <alignment horizontal="right"/>
    </xf>
    <xf numFmtId="0" fontId="23" fillId="9" borderId="69" applyAlignment="1" pivotButton="0" quotePrefix="0" xfId="41">
      <alignment vertical="top" textRotation="180"/>
    </xf>
    <xf numFmtId="0" fontId="24" fillId="9" borderId="69" applyAlignment="1" pivotButton="0" quotePrefix="0" xfId="41">
      <alignment vertical="top" textRotation="180"/>
    </xf>
    <xf numFmtId="0" fontId="21" fillId="9" borderId="69" applyAlignment="1" pivotButton="0" quotePrefix="0" xfId="41">
      <alignment vertical="top" textRotation="180"/>
    </xf>
    <xf numFmtId="0" fontId="21" fillId="9" borderId="70" applyAlignment="1" pivotButton="0" quotePrefix="0" xfId="41">
      <alignment vertical="top" textRotation="180"/>
    </xf>
    <xf numFmtId="0" fontId="19" fillId="0" borderId="0" pivotButton="0" quotePrefix="0" xfId="41"/>
    <xf numFmtId="0" fontId="21" fillId="9" borderId="71" applyAlignment="1" pivotButton="0" quotePrefix="0" xfId="41">
      <alignment vertical="center"/>
    </xf>
    <xf numFmtId="0" fontId="19" fillId="10" borderId="72" applyAlignment="1" pivotButton="0" quotePrefix="0" xfId="41">
      <alignment horizontal="left" vertical="top"/>
    </xf>
    <xf numFmtId="0" fontId="18" fillId="10" borderId="73" applyAlignment="1" pivotButton="0" quotePrefix="0" xfId="41">
      <alignment horizontal="center" vertical="top"/>
    </xf>
    <xf numFmtId="0" fontId="18" fillId="10" borderId="74" applyAlignment="1" pivotButton="0" quotePrefix="0" xfId="41">
      <alignment horizontal="right" vertical="top"/>
    </xf>
    <xf numFmtId="0" fontId="20" fillId="11" borderId="0" applyAlignment="1" pivotButton="0" quotePrefix="0" xfId="41">
      <alignment horizontal="right"/>
    </xf>
    <xf numFmtId="0" fontId="25" fillId="0" borderId="75" applyAlignment="1" pivotButton="0" quotePrefix="0" xfId="41">
      <alignment horizontal="center"/>
    </xf>
    <xf numFmtId="0" fontId="25" fillId="0" borderId="76" applyAlignment="1" pivotButton="0" quotePrefix="0" xfId="41">
      <alignment horizontal="center"/>
    </xf>
    <xf numFmtId="0" fontId="21" fillId="9" borderId="77" applyAlignment="1" pivotButton="0" quotePrefix="0" xfId="41">
      <alignment vertical="center"/>
    </xf>
    <xf numFmtId="0" fontId="19" fillId="10" borderId="78" applyAlignment="1" pivotButton="0" quotePrefix="0" xfId="41">
      <alignment horizontal="left" vertical="top"/>
    </xf>
    <xf numFmtId="0" fontId="18" fillId="10" borderId="44" applyAlignment="1" pivotButton="0" quotePrefix="0" xfId="41">
      <alignment horizontal="center" vertical="top"/>
    </xf>
    <xf numFmtId="0" fontId="18" fillId="10" borderId="45" applyAlignment="1" pivotButton="0" quotePrefix="0" xfId="41">
      <alignment horizontal="right" vertical="top"/>
    </xf>
    <xf numFmtId="0" fontId="25" fillId="0" borderId="43" applyAlignment="1" pivotButton="0" quotePrefix="0" xfId="41">
      <alignment horizontal="center"/>
    </xf>
    <xf numFmtId="0" fontId="25" fillId="0" borderId="79" applyAlignment="1" pivotButton="0" quotePrefix="0" xfId="41">
      <alignment horizontal="center"/>
    </xf>
    <xf numFmtId="0" fontId="21" fillId="9" borderId="71" applyAlignment="1" pivotButton="0" quotePrefix="0" xfId="41">
      <alignment vertical="top"/>
    </xf>
    <xf numFmtId="0" fontId="19" fillId="10" borderId="72" pivotButton="0" quotePrefix="0" xfId="41"/>
    <xf numFmtId="0" fontId="19" fillId="10" borderId="73" pivotButton="0" quotePrefix="0" xfId="41"/>
    <xf numFmtId="0" fontId="18" fillId="10" borderId="74" applyAlignment="1" pivotButton="0" quotePrefix="0" xfId="41">
      <alignment horizontal="right"/>
    </xf>
    <xf numFmtId="0" fontId="18" fillId="11" borderId="75" applyAlignment="1" pivotButton="0" quotePrefix="0" xfId="41">
      <alignment horizontal="left"/>
    </xf>
    <xf numFmtId="0" fontId="21" fillId="9" borderId="77" applyAlignment="1" pivotButton="0" quotePrefix="0" xfId="41">
      <alignment vertical="top"/>
    </xf>
    <xf numFmtId="0" fontId="19" fillId="10" borderId="78" pivotButton="0" quotePrefix="0" xfId="41"/>
    <xf numFmtId="0" fontId="18" fillId="10" borderId="44" pivotButton="0" quotePrefix="0" xfId="41"/>
    <xf numFmtId="0" fontId="18" fillId="10" borderId="45" applyAlignment="1" pivotButton="0" quotePrefix="0" xfId="41">
      <alignment horizontal="right"/>
    </xf>
    <xf numFmtId="0" fontId="18" fillId="11" borderId="43" applyAlignment="1" pivotButton="0" quotePrefix="0" xfId="41">
      <alignment horizontal="left"/>
    </xf>
    <xf numFmtId="0" fontId="26" fillId="10" borderId="44" pivotButton="0" quotePrefix="0" xfId="41"/>
    <xf numFmtId="0" fontId="18" fillId="11" borderId="43" pivotButton="0" quotePrefix="0" xfId="41"/>
    <xf numFmtId="0" fontId="18" fillId="0" borderId="80" applyAlignment="1" pivotButton="0" quotePrefix="0" xfId="41">
      <alignment horizontal="left"/>
    </xf>
    <xf numFmtId="0" fontId="0" fillId="0" borderId="81" pivotButton="0" quotePrefix="0" xfId="0"/>
    <xf numFmtId="0" fontId="0" fillId="0" borderId="82" pivotButton="0" quotePrefix="0" xfId="0"/>
    <xf numFmtId="0" fontId="18" fillId="0" borderId="80" applyAlignment="1" pivotButton="0" quotePrefix="0" xfId="41">
      <alignment horizontal="center"/>
    </xf>
    <xf numFmtId="0" fontId="18" fillId="0" borderId="83" applyAlignment="1" pivotButton="0" quotePrefix="0" xfId="41">
      <alignment horizontal="center"/>
    </xf>
    <xf numFmtId="0" fontId="18" fillId="0" borderId="43" applyAlignment="1" pivotButton="0" quotePrefix="0" xfId="41">
      <alignment horizontal="left"/>
    </xf>
    <xf numFmtId="0" fontId="27" fillId="0" borderId="43" applyAlignment="1" pivotButton="0" quotePrefix="0" xfId="41">
      <alignment horizontal="left"/>
    </xf>
    <xf numFmtId="0" fontId="18" fillId="0" borderId="43" applyAlignment="1" pivotButton="0" quotePrefix="0" xfId="41">
      <alignment horizontal="center"/>
    </xf>
    <xf numFmtId="0" fontId="18" fillId="0" borderId="79" applyAlignment="1" pivotButton="0" quotePrefix="0" xfId="41">
      <alignment horizontal="center"/>
    </xf>
    <xf numFmtId="0" fontId="18" fillId="0" borderId="43" applyAlignment="1" pivotButton="0" quotePrefix="0" xfId="41">
      <alignment horizontal="left" vertical="top"/>
    </xf>
    <xf numFmtId="0" fontId="18" fillId="0" borderId="43" pivotButton="0" quotePrefix="0" xfId="41"/>
    <xf numFmtId="165" fontId="18" fillId="0" borderId="43" applyAlignment="1" pivotButton="0" quotePrefix="0" xfId="41">
      <alignment vertical="top" textRotation="255"/>
    </xf>
    <xf numFmtId="165" fontId="18" fillId="0" borderId="79" applyAlignment="1" pivotButton="0" quotePrefix="0" xfId="41">
      <alignment vertical="top" textRotation="255"/>
    </xf>
    <xf numFmtId="0" fontId="21" fillId="9" borderId="84" applyAlignment="1" pivotButton="0" quotePrefix="0" xfId="41">
      <alignment vertical="top"/>
    </xf>
    <xf numFmtId="0" fontId="18" fillId="0" borderId="85" applyAlignment="1" pivotButton="0" quotePrefix="0" xfId="41">
      <alignment horizontal="left" vertical="top"/>
    </xf>
    <xf numFmtId="0" fontId="0" fillId="0" borderId="86" pivotButton="0" quotePrefix="0" xfId="0"/>
    <xf numFmtId="0" fontId="0" fillId="0" borderId="87" pivotButton="0" quotePrefix="0" xfId="0"/>
    <xf numFmtId="0" fontId="18" fillId="0" borderId="85" pivotButton="0" quotePrefix="0" xfId="41"/>
    <xf numFmtId="0" fontId="18" fillId="0" borderId="85" applyAlignment="1" pivotButton="0" quotePrefix="0" xfId="41">
      <alignment textRotation="255"/>
    </xf>
    <xf numFmtId="0" fontId="18" fillId="0" borderId="88" applyAlignment="1" pivotButton="0" quotePrefix="0" xfId="41">
      <alignment textRotation="255"/>
    </xf>
    <xf numFmtId="0" fontId="21" fillId="0" borderId="0" applyAlignment="1" pivotButton="0" quotePrefix="0" xfId="41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List Contracts'!A1" TargetMode="External" Id="rId1" /><Relationship Type="http://schemas.openxmlformats.org/officeDocument/2006/relationships/hyperlink" Target="#'Fund Milestone'!A1" TargetMode="External" Id="rId2" /><Relationship Type="http://schemas.openxmlformats.org/officeDocument/2006/relationships/hyperlink" Target="#'Audit Spec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.1796875" customWidth="1" min="1" max="1"/>
    <col width="10" customWidth="1" min="2" max="2"/>
    <col width="14.453125" customWidth="1" min="3" max="3"/>
    <col width="8" customWidth="1" min="4" max="4"/>
    <col width="100.90625" customWidth="1" min="5" max="5"/>
    <col width="48.1796875" customWidth="1" min="6" max="6"/>
    <col width="11" customWidth="1" min="7" max="7"/>
    <col width="9" customWidth="1" min="257" max="257"/>
  </cols>
  <sheetData>
    <row r="1"/>
    <row r="2" ht="75.75" customHeight="1">
      <c r="A2" s="1" t="n"/>
      <c r="B2" s="2" t="inlineStr">
        <is>
          <t>UNIT TEST CASE</t>
        </is>
      </c>
      <c r="C2" s="3" t="n"/>
      <c r="D2" s="3" t="n"/>
      <c r="E2" s="3" t="n"/>
      <c r="F2" s="4" t="n"/>
    </row>
    <row r="3">
      <c r="A3" s="5" t="n"/>
      <c r="B3" s="6" t="n"/>
      <c r="E3" s="7" t="n"/>
    </row>
    <row r="4" ht="14.25" customHeight="1">
      <c r="A4" s="8" t="inlineStr">
        <is>
          <t>Project Name</t>
        </is>
      </c>
      <c r="B4" s="9" t="inlineStr">
        <is>
          <t>InterDev Platform</t>
        </is>
      </c>
      <c r="C4" s="3" t="n"/>
      <c r="D4" s="4" t="n"/>
      <c r="E4" s="8" t="inlineStr">
        <is>
          <t>Creator</t>
        </is>
      </c>
      <c r="F4" s="10" t="inlineStr">
        <is>
          <t>Codex</t>
        </is>
      </c>
    </row>
    <row r="5" ht="14.25" customHeight="1">
      <c r="A5" s="8" t="inlineStr">
        <is>
          <t>Project Code</t>
        </is>
      </c>
      <c r="B5" s="9" t="inlineStr">
        <is>
          <t>INTERDEV</t>
        </is>
      </c>
      <c r="C5" s="3" t="n"/>
      <c r="D5" s="4" t="n"/>
      <c r="E5" s="8" t="inlineStr">
        <is>
          <t>Reviewer/Approver</t>
        </is>
      </c>
      <c r="F5" s="10" t="inlineStr">
        <is>
          <t>Pending review</t>
        </is>
      </c>
    </row>
    <row r="6" ht="15.75" customHeight="1">
      <c r="A6" s="11" t="inlineStr">
        <is>
          <t>Document Code</t>
        </is>
      </c>
      <c r="B6" s="12">
        <f>B5&amp;"_UTC_"&amp;"v0.1"</f>
        <v/>
      </c>
      <c r="C6" s="13" t="n"/>
      <c r="D6" s="14" t="n"/>
      <c r="E6" s="8" t="inlineStr">
        <is>
          <t>Issue Date</t>
        </is>
      </c>
      <c r="F6" s="15" t="n">
        <v>46110</v>
      </c>
    </row>
    <row r="7" ht="13.5" customHeight="1">
      <c r="A7" s="16" t="n"/>
      <c r="B7" s="17" t="n"/>
      <c r="C7" s="18" t="n"/>
      <c r="D7" s="19" t="n"/>
      <c r="E7" s="8" t="inlineStr">
        <is>
          <t>Version</t>
        </is>
      </c>
      <c r="F7" s="20" t="n">
        <v>0.1</v>
      </c>
    </row>
    <row r="8">
      <c r="A8" s="21" t="n"/>
      <c r="B8" s="22" t="n"/>
      <c r="E8" s="23" t="n"/>
      <c r="F8" s="6" t="n"/>
    </row>
    <row r="9">
      <c r="A9" s="24" t="n"/>
    </row>
    <row r="10">
      <c r="A10" s="25" t="inlineStr">
        <is>
          <t>Record of change</t>
        </is>
      </c>
    </row>
    <row r="11">
      <c r="A11" s="26" t="inlineStr">
        <is>
          <t>Effective Date</t>
        </is>
      </c>
      <c r="B11" s="27" t="inlineStr">
        <is>
          <t>Version</t>
        </is>
      </c>
      <c r="C11" s="27" t="inlineStr">
        <is>
          <t>Change Item</t>
        </is>
      </c>
      <c r="D11" s="27" t="inlineStr">
        <is>
          <t>*A,D,M</t>
        </is>
      </c>
      <c r="E11" s="27" t="inlineStr">
        <is>
          <t>Change description</t>
        </is>
      </c>
      <c r="F11" s="28" t="inlineStr">
        <is>
          <t>Reference</t>
        </is>
      </c>
    </row>
    <row r="12" ht="26.25" customHeight="1">
      <c r="A12" s="29" t="n">
        <v>46110</v>
      </c>
      <c r="B12" s="30" t="inlineStr">
        <is>
          <t>0.1</t>
        </is>
      </c>
      <c r="C12" s="31" t="inlineStr">
        <is>
          <t>Initial clean preview workbook</t>
        </is>
      </c>
      <c r="D12" s="31" t="inlineStr">
        <is>
          <t>A</t>
        </is>
      </c>
      <c r="E12" s="32" t="inlineStr">
        <is>
          <t>Create clean InterDev-only sample workbook that references the external template style without reusing its project data</t>
        </is>
      </c>
      <c r="F12" s="33" t="inlineStr">
        <is>
          <t>Current codebase + executed Jest specs</t>
        </is>
      </c>
    </row>
    <row r="13" ht="21.75" customHeight="1">
      <c r="A13" s="34" t="n"/>
      <c r="B13" s="30" t="n"/>
      <c r="C13" s="31" t="n"/>
      <c r="D13" s="31" t="n"/>
      <c r="E13" s="31" t="n"/>
      <c r="F13" s="35" t="n"/>
    </row>
    <row r="14" ht="19.5" customHeight="1">
      <c r="A14" s="34" t="n"/>
      <c r="B14" s="30" t="n"/>
      <c r="C14" s="31" t="n"/>
      <c r="D14" s="31" t="n"/>
      <c r="E14" s="31" t="n"/>
      <c r="F14" s="35" t="n"/>
    </row>
    <row r="15" ht="43" customHeight="1">
      <c r="A15" s="34" t="n"/>
      <c r="B15" s="30" t="n"/>
      <c r="C15" s="31" t="n"/>
      <c r="D15" s="31" t="n"/>
      <c r="E15" s="36" t="n"/>
      <c r="F15" s="35" t="n"/>
    </row>
    <row r="16" ht="37" customHeight="1">
      <c r="A16" s="34" t="n"/>
      <c r="B16" s="30" t="n"/>
      <c r="C16" s="31" t="n"/>
      <c r="D16" s="31" t="n"/>
      <c r="E16" s="36" t="n"/>
      <c r="F16" s="35" t="n"/>
    </row>
    <row r="17" ht="21.75" customHeight="1">
      <c r="A17" s="34" t="n"/>
      <c r="B17" s="30" t="n"/>
      <c r="C17" s="31" t="n"/>
      <c r="D17" s="31" t="n"/>
      <c r="E17" s="31" t="n"/>
      <c r="F17" s="35" t="n"/>
    </row>
    <row r="18" ht="21.75" customHeight="1">
      <c r="A18" s="37" t="n"/>
      <c r="B18" s="38" t="n"/>
      <c r="C18" s="39" t="n"/>
      <c r="D18" s="39" t="n"/>
      <c r="E18" s="39" t="n"/>
      <c r="F18" s="40" t="n"/>
    </row>
    <row r="19" ht="21.75" customHeight="1">
      <c r="A19" s="37" t="n"/>
      <c r="B19" s="41" t="n"/>
      <c r="C19" s="42" t="n"/>
      <c r="D19" s="42" t="n"/>
      <c r="E19" s="42" t="n"/>
      <c r="F19" s="40" t="n"/>
    </row>
    <row r="20" ht="21.75" customHeight="1">
      <c r="A20" s="43" t="n"/>
      <c r="B20" s="41" t="n"/>
      <c r="C20" s="42" t="n"/>
      <c r="D20" s="42" t="n"/>
      <c r="E20" s="42" t="n"/>
      <c r="F20" s="40" t="n"/>
    </row>
    <row r="21" ht="21.75" customHeight="1">
      <c r="A21" s="43" t="n"/>
      <c r="B21" s="41" t="n"/>
      <c r="C21" s="42" t="n"/>
      <c r="D21" s="42" t="n"/>
      <c r="E21" s="42" t="n"/>
      <c r="F21" s="40" t="n"/>
    </row>
    <row r="22" ht="21.75" customHeight="1">
      <c r="A22" s="43" t="n"/>
      <c r="B22" s="41" t="n"/>
      <c r="C22" s="42" t="n"/>
      <c r="D22" s="42" t="n"/>
      <c r="E22" s="42" t="n"/>
      <c r="F22" s="40" t="n"/>
    </row>
    <row r="23" ht="21.75" customHeight="1">
      <c r="A23" s="43" t="n"/>
      <c r="B23" s="41" t="n"/>
      <c r="C23" s="42" t="n"/>
      <c r="D23" s="42" t="n"/>
      <c r="E23" s="42" t="n"/>
      <c r="F23" s="40" t="n"/>
    </row>
    <row r="24" ht="21.75" customHeight="1">
      <c r="A24" s="43" t="n"/>
      <c r="B24" s="41" t="n"/>
      <c r="C24" s="42" t="n"/>
      <c r="D24" s="42" t="n"/>
      <c r="E24" s="42" t="n"/>
      <c r="F24" s="40" t="n"/>
    </row>
    <row r="25" ht="21.75" customHeight="1">
      <c r="A25" s="43" t="n"/>
      <c r="B25" s="41" t="n"/>
      <c r="C25" s="42" t="n"/>
      <c r="D25" s="42" t="n"/>
      <c r="E25" s="42" t="n"/>
      <c r="F25" s="40" t="n"/>
    </row>
    <row r="26" ht="19.5" customHeight="1">
      <c r="A26" s="37" t="n"/>
      <c r="B26" s="38" t="n"/>
      <c r="C26" s="39" t="n"/>
      <c r="D26" s="39" t="n"/>
      <c r="E26" s="39" t="n"/>
      <c r="F26" s="44" t="n"/>
    </row>
  </sheetData>
  <mergeCells count="5">
    <mergeCell ref="B5:D5"/>
    <mergeCell ref="B6:D7"/>
    <mergeCell ref="B2:F2"/>
    <mergeCell ref="B4:D4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7.1796875" customWidth="1" min="1" max="1"/>
    <col width="22.81640625" customWidth="1" min="2" max="2"/>
    <col width="19.36328125" customWidth="1" min="3" max="3"/>
    <col width="30.81640625" customWidth="1" min="4" max="4"/>
    <col width="24.90625" customWidth="1" min="5" max="5"/>
    <col width="31.81640625" customWidth="1" min="6" max="6"/>
    <col width="30.6328125" customWidth="1" min="7" max="7"/>
    <col width="33.81640625" customWidth="1" min="8" max="8"/>
    <col width="11" customWidth="1" min="9" max="9"/>
    <col width="9" customWidth="1" min="257" max="257"/>
  </cols>
  <sheetData>
    <row r="1">
      <c r="A1" s="45" t="n"/>
      <c r="B1" s="45" t="n"/>
      <c r="C1" s="45" t="n"/>
      <c r="D1" s="46" t="n"/>
      <c r="E1" s="47" t="n"/>
      <c r="F1" s="46" t="n"/>
      <c r="G1" s="46" t="n"/>
      <c r="H1" s="46" t="n"/>
    </row>
    <row r="2" ht="24.5" customHeight="1">
      <c r="A2" s="48" t="n"/>
      <c r="B2" s="48" t="n"/>
      <c r="C2" s="48" t="n"/>
      <c r="D2" s="46" t="n"/>
      <c r="E2" s="49" t="inlineStr">
        <is>
          <t>UNIT TEST CASE LIST</t>
        </is>
      </c>
      <c r="F2" s="49" t="n"/>
      <c r="G2" s="50" t="n"/>
      <c r="H2" s="46" t="n"/>
    </row>
    <row r="3" ht="13.5" customHeight="1">
      <c r="A3" s="48" t="n"/>
      <c r="B3" s="48" t="n"/>
      <c r="C3" s="48" t="n"/>
      <c r="D3" s="46" t="n"/>
      <c r="E3" s="47" t="n"/>
      <c r="F3" s="51" t="n"/>
      <c r="G3" s="51" t="n"/>
      <c r="H3" s="46" t="n"/>
    </row>
    <row r="4" ht="14.25" customHeight="1">
      <c r="A4" s="52" t="inlineStr">
        <is>
          <t>Project Name</t>
        </is>
      </c>
      <c r="B4" s="3" t="n"/>
      <c r="C4" s="3" t="n"/>
      <c r="D4" s="3" t="n"/>
      <c r="E4" s="53" t="inlineStr">
        <is>
          <t>InterDev Platform</t>
        </is>
      </c>
      <c r="F4" s="3" t="n"/>
      <c r="G4" s="3" t="n"/>
      <c r="H4" s="4" t="n"/>
    </row>
    <row r="5" ht="14.25" customHeight="1">
      <c r="A5" s="52" t="inlineStr">
        <is>
          <t>Project Code</t>
        </is>
      </c>
      <c r="B5" s="3" t="n"/>
      <c r="C5" s="3" t="n"/>
      <c r="D5" s="3" t="n"/>
      <c r="E5" s="53" t="inlineStr">
        <is>
          <t>INTERDEV</t>
        </is>
      </c>
      <c r="F5" s="3" t="n"/>
      <c r="G5" s="3" t="n"/>
      <c r="H5" s="4" t="n"/>
    </row>
    <row r="6" ht="14.25" customHeight="1">
      <c r="A6" s="54" t="inlineStr">
        <is>
          <t xml:space="preserve">Normal number of Test cases/KLOC </t>
        </is>
      </c>
      <c r="B6" s="3" t="n"/>
      <c r="C6" s="3" t="n"/>
      <c r="D6" s="4" t="n"/>
      <c r="E6" s="55" t="n">
        <v>300</v>
      </c>
      <c r="F6" s="56" t="n"/>
      <c r="G6" s="56" t="n"/>
      <c r="H6" s="57" t="n"/>
    </row>
    <row r="7" ht="12.75" customHeight="1">
      <c r="A7" s="58" t="inlineStr">
        <is>
          <t>Test Environment Setup Description</t>
        </is>
      </c>
      <c r="B7" s="3" t="n"/>
      <c r="C7" s="3" t="n"/>
      <c r="D7" s="4" t="n"/>
      <c r="E7" s="59" t="inlineStr">
        <is>
          <t>Source of truth: current InterDev NestJS server code and executed Jest specs.</t>
        </is>
      </c>
      <c r="F7" s="3" t="n"/>
      <c r="G7" s="3" t="n"/>
      <c r="H7" s="4" t="n"/>
    </row>
    <row r="8" ht="12.75" customHeight="1">
      <c r="A8" s="60" t="n"/>
      <c r="B8" s="60" t="n"/>
      <c r="C8" s="60" t="n"/>
      <c r="D8" s="7" t="n"/>
      <c r="E8" s="61" t="n"/>
      <c r="F8" s="7" t="n"/>
      <c r="G8" s="7" t="n"/>
      <c r="H8" s="7" t="n"/>
    </row>
    <row r="9" ht="12.75" customHeight="1">
      <c r="A9" s="62" t="n"/>
      <c r="B9" s="62" t="n"/>
      <c r="C9" s="62" t="n"/>
      <c r="D9" s="63" t="n"/>
      <c r="E9" s="64" t="n"/>
      <c r="F9" s="63" t="n"/>
      <c r="G9" s="63" t="n"/>
      <c r="H9" s="63" t="n"/>
    </row>
    <row r="10" ht="24" customHeight="1">
      <c r="A10" s="65" t="inlineStr">
        <is>
          <t>No</t>
        </is>
      </c>
      <c r="B10" s="66" t="inlineStr">
        <is>
          <t>Requirement
Name</t>
        </is>
      </c>
      <c r="C10" s="67" t="inlineStr">
        <is>
          <t>Class Name</t>
        </is>
      </c>
      <c r="D10" s="68" t="inlineStr">
        <is>
          <t>Function Name</t>
        </is>
      </c>
      <c r="E10" s="69" t="inlineStr">
        <is>
          <t xml:space="preserve"> Function Code(Optional)</t>
        </is>
      </c>
      <c r="F10" s="68" t="inlineStr">
        <is>
          <t>Sheet Name</t>
        </is>
      </c>
      <c r="G10" s="70" t="inlineStr">
        <is>
          <t>Description</t>
        </is>
      </c>
      <c r="H10" s="71" t="inlineStr">
        <is>
          <t>Pre-Condition</t>
        </is>
      </c>
    </row>
    <row r="11" ht="13" customHeight="1">
      <c r="A11" s="72" t="n">
        <v>1</v>
      </c>
      <c r="B11" s="73" t="inlineStr">
        <is>
          <t>Contract Management</t>
        </is>
      </c>
      <c r="C11" s="73" t="inlineStr">
        <is>
          <t>ContractsController</t>
        </is>
      </c>
      <c r="D11" s="74" t="inlineStr">
        <is>
          <t>List Contracts</t>
        </is>
      </c>
      <c r="E11" s="75" t="inlineStr">
        <is>
          <t>CTRL-CONTRACTS-001</t>
        </is>
      </c>
      <c r="F11" s="76" t="inlineStr">
        <is>
          <t>List Contracts</t>
        </is>
      </c>
      <c r="G11" s="77" t="inlineStr">
        <is>
          <t>GET /contracts/list</t>
        </is>
      </c>
      <c r="H11" s="78" t="inlineStr">
        <is>
          <t>Authenticated user</t>
        </is>
      </c>
    </row>
    <row r="12" ht="13" customHeight="1">
      <c r="A12" s="72" t="n">
        <v>2</v>
      </c>
      <c r="B12" s="73" t="inlineStr">
        <is>
          <t>Milestone Funding</t>
        </is>
      </c>
      <c r="C12" s="73" t="inlineStr">
        <is>
          <t>PaymentsController</t>
        </is>
      </c>
      <c r="D12" s="74" t="inlineStr">
        <is>
          <t>Fund Milestone</t>
        </is>
      </c>
      <c r="E12" s="75" t="inlineStr">
        <is>
          <t>CTRL-PAYMENTS-001</t>
        </is>
      </c>
      <c r="F12" s="79" t="inlineStr">
        <is>
          <t>Fund Milestone</t>
        </is>
      </c>
      <c r="G12" s="77" t="inlineStr">
        <is>
          <t>POST /payments/milestones/:milestoneId/fund</t>
        </is>
      </c>
      <c r="H12" s="78" t="inlineStr">
        <is>
          <t>Authenticated client user and milestone funding payload</t>
        </is>
      </c>
    </row>
    <row r="13" ht="13" customHeight="1">
      <c r="A13" s="72" t="n">
        <v>3</v>
      </c>
      <c r="B13" s="73" t="inlineStr">
        <is>
          <t>Project Spec Review</t>
        </is>
      </c>
      <c r="C13" s="73" t="inlineStr">
        <is>
          <t>ProjectSpecsController</t>
        </is>
      </c>
      <c r="D13" s="74" t="inlineStr">
        <is>
          <t>Audit Spec</t>
        </is>
      </c>
      <c r="E13" s="75" t="inlineStr">
        <is>
          <t>CTRL-PROJECT-SPECS-001</t>
        </is>
      </c>
      <c r="F13" s="76" t="inlineStr">
        <is>
          <t>Audit Spec</t>
        </is>
      </c>
      <c r="G13" s="77" t="inlineStr">
        <is>
          <t>POST /project-specs/:id/audit</t>
        </is>
      </c>
      <c r="H13" s="78" t="inlineStr">
        <is>
          <t>Authenticated admin/staff user with an auditable spec</t>
        </is>
      </c>
    </row>
    <row r="14" ht="13" customHeight="1">
      <c r="A14" s="72" t="n"/>
      <c r="B14" s="73" t="n"/>
      <c r="C14" s="73" t="n"/>
      <c r="D14" s="74" t="n"/>
      <c r="E14" s="75" t="n"/>
      <c r="F14" s="76" t="n"/>
      <c r="G14" s="77" t="n"/>
      <c r="H14" s="78" t="n"/>
    </row>
    <row r="15" ht="13" customHeight="1">
      <c r="A15" s="72" t="n"/>
      <c r="B15" s="73" t="n"/>
      <c r="C15" s="73" t="n"/>
      <c r="D15" s="74" t="n"/>
      <c r="E15" s="75" t="n"/>
      <c r="F15" s="76" t="n"/>
      <c r="G15" s="80" t="n"/>
      <c r="H15" s="78" t="n"/>
    </row>
    <row r="16" ht="13" customHeight="1">
      <c r="A16" s="72" t="n"/>
      <c r="B16" s="73" t="n"/>
      <c r="C16" s="73" t="n"/>
      <c r="D16" s="74" t="n"/>
      <c r="E16" s="75" t="n"/>
      <c r="F16" s="76" t="n"/>
      <c r="G16" s="81" t="n"/>
      <c r="H16" s="78" t="n"/>
    </row>
    <row r="17" ht="13" customHeight="1">
      <c r="A17" s="72" t="n"/>
      <c r="B17" s="73" t="n"/>
      <c r="C17" s="73" t="n"/>
      <c r="D17" s="74" t="n"/>
      <c r="E17" s="75" t="n"/>
      <c r="F17" s="76" t="n"/>
      <c r="G17" s="81" t="n"/>
      <c r="H17" s="78" t="n"/>
    </row>
    <row r="18" ht="13" customHeight="1">
      <c r="A18" s="72" t="n"/>
      <c r="B18" s="73" t="n"/>
      <c r="C18" s="73" t="n"/>
      <c r="D18" s="74" t="n"/>
      <c r="E18" s="75" t="n"/>
      <c r="F18" s="76" t="n"/>
      <c r="G18" s="81" t="n"/>
      <c r="H18" s="78" t="n"/>
    </row>
    <row r="19" ht="13" customHeight="1">
      <c r="A19" s="72" t="n"/>
      <c r="B19" s="73" t="n"/>
      <c r="C19" s="73" t="n"/>
      <c r="D19" s="74" t="n"/>
      <c r="E19" s="75" t="n"/>
      <c r="F19" s="76" t="n"/>
      <c r="G19" s="81" t="n"/>
      <c r="H19" s="78" t="n"/>
    </row>
    <row r="20" ht="13" customHeight="1">
      <c r="A20" s="72" t="n"/>
      <c r="B20" s="73" t="n"/>
      <c r="C20" s="73" t="n"/>
      <c r="D20" s="74" t="n"/>
      <c r="E20" s="75" t="n"/>
      <c r="F20" s="76" t="n"/>
      <c r="G20" s="81" t="n"/>
      <c r="H20" s="78" t="n"/>
    </row>
    <row r="21" ht="13" customHeight="1">
      <c r="A21" s="72" t="n"/>
      <c r="B21" s="73" t="n"/>
      <c r="C21" s="73" t="n"/>
      <c r="D21" s="74" t="n"/>
      <c r="E21" s="75" t="n"/>
      <c r="F21" s="76" t="n"/>
      <c r="G21" s="81" t="n"/>
      <c r="H21" s="78" t="n"/>
    </row>
    <row r="22" ht="13" customHeight="1">
      <c r="A22" s="72" t="n"/>
      <c r="B22" s="73" t="n"/>
      <c r="C22" s="73" t="n"/>
      <c r="D22" s="74" t="n"/>
      <c r="E22" s="75" t="n"/>
      <c r="F22" s="82" t="n"/>
      <c r="G22" s="81" t="n"/>
      <c r="H22" s="78" t="n"/>
    </row>
    <row r="23" ht="13" customHeight="1">
      <c r="A23" s="72" t="n"/>
      <c r="B23" s="83" t="n"/>
      <c r="C23" s="73" t="n"/>
      <c r="D23" s="84" t="n"/>
      <c r="E23" s="75" t="n"/>
      <c r="F23" s="85" t="n"/>
      <c r="G23" s="86" t="n"/>
      <c r="H23" s="78" t="n"/>
    </row>
    <row r="24" ht="13" customHeight="1">
      <c r="A24" s="72" t="n"/>
      <c r="B24" s="83" t="n"/>
      <c r="C24" s="73" t="n"/>
      <c r="D24" s="84" t="n"/>
      <c r="E24" s="75" t="n"/>
      <c r="F24" s="85" t="n"/>
      <c r="G24" s="86" t="n"/>
      <c r="H24" s="78" t="n"/>
    </row>
    <row r="25" ht="13" customHeight="1">
      <c r="A25" s="72" t="n"/>
      <c r="B25" s="83" t="n"/>
      <c r="C25" s="73" t="n"/>
      <c r="D25" s="84" t="n"/>
      <c r="E25" s="75" t="n"/>
      <c r="F25" s="85" t="n"/>
      <c r="G25" s="86" t="n"/>
      <c r="H25" s="78" t="n"/>
    </row>
    <row r="26" ht="13" customHeight="1">
      <c r="A26" s="72" t="n"/>
      <c r="B26" s="83" t="n"/>
      <c r="C26" s="83" t="n"/>
      <c r="D26" s="84" t="n"/>
      <c r="E26" s="87" t="n"/>
      <c r="F26" s="85" t="n"/>
      <c r="G26" s="84" t="n"/>
      <c r="H26" s="78" t="n"/>
    </row>
    <row r="27" ht="13" customHeight="1">
      <c r="A27" s="72" t="n"/>
      <c r="B27" s="83" t="n"/>
      <c r="C27" s="83" t="n"/>
      <c r="D27" s="84" t="n"/>
      <c r="E27" s="87" t="n"/>
      <c r="F27" s="85" t="n"/>
      <c r="G27" s="84" t="n"/>
      <c r="H27" s="78" t="n"/>
    </row>
    <row r="28" ht="13" customHeight="1">
      <c r="A28" s="72" t="n"/>
      <c r="B28" s="83" t="n"/>
      <c r="C28" s="83" t="n"/>
      <c r="D28" s="84" t="n"/>
      <c r="E28" s="87" t="n"/>
      <c r="F28" s="85" t="n"/>
      <c r="G28" s="84" t="n"/>
      <c r="H28" s="78" t="n"/>
    </row>
    <row r="29" ht="13" customHeight="1">
      <c r="A29" s="72" t="n"/>
      <c r="B29" s="83" t="n"/>
      <c r="C29" s="83" t="n"/>
      <c r="D29" s="84" t="n"/>
      <c r="E29" s="87" t="n"/>
      <c r="F29" s="85" t="n"/>
      <c r="G29" s="84" t="n"/>
      <c r="H29" s="78" t="n"/>
    </row>
    <row r="30" ht="13" customHeight="1">
      <c r="A30" s="72" t="n"/>
      <c r="B30" s="83" t="n"/>
      <c r="C30" s="83" t="n"/>
      <c r="D30" s="84" t="n"/>
      <c r="E30" s="87" t="n"/>
      <c r="F30" s="85" t="n"/>
      <c r="G30" s="84" t="n"/>
      <c r="H30" s="78" t="n"/>
    </row>
    <row r="31" ht="13" customHeight="1">
      <c r="A31" s="72" t="n"/>
      <c r="B31" s="83" t="n"/>
      <c r="C31" s="83" t="n"/>
      <c r="D31" s="84" t="n"/>
      <c r="E31" s="87" t="n"/>
      <c r="F31" s="85" t="n"/>
      <c r="G31" s="84" t="n"/>
      <c r="H31" s="78" t="n"/>
    </row>
    <row r="32" ht="13" customHeight="1">
      <c r="A32" s="72" t="n"/>
      <c r="B32" s="83" t="n"/>
      <c r="C32" s="83" t="n"/>
      <c r="D32" s="84" t="n"/>
      <c r="E32" s="87" t="n"/>
      <c r="F32" s="85" t="n"/>
      <c r="G32" s="84" t="n"/>
      <c r="H32" s="78" t="n"/>
    </row>
    <row r="33" ht="13" customHeight="1">
      <c r="A33" s="72" t="n"/>
      <c r="B33" s="83" t="n"/>
      <c r="C33" s="83" t="n"/>
      <c r="D33" s="84" t="n"/>
      <c r="E33" s="87" t="n"/>
      <c r="F33" s="85" t="n"/>
      <c r="G33" s="84" t="n"/>
      <c r="H33" s="78" t="n"/>
    </row>
    <row r="34" ht="13" customHeight="1">
      <c r="A34" s="72" t="n"/>
      <c r="B34" s="83" t="n"/>
      <c r="C34" s="83" t="n"/>
      <c r="D34" s="84" t="n"/>
      <c r="E34" s="87" t="n"/>
      <c r="F34" s="85" t="n"/>
      <c r="G34" s="84" t="n"/>
      <c r="H34" s="78" t="n"/>
    </row>
    <row r="35" ht="13" customHeight="1">
      <c r="A35" s="72" t="n"/>
      <c r="B35" s="83" t="n"/>
      <c r="C35" s="83" t="n"/>
      <c r="D35" s="84" t="n"/>
      <c r="E35" s="87" t="n"/>
      <c r="F35" s="85" t="n"/>
      <c r="G35" s="84" t="n"/>
      <c r="H35" s="78" t="n"/>
    </row>
    <row r="36" ht="13" customHeight="1">
      <c r="A36" s="72" t="n"/>
      <c r="B36" s="83" t="n"/>
      <c r="C36" s="83" t="n"/>
      <c r="D36" s="84" t="n"/>
      <c r="E36" s="87" t="n"/>
      <c r="F36" s="85" t="n"/>
      <c r="G36" s="84" t="n"/>
      <c r="H36" s="78" t="n"/>
    </row>
    <row r="37" ht="13" customHeight="1">
      <c r="A37" s="72" t="n"/>
      <c r="B37" s="83" t="n"/>
      <c r="C37" s="83" t="n"/>
      <c r="D37" s="84" t="n"/>
      <c r="E37" s="87" t="n"/>
      <c r="F37" s="85" t="n"/>
      <c r="G37" s="84" t="n"/>
      <c r="H37" s="78" t="n"/>
    </row>
    <row r="38" ht="13" customHeight="1">
      <c r="A38" s="72" t="n"/>
      <c r="B38" s="83" t="n"/>
      <c r="C38" s="83" t="n"/>
      <c r="D38" s="84" t="n"/>
      <c r="E38" s="87" t="n"/>
      <c r="F38" s="85" t="n"/>
      <c r="G38" s="84" t="n"/>
      <c r="H38" s="78" t="n"/>
    </row>
    <row r="39" ht="13" customHeight="1">
      <c r="A39" s="72" t="n"/>
      <c r="B39" s="83" t="n"/>
      <c r="C39" s="83" t="n"/>
      <c r="D39" s="84" t="n"/>
      <c r="E39" s="87" t="n"/>
      <c r="F39" s="85" t="n"/>
      <c r="G39" s="84" t="n"/>
      <c r="H39" s="78" t="n"/>
    </row>
    <row r="40" ht="13" customHeight="1">
      <c r="A40" s="72" t="n"/>
      <c r="B40" s="83" t="n"/>
      <c r="C40" s="83" t="n"/>
      <c r="D40" s="84" t="n"/>
      <c r="E40" s="87" t="n"/>
      <c r="F40" s="85" t="n"/>
      <c r="G40" s="84" t="n"/>
      <c r="H40" s="78" t="n"/>
    </row>
    <row r="41" ht="13" customHeight="1">
      <c r="A41" s="72" t="n"/>
      <c r="B41" s="83" t="n"/>
      <c r="C41" s="83" t="n"/>
      <c r="D41" s="84" t="n"/>
      <c r="E41" s="87" t="n"/>
      <c r="F41" s="88" t="n"/>
      <c r="G41" s="86" t="n"/>
      <c r="H41" s="78" t="n"/>
    </row>
    <row r="42" ht="13" customHeight="1">
      <c r="A42" s="72" t="n"/>
      <c r="B42" s="83" t="n"/>
      <c r="C42" s="83" t="n"/>
      <c r="D42" s="84" t="n"/>
      <c r="E42" s="87" t="n"/>
      <c r="F42" s="85" t="n"/>
      <c r="G42" s="86" t="n"/>
      <c r="H42" s="78" t="n"/>
    </row>
    <row r="43" ht="13" customHeight="1">
      <c r="A43" s="72" t="n"/>
      <c r="B43" s="83" t="n"/>
      <c r="C43" s="83" t="n"/>
      <c r="D43" s="84" t="n"/>
      <c r="E43" s="87" t="n"/>
      <c r="F43" s="85" t="n"/>
      <c r="G43" s="84" t="n"/>
      <c r="H43" s="78" t="n"/>
    </row>
    <row r="44" ht="13" customHeight="1">
      <c r="A44" s="72" t="n"/>
      <c r="B44" s="83" t="n"/>
      <c r="C44" s="83" t="n"/>
      <c r="D44" s="84" t="n"/>
      <c r="E44" s="87" t="n"/>
      <c r="F44" s="85" t="n"/>
      <c r="G44" s="84" t="n"/>
      <c r="H44" s="78" t="n"/>
    </row>
    <row r="45" ht="13" customHeight="1">
      <c r="A45" s="72" t="n"/>
      <c r="B45" s="83" t="n"/>
      <c r="C45" s="83" t="n"/>
      <c r="D45" s="84" t="n"/>
      <c r="E45" s="87" t="n"/>
      <c r="F45" s="85" t="n"/>
      <c r="G45" s="84" t="n"/>
      <c r="H45" s="78" t="n"/>
    </row>
    <row r="46" ht="13" customHeight="1">
      <c r="A46" s="72" t="n"/>
      <c r="B46" s="83" t="n"/>
      <c r="C46" s="83" t="n"/>
      <c r="D46" s="84" t="n"/>
      <c r="E46" s="87" t="n"/>
      <c r="F46" s="85" t="n"/>
      <c r="G46" s="84" t="n"/>
      <c r="H46" s="78" t="n"/>
    </row>
    <row r="47" ht="13" customHeight="1">
      <c r="A47" s="72" t="n"/>
      <c r="B47" s="83" t="n"/>
      <c r="C47" s="83" t="n"/>
      <c r="D47" s="84" t="n"/>
      <c r="E47" s="87" t="n"/>
      <c r="F47" s="88" t="n"/>
      <c r="G47" s="86" t="n"/>
      <c r="H47" s="78" t="n"/>
    </row>
    <row r="48" ht="13" customHeight="1">
      <c r="A48" s="72" t="n"/>
      <c r="B48" s="83" t="n"/>
      <c r="C48" s="83" t="n"/>
      <c r="D48" s="84" t="n"/>
      <c r="E48" s="87" t="n"/>
      <c r="F48" s="88" t="n"/>
      <c r="G48" s="86" t="n"/>
      <c r="H48" s="78" t="n"/>
    </row>
    <row r="49" ht="13" customHeight="1">
      <c r="A49" s="72" t="n"/>
      <c r="B49" s="83" t="n"/>
      <c r="C49" s="83" t="n"/>
      <c r="D49" s="84" t="n"/>
      <c r="E49" s="87" t="n"/>
      <c r="F49" s="88" t="n"/>
      <c r="G49" s="86" t="n"/>
      <c r="H49" s="78" t="n"/>
    </row>
    <row r="50" ht="13" customHeight="1">
      <c r="A50" s="72" t="n"/>
      <c r="B50" s="83" t="n"/>
      <c r="C50" s="83" t="n"/>
      <c r="D50" s="84" t="n"/>
      <c r="E50" s="87" t="n"/>
      <c r="F50" s="85" t="n"/>
      <c r="G50" s="84" t="n"/>
      <c r="H50" s="78" t="n"/>
    </row>
    <row r="51" ht="13" customHeight="1">
      <c r="A51" s="72" t="n"/>
      <c r="B51" s="83" t="n"/>
      <c r="C51" s="83" t="n"/>
      <c r="D51" s="84" t="n"/>
      <c r="E51" s="87" t="n"/>
      <c r="F51" s="85" t="n"/>
      <c r="G51" s="84" t="n"/>
      <c r="H51" s="78" t="n"/>
    </row>
    <row r="52" ht="13" customHeight="1">
      <c r="A52" s="72" t="n"/>
      <c r="B52" s="83" t="n"/>
      <c r="C52" s="83" t="n"/>
      <c r="D52" s="84" t="n"/>
      <c r="E52" s="87" t="n"/>
      <c r="F52" s="85" t="n"/>
      <c r="G52" s="84" t="n"/>
      <c r="H52" s="78" t="n"/>
    </row>
    <row r="53" ht="13" customHeight="1">
      <c r="A53" s="72" t="n"/>
      <c r="B53" s="83" t="n"/>
      <c r="C53" s="83" t="n"/>
      <c r="D53" s="84" t="n"/>
      <c r="E53" s="87" t="n"/>
      <c r="F53" s="85" t="n"/>
      <c r="G53" s="84" t="n"/>
      <c r="H53" s="78" t="n"/>
    </row>
    <row r="54" ht="13" customHeight="1">
      <c r="A54" s="72" t="n"/>
      <c r="B54" s="83" t="n"/>
      <c r="C54" s="83" t="n"/>
      <c r="D54" s="84" t="n"/>
      <c r="E54" s="87" t="n"/>
      <c r="F54" s="85" t="n"/>
      <c r="G54" s="84" t="n"/>
      <c r="H54" s="78" t="n"/>
    </row>
    <row r="55" ht="13" customHeight="1">
      <c r="A55" s="72" t="n"/>
      <c r="B55" s="83" t="n"/>
      <c r="C55" s="83" t="n"/>
      <c r="D55" s="84" t="n"/>
      <c r="E55" s="87" t="n"/>
      <c r="F55" s="85" t="n"/>
      <c r="G55" s="86" t="n"/>
      <c r="H55" s="78" t="n"/>
    </row>
    <row r="56" ht="13" customHeight="1">
      <c r="A56" s="72" t="n"/>
      <c r="B56" s="83" t="n"/>
      <c r="C56" s="83" t="n"/>
      <c r="D56" s="84" t="n"/>
      <c r="E56" s="87" t="n"/>
      <c r="F56" s="85" t="n"/>
      <c r="G56" s="86" t="n"/>
      <c r="H56" s="78" t="n"/>
    </row>
    <row r="57" ht="13" customHeight="1">
      <c r="A57" s="72" t="n"/>
      <c r="B57" s="83" t="n"/>
      <c r="C57" s="83" t="n"/>
      <c r="D57" s="84" t="n"/>
      <c r="E57" s="87" t="n"/>
      <c r="F57" s="85" t="n"/>
      <c r="G57" s="84" t="n"/>
      <c r="H57" s="78" t="n"/>
    </row>
    <row r="58" ht="13" customHeight="1">
      <c r="A58" s="72" t="n"/>
      <c r="B58" s="83" t="n"/>
      <c r="C58" s="83" t="n"/>
      <c r="D58" s="84" t="n"/>
      <c r="E58" s="87" t="n"/>
      <c r="F58" s="85" t="n"/>
      <c r="G58" s="84" t="n"/>
      <c r="H58" s="78" t="n"/>
    </row>
    <row r="59" ht="13" customHeight="1">
      <c r="A59" s="72" t="n"/>
      <c r="B59" s="83" t="n"/>
      <c r="C59" s="83" t="n"/>
      <c r="D59" s="84" t="n"/>
      <c r="E59" s="87" t="n"/>
      <c r="F59" s="85" t="n"/>
      <c r="G59" s="86" t="n"/>
      <c r="H59" s="78" t="n"/>
    </row>
    <row r="60">
      <c r="A60" s="72" t="n"/>
      <c r="B60" s="83" t="n"/>
      <c r="C60" s="83" t="n"/>
      <c r="D60" s="84" t="n"/>
      <c r="E60" s="87" t="n"/>
      <c r="F60" s="86" t="n"/>
      <c r="G60" s="86" t="n"/>
      <c r="H60" s="89" t="n"/>
    </row>
    <row r="61">
      <c r="A61" s="72" t="n"/>
      <c r="B61" s="83" t="n"/>
      <c r="C61" s="83" t="n"/>
      <c r="D61" s="84" t="n"/>
      <c r="E61" s="87" t="n"/>
      <c r="F61" s="86" t="n"/>
      <c r="G61" s="86" t="n"/>
      <c r="H61" s="89" t="n"/>
    </row>
    <row r="62">
      <c r="A62" s="72" t="n"/>
      <c r="B62" s="83" t="n"/>
      <c r="C62" s="83" t="n"/>
      <c r="D62" s="84" t="n"/>
      <c r="E62" s="87" t="n"/>
      <c r="F62" s="86" t="n"/>
      <c r="G62" s="86" t="n"/>
      <c r="H62" s="89" t="n"/>
    </row>
    <row r="63">
      <c r="A63" s="72" t="n"/>
      <c r="B63" s="83" t="n"/>
      <c r="C63" s="83" t="n"/>
      <c r="D63" s="84" t="n"/>
      <c r="E63" s="87" t="n"/>
      <c r="F63" s="86" t="n"/>
      <c r="G63" s="86" t="n"/>
      <c r="H63" s="89" t="n"/>
    </row>
    <row r="64">
      <c r="A64" s="72" t="n"/>
      <c r="B64" s="83" t="n"/>
      <c r="C64" s="83" t="n"/>
      <c r="D64" s="84" t="n"/>
      <c r="E64" s="87" t="n"/>
      <c r="F64" s="86" t="n"/>
      <c r="G64" s="86" t="n"/>
      <c r="H64" s="89" t="n"/>
    </row>
    <row r="65">
      <c r="A65" s="72" t="n"/>
      <c r="B65" s="83" t="n"/>
      <c r="C65" s="83" t="n"/>
      <c r="D65" s="84" t="n"/>
      <c r="E65" s="87" t="n"/>
      <c r="F65" s="86" t="n"/>
      <c r="G65" s="86" t="n"/>
      <c r="H65" s="89" t="n"/>
    </row>
    <row r="66">
      <c r="A66" s="72" t="n"/>
      <c r="B66" s="83" t="n"/>
      <c r="C66" s="83" t="n"/>
      <c r="D66" s="84" t="n"/>
      <c r="E66" s="87" t="n"/>
      <c r="F66" s="86" t="n"/>
      <c r="G66" s="86" t="n"/>
      <c r="H66" s="89" t="n"/>
    </row>
    <row r="67">
      <c r="A67" s="72" t="n"/>
      <c r="B67" s="83" t="n"/>
      <c r="C67" s="83" t="n"/>
      <c r="D67" s="84" t="n"/>
      <c r="E67" s="87" t="n"/>
      <c r="F67" s="86" t="n"/>
      <c r="G67" s="86" t="n"/>
      <c r="H67" s="89" t="n"/>
    </row>
    <row r="68">
      <c r="A68" s="72" t="n"/>
      <c r="B68" s="83" t="n"/>
      <c r="C68" s="83" t="n"/>
      <c r="D68" s="84" t="n"/>
      <c r="E68" s="87" t="n"/>
      <c r="F68" s="86" t="n"/>
      <c r="G68" s="86" t="n"/>
      <c r="H68" s="89" t="n"/>
    </row>
    <row r="69">
      <c r="A69" s="72" t="n"/>
      <c r="B69" s="83" t="n"/>
      <c r="C69" s="83" t="n"/>
      <c r="D69" s="84" t="n"/>
      <c r="E69" s="87" t="n"/>
      <c r="F69" s="86" t="n"/>
      <c r="G69" s="86" t="n"/>
      <c r="H69" s="89" t="n"/>
    </row>
    <row r="70">
      <c r="A70" s="72" t="n"/>
      <c r="B70" s="83" t="n"/>
      <c r="C70" s="83" t="n"/>
      <c r="D70" s="84" t="n"/>
      <c r="E70" s="87" t="n"/>
      <c r="F70" s="86" t="n"/>
      <c r="G70" s="86" t="n"/>
      <c r="H70" s="89" t="n"/>
    </row>
    <row r="71">
      <c r="A71" s="72" t="n"/>
      <c r="B71" s="83" t="n"/>
      <c r="C71" s="83" t="n"/>
      <c r="D71" s="84" t="n"/>
      <c r="E71" s="87" t="n"/>
      <c r="F71" s="86" t="n"/>
      <c r="G71" s="86" t="n"/>
      <c r="H71" s="89" t="n"/>
    </row>
    <row r="72">
      <c r="A72" s="72" t="n"/>
      <c r="B72" s="83" t="n"/>
      <c r="C72" s="83" t="n"/>
      <c r="D72" s="84" t="n"/>
      <c r="E72" s="87" t="n"/>
      <c r="F72" s="86" t="n"/>
      <c r="G72" s="86" t="n"/>
      <c r="H72" s="89" t="n"/>
    </row>
    <row r="73">
      <c r="A73" s="72" t="n"/>
      <c r="B73" s="83" t="n"/>
      <c r="C73" s="83" t="n"/>
      <c r="D73" s="84" t="n"/>
      <c r="E73" s="87" t="n"/>
      <c r="F73" s="86" t="n"/>
      <c r="G73" s="86" t="n"/>
      <c r="H73" s="89" t="n"/>
    </row>
    <row r="74">
      <c r="A74" s="72" t="n"/>
      <c r="B74" s="83" t="n"/>
      <c r="C74" s="83" t="n"/>
      <c r="D74" s="84" t="n"/>
      <c r="E74" s="87" t="n"/>
      <c r="F74" s="86" t="n"/>
      <c r="G74" s="86" t="n"/>
      <c r="H74" s="89" t="n"/>
    </row>
    <row r="75">
      <c r="A75" s="72" t="n"/>
      <c r="B75" s="83" t="n"/>
      <c r="C75" s="83" t="n"/>
      <c r="D75" s="84" t="n"/>
      <c r="E75" s="87" t="n"/>
      <c r="F75" s="86" t="n"/>
      <c r="G75" s="86" t="n"/>
      <c r="H75" s="89" t="n"/>
    </row>
    <row r="76">
      <c r="A76" s="72" t="n"/>
      <c r="B76" s="83" t="n"/>
      <c r="C76" s="83" t="n"/>
      <c r="D76" s="84" t="n"/>
      <c r="E76" s="87" t="n"/>
      <c r="F76" s="86" t="n"/>
      <c r="G76" s="86" t="n"/>
      <c r="H76" s="89" t="n"/>
    </row>
    <row r="77">
      <c r="A77" s="72" t="n"/>
      <c r="B77" s="83" t="n"/>
      <c r="C77" s="83" t="n"/>
      <c r="D77" s="84" t="n"/>
      <c r="E77" s="87" t="n"/>
      <c r="F77" s="86" t="n"/>
      <c r="G77" s="86" t="n"/>
      <c r="H77" s="89" t="n"/>
    </row>
    <row r="78">
      <c r="A78" s="72" t="n"/>
      <c r="B78" s="83" t="n"/>
      <c r="C78" s="83" t="n"/>
      <c r="D78" s="84" t="n"/>
      <c r="E78" s="87" t="n"/>
      <c r="F78" s="86" t="n"/>
      <c r="G78" s="86" t="n"/>
      <c r="H78" s="89" t="n"/>
    </row>
    <row r="79">
      <c r="A79" s="72" t="n"/>
      <c r="B79" s="83" t="n"/>
      <c r="C79" s="83" t="n"/>
      <c r="D79" s="84" t="n"/>
      <c r="E79" s="87" t="n"/>
      <c r="F79" s="86" t="n"/>
      <c r="G79" s="86" t="n"/>
      <c r="H79" s="89" t="n"/>
    </row>
    <row r="80">
      <c r="A80" s="72" t="n"/>
      <c r="B80" s="83" t="n"/>
      <c r="C80" s="83" t="n"/>
      <c r="D80" s="84" t="n"/>
      <c r="E80" s="87" t="n"/>
      <c r="F80" s="86" t="n"/>
      <c r="G80" s="86" t="n"/>
      <c r="H80" s="89" t="n"/>
    </row>
    <row r="81">
      <c r="A81" s="72" t="n"/>
      <c r="B81" s="83" t="n"/>
      <c r="C81" s="83" t="n"/>
      <c r="D81" s="84" t="n"/>
      <c r="E81" s="87" t="n"/>
      <c r="F81" s="86" t="n"/>
      <c r="G81" s="86" t="n"/>
      <c r="H81" s="89" t="n"/>
    </row>
    <row r="82">
      <c r="A82" s="72" t="n"/>
      <c r="B82" s="83" t="n"/>
      <c r="C82" s="83" t="n"/>
      <c r="D82" s="84" t="n"/>
      <c r="E82" s="87" t="n"/>
      <c r="F82" s="86" t="n"/>
      <c r="G82" s="86" t="n"/>
      <c r="H82" s="89" t="n"/>
    </row>
    <row r="83">
      <c r="A83" s="72" t="n"/>
      <c r="B83" s="83" t="n"/>
      <c r="C83" s="83" t="n"/>
      <c r="D83" s="84" t="n"/>
      <c r="E83" s="87" t="n"/>
      <c r="F83" s="86" t="n"/>
      <c r="G83" s="86" t="n"/>
      <c r="H83" s="89" t="n"/>
    </row>
    <row r="84">
      <c r="A84" s="72" t="n"/>
      <c r="B84" s="83" t="n"/>
      <c r="C84" s="83" t="n"/>
      <c r="D84" s="84" t="n"/>
      <c r="E84" s="87" t="n"/>
      <c r="F84" s="86" t="n"/>
      <c r="G84" s="86" t="n"/>
      <c r="H84" s="89" t="n"/>
    </row>
    <row r="85">
      <c r="A85" s="72" t="n"/>
      <c r="B85" s="83" t="n"/>
      <c r="C85" s="83" t="n"/>
      <c r="D85" s="84" t="n"/>
      <c r="E85" s="87" t="n"/>
      <c r="F85" s="86" t="n"/>
      <c r="G85" s="86" t="n"/>
      <c r="H85" s="89" t="n"/>
    </row>
    <row r="86">
      <c r="A86" s="72" t="n"/>
      <c r="B86" s="83" t="n"/>
      <c r="C86" s="83" t="n"/>
      <c r="D86" s="84" t="n"/>
      <c r="E86" s="87" t="n"/>
      <c r="F86" s="86" t="n"/>
      <c r="G86" s="86" t="n"/>
      <c r="H86" s="89" t="n"/>
    </row>
    <row r="87">
      <c r="A87" s="72" t="n"/>
      <c r="B87" s="83" t="n"/>
      <c r="C87" s="83" t="n"/>
      <c r="D87" s="84" t="n"/>
      <c r="E87" s="87" t="n"/>
      <c r="F87" s="86" t="n"/>
      <c r="G87" s="86" t="n"/>
      <c r="H87" s="89" t="n"/>
    </row>
    <row r="88">
      <c r="A88" s="72" t="n"/>
      <c r="B88" s="83" t="n"/>
      <c r="C88" s="83" t="n"/>
      <c r="D88" s="84" t="n"/>
      <c r="E88" s="87" t="n"/>
      <c r="F88" s="86" t="n"/>
      <c r="G88" s="86" t="n"/>
      <c r="H88" s="89" t="n"/>
    </row>
    <row r="89">
      <c r="A89" s="72" t="n"/>
      <c r="B89" s="83" t="n"/>
      <c r="C89" s="83" t="n"/>
      <c r="D89" s="84" t="n"/>
      <c r="E89" s="87" t="n"/>
      <c r="F89" s="86" t="n"/>
      <c r="G89" s="86" t="n"/>
      <c r="H89" s="89" t="n"/>
    </row>
    <row r="90">
      <c r="A90" s="72" t="n"/>
      <c r="B90" s="83" t="n"/>
      <c r="C90" s="83" t="n"/>
      <c r="D90" s="84" t="n"/>
      <c r="E90" s="87" t="n"/>
      <c r="F90" s="86" t="n"/>
      <c r="G90" s="86" t="n"/>
      <c r="H90" s="89" t="n"/>
    </row>
    <row r="91">
      <c r="A91" s="72" t="n"/>
      <c r="B91" s="83" t="n"/>
      <c r="C91" s="83" t="n"/>
      <c r="D91" s="84" t="n"/>
      <c r="E91" s="87" t="n"/>
      <c r="F91" s="86" t="n"/>
      <c r="G91" s="86" t="n"/>
      <c r="H91" s="89" t="n"/>
    </row>
    <row r="92">
      <c r="A92" s="72" t="n"/>
      <c r="B92" s="83" t="n"/>
      <c r="C92" s="83" t="n"/>
      <c r="D92" s="84" t="n"/>
      <c r="E92" s="87" t="n"/>
      <c r="F92" s="86" t="n"/>
      <c r="G92" s="86" t="n"/>
      <c r="H92" s="89" t="n"/>
    </row>
    <row r="93">
      <c r="A93" s="72" t="n"/>
      <c r="B93" s="83" t="n"/>
      <c r="C93" s="83" t="n"/>
      <c r="D93" s="84" t="n"/>
      <c r="E93" s="87" t="n"/>
      <c r="F93" s="86" t="n"/>
      <c r="G93" s="86" t="n"/>
      <c r="H93" s="89" t="n"/>
    </row>
    <row r="94">
      <c r="A94" s="72" t="n"/>
      <c r="B94" s="83" t="n"/>
      <c r="C94" s="83" t="n"/>
      <c r="D94" s="84" t="n"/>
      <c r="E94" s="87" t="n"/>
      <c r="F94" s="86" t="n"/>
      <c r="G94" s="86" t="n"/>
      <c r="H94" s="89" t="n"/>
    </row>
    <row r="95">
      <c r="A95" s="72" t="n"/>
      <c r="B95" s="83" t="n"/>
      <c r="C95" s="83" t="n"/>
      <c r="D95" s="84" t="n"/>
      <c r="E95" s="87" t="n"/>
      <c r="F95" s="86" t="n"/>
      <c r="G95" s="86" t="n"/>
      <c r="H95" s="89" t="n"/>
    </row>
    <row r="96">
      <c r="A96" s="72" t="n"/>
      <c r="B96" s="83" t="n"/>
      <c r="C96" s="83" t="n"/>
      <c r="D96" s="84" t="n"/>
      <c r="E96" s="87" t="n"/>
      <c r="F96" s="86" t="n"/>
      <c r="G96" s="86" t="n"/>
      <c r="H96" s="89" t="n"/>
    </row>
    <row r="97">
      <c r="A97" s="72" t="n"/>
      <c r="B97" s="83" t="n"/>
      <c r="C97" s="83" t="n"/>
      <c r="D97" s="84" t="n"/>
      <c r="E97" s="87" t="n"/>
      <c r="F97" s="86" t="n"/>
      <c r="G97" s="86" t="n"/>
      <c r="H97" s="89" t="n"/>
    </row>
    <row r="98">
      <c r="A98" s="72" t="n"/>
      <c r="B98" s="83" t="n"/>
      <c r="C98" s="83" t="n"/>
      <c r="D98" s="84" t="n"/>
      <c r="E98" s="87" t="n"/>
      <c r="F98" s="86" t="n"/>
      <c r="G98" s="86" t="n"/>
      <c r="H98" s="89" t="n"/>
    </row>
    <row r="99">
      <c r="A99" s="72" t="n"/>
      <c r="B99" s="83" t="n"/>
      <c r="C99" s="83" t="n"/>
      <c r="D99" s="84" t="n"/>
      <c r="E99" s="87" t="n"/>
      <c r="F99" s="86" t="n"/>
      <c r="G99" s="86" t="n"/>
      <c r="H99" s="89" t="n"/>
    </row>
    <row r="100">
      <c r="A100" s="72" t="n"/>
      <c r="B100" s="83" t="n"/>
      <c r="C100" s="83" t="n"/>
      <c r="D100" s="84" t="n"/>
      <c r="E100" s="87" t="n"/>
      <c r="F100" s="86" t="n"/>
      <c r="G100" s="86" t="n"/>
      <c r="H100" s="89" t="n"/>
    </row>
    <row r="101">
      <c r="A101" s="72" t="n"/>
      <c r="B101" s="83" t="n"/>
      <c r="C101" s="83" t="n"/>
      <c r="D101" s="84" t="n"/>
      <c r="E101" s="87" t="n"/>
      <c r="F101" s="86" t="n"/>
      <c r="G101" s="86" t="n"/>
      <c r="H101" s="89" t="n"/>
    </row>
    <row r="102">
      <c r="A102" s="72" t="n"/>
      <c r="B102" s="83" t="n"/>
      <c r="C102" s="83" t="n"/>
      <c r="D102" s="84" t="n"/>
      <c r="E102" s="87" t="n"/>
      <c r="F102" s="86" t="n"/>
      <c r="G102" s="86" t="n"/>
      <c r="H102" s="89" t="n"/>
    </row>
    <row r="103">
      <c r="A103" s="72" t="n"/>
      <c r="B103" s="83" t="n"/>
      <c r="C103" s="83" t="n"/>
      <c r="D103" s="84" t="n"/>
      <c r="E103" s="87" t="n"/>
      <c r="F103" s="86" t="n"/>
      <c r="G103" s="86" t="n"/>
      <c r="H103" s="89" t="n"/>
    </row>
    <row r="104">
      <c r="A104" s="72" t="n"/>
      <c r="B104" s="83" t="n"/>
      <c r="C104" s="83" t="n"/>
      <c r="D104" s="84" t="n"/>
      <c r="E104" s="87" t="n"/>
      <c r="F104" s="86" t="n"/>
      <c r="G104" s="86" t="n"/>
      <c r="H104" s="89" t="n"/>
    </row>
    <row r="105">
      <c r="A105" s="72" t="n"/>
      <c r="B105" s="83" t="n"/>
      <c r="C105" s="83" t="n"/>
      <c r="D105" s="84" t="n"/>
      <c r="E105" s="87" t="n"/>
      <c r="F105" s="86" t="n"/>
      <c r="G105" s="86" t="n"/>
      <c r="H105" s="89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hyperlinks>
    <hyperlink xmlns:r="http://schemas.openxmlformats.org/officeDocument/2006/relationships" ref="F11" r:id="rId1"/>
    <hyperlink xmlns:r="http://schemas.openxmlformats.org/officeDocument/2006/relationships" ref="F12" r:id="rId2"/>
    <hyperlink xmlns:r="http://schemas.openxmlformats.org/officeDocument/2006/relationships" ref="F13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5.453125" customWidth="1" min="1" max="1"/>
    <col width="26.54296875" customWidth="1" min="2" max="2"/>
    <col width="12.1796875" customWidth="1" min="3" max="3"/>
    <col width="9.54296875" customWidth="1" min="4" max="4"/>
    <col width="9.81640625" customWidth="1" min="5" max="5"/>
    <col width="5.1796875" customWidth="1" min="6" max="6"/>
    <col width="21" customWidth="1" min="9" max="9"/>
    <col width="33.1796875" customWidth="1" min="10" max="10"/>
    <col width="11" customWidth="1" min="11" max="11"/>
    <col width="9" customWidth="1" min="257" max="257"/>
  </cols>
  <sheetData>
    <row r="1">
      <c r="A1" s="90" t="n"/>
      <c r="B1" s="90" t="n"/>
      <c r="C1" s="90" t="n"/>
      <c r="D1" s="90" t="n"/>
      <c r="E1" s="90" t="n"/>
      <c r="F1" s="90" t="n"/>
      <c r="G1" s="90" t="n"/>
      <c r="H1" s="90" t="n"/>
      <c r="I1" s="90" t="n"/>
    </row>
    <row r="2" ht="25.5" customHeight="1">
      <c r="A2" s="91" t="inlineStr">
        <is>
          <t>UNIT TEST REPORT</t>
        </is>
      </c>
    </row>
    <row r="3" ht="14.25" customHeight="1">
      <c r="A3" s="92" t="n"/>
      <c r="B3" s="93" t="n"/>
      <c r="C3" s="93" t="n"/>
      <c r="D3" s="93" t="n"/>
      <c r="E3" s="93" t="n"/>
      <c r="F3" s="93" t="n"/>
      <c r="G3" s="93" t="n"/>
      <c r="H3" s="93" t="n"/>
      <c r="I3" s="94" t="n"/>
    </row>
    <row r="4" ht="13.5" customHeight="1">
      <c r="A4" s="11" t="inlineStr">
        <is>
          <t>Project Name</t>
        </is>
      </c>
      <c r="B4" s="95">
        <f>Cover!B4</f>
        <v/>
      </c>
      <c r="C4" s="4" t="n"/>
      <c r="D4" s="96" t="inlineStr">
        <is>
          <t>Creator</t>
        </is>
      </c>
      <c r="E4" s="4" t="n"/>
      <c r="F4" s="95" t="inlineStr">
        <is>
          <t>Codex</t>
        </is>
      </c>
      <c r="G4" s="3" t="n"/>
      <c r="H4" s="3" t="n"/>
      <c r="I4" s="4" t="n"/>
    </row>
    <row r="5" ht="13.5" customHeight="1">
      <c r="A5" s="11" t="inlineStr">
        <is>
          <t>Project Code</t>
        </is>
      </c>
      <c r="B5" s="95">
        <f>Cover!B5</f>
        <v/>
      </c>
      <c r="C5" s="4" t="n"/>
      <c r="D5" s="96" t="inlineStr">
        <is>
          <t>Reviewer/Approver</t>
        </is>
      </c>
      <c r="E5" s="4" t="n"/>
      <c r="F5" s="95" t="inlineStr">
        <is>
          <t>Pending review</t>
        </is>
      </c>
      <c r="G5" s="3" t="n"/>
      <c r="H5" s="3" t="n"/>
      <c r="I5" s="4" t="n"/>
    </row>
    <row r="6" ht="12.75" customHeight="1">
      <c r="A6" s="97" t="inlineStr">
        <is>
          <t>Document Code</t>
        </is>
      </c>
      <c r="B6" s="95">
        <f>Cover!B5&amp;"_Test Report_"&amp;"v0.1"</f>
        <v/>
      </c>
      <c r="C6" s="4" t="n"/>
      <c r="D6" s="96" t="inlineStr">
        <is>
          <t>Issue Date</t>
        </is>
      </c>
      <c r="E6" s="4" t="n"/>
      <c r="F6" s="98" t="n">
        <v>46110</v>
      </c>
      <c r="G6" s="3" t="n"/>
      <c r="H6" s="3" t="n"/>
      <c r="I6" s="4" t="n"/>
    </row>
    <row r="7" ht="15.75" customHeight="1">
      <c r="A7" s="97" t="n"/>
      <c r="B7" s="99" t="inlineStr">
        <is>
          <t>Preview report for a clean workbook that references template formatting only.</t>
        </is>
      </c>
      <c r="C7" s="3" t="n"/>
      <c r="D7" s="3" t="n"/>
      <c r="E7" s="3" t="n"/>
      <c r="F7" s="3" t="n"/>
      <c r="G7" s="3" t="n"/>
      <c r="H7" s="3" t="n"/>
      <c r="I7" s="4" t="n"/>
    </row>
    <row r="8" ht="14.25" customHeight="1">
      <c r="A8" s="100" t="n"/>
      <c r="B8" s="101" t="n"/>
      <c r="C8" s="102" t="n"/>
      <c r="D8" s="102" t="n"/>
      <c r="E8" s="102" t="n"/>
      <c r="F8" s="102" t="n"/>
      <c r="G8" s="102" t="n"/>
      <c r="H8" s="102" t="n"/>
      <c r="I8" s="103" t="n"/>
    </row>
    <row r="9">
      <c r="A9" s="100" t="n"/>
      <c r="B9" s="101" t="n"/>
      <c r="C9" s="102" t="n"/>
      <c r="D9" s="102" t="n"/>
      <c r="E9" s="102" t="n"/>
      <c r="F9" s="102" t="n"/>
      <c r="G9" s="102" t="n"/>
      <c r="H9" s="102" t="n"/>
      <c r="I9" s="103" t="n"/>
    </row>
    <row r="10"/>
    <row r="11" ht="14.25" customHeight="1">
      <c r="A11" s="104" t="inlineStr">
        <is>
          <t>No</t>
        </is>
      </c>
      <c r="B11" s="105" t="inlineStr">
        <is>
          <t>Function code</t>
        </is>
      </c>
      <c r="C11" s="106" t="inlineStr">
        <is>
          <t>Passed</t>
        </is>
      </c>
      <c r="D11" s="105" t="inlineStr">
        <is>
          <t>Failed</t>
        </is>
      </c>
      <c r="E11" s="107" t="inlineStr">
        <is>
          <t>Untested</t>
        </is>
      </c>
      <c r="F11" s="107" t="inlineStr">
        <is>
          <t>N</t>
        </is>
      </c>
      <c r="G11" s="107" t="inlineStr">
        <is>
          <t>A</t>
        </is>
      </c>
      <c r="H11" s="107" t="inlineStr">
        <is>
          <t>B</t>
        </is>
      </c>
      <c r="I11" s="108" t="inlineStr">
        <is>
          <t>Total Test Cases</t>
        </is>
      </c>
    </row>
    <row r="12" ht="13" customHeight="1">
      <c r="A12" s="109" t="n">
        <v>1</v>
      </c>
      <c r="B12" s="110" t="inlineStr">
        <is>
          <t>CTRL-CONTRACTS-001</t>
        </is>
      </c>
      <c r="C12" s="111">
        <f>'List Contracts'!A7</f>
        <v/>
      </c>
      <c r="D12" s="111">
        <f>'List Contracts'!C7</f>
        <v/>
      </c>
      <c r="E12" s="111">
        <f>'List Contracts'!F7</f>
        <v/>
      </c>
      <c r="F12" s="112">
        <f>'List Contracts'!L7</f>
        <v/>
      </c>
      <c r="G12" s="111">
        <f>'List Contracts'!M7</f>
        <v/>
      </c>
      <c r="H12" s="111">
        <f>'List Contracts'!N7</f>
        <v/>
      </c>
      <c r="I12" s="111">
        <f>'List Contracts'!O7</f>
        <v/>
      </c>
    </row>
    <row r="13" ht="13" customHeight="1">
      <c r="A13" s="109" t="n">
        <v>2</v>
      </c>
      <c r="B13" s="110" t="inlineStr">
        <is>
          <t>CTRL-PAYMENTS-001</t>
        </is>
      </c>
      <c r="C13" s="111">
        <f>'Fund Milestone'!A7</f>
        <v/>
      </c>
      <c r="D13" s="111">
        <f>'Fund Milestone'!C7</f>
        <v/>
      </c>
      <c r="E13" s="111">
        <f>'Fund Milestone'!F7</f>
        <v/>
      </c>
      <c r="F13" s="112">
        <f>'Fund Milestone'!L7</f>
        <v/>
      </c>
      <c r="G13" s="111">
        <f>'Fund Milestone'!M7</f>
        <v/>
      </c>
      <c r="H13" s="111">
        <f>'Fund Milestone'!N7</f>
        <v/>
      </c>
      <c r="I13" s="111">
        <f>'Fund Milestone'!O7</f>
        <v/>
      </c>
    </row>
    <row r="14" ht="13" customHeight="1">
      <c r="A14" s="109" t="n">
        <v>3</v>
      </c>
      <c r="B14" s="110" t="inlineStr">
        <is>
          <t>CTRL-PROJECT-SPECS-001</t>
        </is>
      </c>
      <c r="C14" s="111">
        <f>'Audit Spec'!A7</f>
        <v/>
      </c>
      <c r="D14" s="111">
        <f>'Audit Spec'!C7</f>
        <v/>
      </c>
      <c r="E14" s="111">
        <f>'Audit Spec'!F7</f>
        <v/>
      </c>
      <c r="F14" s="112">
        <f>'Audit Spec'!L7</f>
        <v/>
      </c>
      <c r="G14" s="111">
        <f>'Audit Spec'!M7</f>
        <v/>
      </c>
      <c r="H14" s="111">
        <f>'Audit Spec'!N7</f>
        <v/>
      </c>
      <c r="I14" s="111">
        <f>'Audit Spec'!O7</f>
        <v/>
      </c>
    </row>
    <row r="15" ht="13" customHeight="1">
      <c r="A15" s="109" t="n"/>
      <c r="B15" s="110" t="n"/>
      <c r="C15" s="111" t="n"/>
      <c r="D15" s="111" t="n"/>
      <c r="E15" s="111" t="n"/>
      <c r="F15" s="111" t="n"/>
      <c r="G15" s="111" t="n"/>
      <c r="H15" s="111" t="n"/>
      <c r="I15" s="111" t="n"/>
    </row>
    <row r="16" ht="13" customHeight="1">
      <c r="A16" s="109" t="n"/>
      <c r="B16" s="110" t="inlineStr">
        <is>
          <t>Sub total</t>
        </is>
      </c>
      <c r="C16" s="111">
        <f>SUM(C12:C14)</f>
        <v/>
      </c>
      <c r="D16" s="111">
        <f>SUM(D12:D14)</f>
        <v/>
      </c>
      <c r="E16" s="111">
        <f>SUM(E12:E14)</f>
        <v/>
      </c>
      <c r="F16" s="111">
        <f>SUM(F12:F14)</f>
        <v/>
      </c>
      <c r="G16" s="111">
        <f>SUM(G12:G14)</f>
        <v/>
      </c>
      <c r="H16" s="111">
        <f>SUM(H12:H14)</f>
        <v/>
      </c>
      <c r="I16" s="111">
        <f>SUM(I12:I14)</f>
        <v/>
      </c>
    </row>
    <row r="17" ht="13" customHeight="1">
      <c r="A17" s="109" t="n"/>
      <c r="B17" s="110" t="n"/>
      <c r="C17" s="111" t="n"/>
      <c r="D17" s="111" t="n"/>
      <c r="E17" s="111" t="n"/>
      <c r="F17" s="111" t="n"/>
      <c r="G17" s="111" t="n"/>
      <c r="H17" s="111" t="n"/>
      <c r="I17" s="111" t="n"/>
    </row>
    <row r="18" ht="13" customHeight="1">
      <c r="A18" s="109" t="n"/>
      <c r="B18" s="110" t="inlineStr">
        <is>
          <t>Test coverage</t>
        </is>
      </c>
      <c r="C18" s="111" t="n"/>
      <c r="D18" s="111">
        <f>IF(I16=0,0,(C16+D16)*100/I16)</f>
        <v/>
      </c>
      <c r="E18" s="111" t="inlineStr">
        <is>
          <t>%</t>
        </is>
      </c>
      <c r="F18" s="111" t="n"/>
      <c r="G18" s="111" t="n"/>
      <c r="H18" s="111" t="n"/>
      <c r="I18" s="111" t="n"/>
    </row>
    <row r="19" ht="13" customHeight="1">
      <c r="A19" s="109" t="n"/>
      <c r="B19" s="110" t="inlineStr">
        <is>
          <t>Test successful coverage</t>
        </is>
      </c>
      <c r="C19" s="111" t="n"/>
      <c r="D19" s="111">
        <f>IF(I16=0,0,C16*100/I16)</f>
        <v/>
      </c>
      <c r="E19" s="111" t="inlineStr">
        <is>
          <t>%</t>
        </is>
      </c>
      <c r="F19" s="111" t="n"/>
      <c r="G19" s="111" t="n"/>
      <c r="H19" s="111" t="n"/>
      <c r="I19" s="111" t="n"/>
    </row>
    <row r="20" ht="13" customHeight="1">
      <c r="A20" s="109" t="n"/>
      <c r="B20" s="110" t="inlineStr">
        <is>
          <t>Normal case</t>
        </is>
      </c>
      <c r="C20" s="111" t="n"/>
      <c r="D20" s="111">
        <f>IF(I16=0,0,F16*100/I16)</f>
        <v/>
      </c>
      <c r="E20" s="111" t="inlineStr">
        <is>
          <t>%</t>
        </is>
      </c>
      <c r="F20" s="111" t="n"/>
      <c r="G20" s="111" t="n"/>
      <c r="H20" s="111" t="n"/>
      <c r="I20" s="111" t="n"/>
    </row>
    <row r="21" ht="13.5" customHeight="1">
      <c r="A21" s="109" t="n"/>
      <c r="B21" s="113" t="inlineStr">
        <is>
          <t>Abnormal case</t>
        </is>
      </c>
      <c r="C21" s="111" t="n"/>
      <c r="D21" s="111">
        <f>IF(I16=0,0,G16*100/I16)</f>
        <v/>
      </c>
      <c r="E21" s="111" t="inlineStr">
        <is>
          <t>%</t>
        </is>
      </c>
      <c r="F21" s="111" t="n"/>
      <c r="G21" s="111" t="n"/>
      <c r="H21" s="111" t="n"/>
      <c r="I21" s="111" t="n"/>
    </row>
    <row r="22" ht="13.5" customHeight="1">
      <c r="A22" s="109" t="n"/>
      <c r="B22" s="113" t="inlineStr">
        <is>
          <t>Boundary case</t>
        </is>
      </c>
      <c r="C22" s="111" t="n"/>
      <c r="D22" s="111">
        <f>IF(I16=0,0,H16*100/I16)</f>
        <v/>
      </c>
      <c r="E22" s="111" t="inlineStr">
        <is>
          <t>%</t>
        </is>
      </c>
      <c r="F22" s="111" t="n"/>
      <c r="G22" s="111" t="n"/>
      <c r="H22" s="111" t="n"/>
      <c r="I22" s="111" t="n"/>
    </row>
    <row r="23" ht="13.5" customHeight="1">
      <c r="A23" s="109" t="n"/>
      <c r="B23" s="113" t="n"/>
      <c r="C23" s="111" t="n"/>
      <c r="D23" s="111" t="n"/>
      <c r="E23" s="111" t="n"/>
      <c r="F23" s="111" t="n"/>
      <c r="G23" s="111" t="n"/>
      <c r="H23" s="111" t="n"/>
      <c r="I23" s="111" t="n"/>
    </row>
    <row r="24" ht="13.5" customHeight="1">
      <c r="A24" s="109" t="n"/>
      <c r="B24" s="113" t="n"/>
      <c r="C24" s="111" t="n"/>
      <c r="D24" s="111" t="n"/>
      <c r="E24" s="111" t="n"/>
      <c r="F24" s="111" t="n"/>
      <c r="G24" s="111" t="n"/>
      <c r="H24" s="111" t="n"/>
      <c r="I24" s="111" t="n"/>
    </row>
    <row r="25" ht="13.5" customHeight="1">
      <c r="A25" s="109" t="n"/>
      <c r="B25" s="113" t="n"/>
      <c r="C25" s="111" t="n"/>
      <c r="D25" s="111" t="n"/>
      <c r="E25" s="111" t="n"/>
      <c r="F25" s="111" t="n"/>
      <c r="G25" s="111" t="n"/>
      <c r="H25" s="111" t="n"/>
      <c r="I25" s="111" t="n"/>
    </row>
    <row r="26" ht="13.5" customHeight="1">
      <c r="A26" s="109" t="n"/>
      <c r="B26" s="113" t="n"/>
      <c r="C26" s="111" t="n"/>
      <c r="D26" s="111" t="n"/>
      <c r="E26" s="111" t="n"/>
      <c r="F26" s="111" t="n"/>
      <c r="G26" s="111" t="n"/>
      <c r="H26" s="111" t="n"/>
      <c r="I26" s="111" t="n"/>
    </row>
    <row r="27" ht="13.5" customHeight="1">
      <c r="A27" s="109" t="n"/>
      <c r="B27" s="113" t="n"/>
      <c r="C27" s="111" t="n"/>
      <c r="D27" s="111" t="n"/>
      <c r="E27" s="111" t="n"/>
      <c r="F27" s="111" t="n"/>
      <c r="G27" s="111" t="n"/>
      <c r="H27" s="111" t="n"/>
      <c r="I27" s="111" t="n"/>
    </row>
    <row r="28" ht="13.5" customHeight="1">
      <c r="A28" s="109" t="n"/>
      <c r="B28" s="113" t="n"/>
      <c r="C28" s="111" t="n"/>
      <c r="D28" s="111" t="n"/>
      <c r="E28" s="111" t="n"/>
      <c r="F28" s="111" t="n"/>
      <c r="G28" s="111" t="n"/>
      <c r="H28" s="111" t="n"/>
      <c r="I28" s="111" t="n"/>
    </row>
    <row r="29" ht="13.5" customHeight="1">
      <c r="A29" s="109" t="n"/>
      <c r="B29" s="113" t="n"/>
      <c r="C29" s="111" t="n"/>
      <c r="D29" s="111" t="n"/>
      <c r="E29" s="111" t="n"/>
      <c r="F29" s="111" t="n"/>
      <c r="G29" s="111" t="n"/>
      <c r="H29" s="111" t="n"/>
      <c r="I29" s="111" t="n"/>
    </row>
    <row r="30" ht="13.5" customHeight="1">
      <c r="A30" s="109" t="n"/>
      <c r="B30" s="113" t="n"/>
      <c r="C30" s="111" t="n"/>
      <c r="D30" s="111" t="n"/>
      <c r="E30" s="111" t="n"/>
      <c r="F30" s="111" t="n"/>
      <c r="G30" s="111" t="n"/>
      <c r="H30" s="111" t="n"/>
      <c r="I30" s="111" t="n"/>
    </row>
    <row r="31" ht="13.5" customHeight="1">
      <c r="A31" s="109" t="n"/>
      <c r="B31" s="113" t="n"/>
      <c r="C31" s="111" t="n"/>
      <c r="D31" s="111" t="n"/>
      <c r="E31" s="111" t="n"/>
      <c r="F31" s="111" t="n"/>
      <c r="G31" s="111" t="n"/>
      <c r="H31" s="111" t="n"/>
      <c r="I31" s="111" t="n"/>
    </row>
    <row r="32" ht="13.5" customHeight="1">
      <c r="A32" s="109" t="n"/>
      <c r="B32" s="113" t="n"/>
      <c r="C32" s="111" t="n"/>
      <c r="D32" s="111" t="n"/>
      <c r="E32" s="111" t="n"/>
      <c r="F32" s="111" t="n"/>
      <c r="G32" s="111" t="n"/>
      <c r="H32" s="111" t="n"/>
      <c r="I32" s="111" t="n"/>
    </row>
    <row r="33" ht="13.5" customHeight="1">
      <c r="A33" s="109" t="n"/>
      <c r="B33" s="113" t="n"/>
      <c r="C33" s="111" t="n"/>
      <c r="D33" s="111" t="n"/>
      <c r="E33" s="111" t="n"/>
      <c r="F33" s="111" t="n"/>
      <c r="G33" s="111" t="n"/>
      <c r="H33" s="111" t="n"/>
      <c r="I33" s="111" t="n"/>
    </row>
    <row r="34" ht="13.5" customHeight="1">
      <c r="A34" s="109" t="n"/>
      <c r="B34" s="113" t="n"/>
      <c r="C34" s="111" t="n"/>
      <c r="D34" s="111" t="n"/>
      <c r="E34" s="111" t="n"/>
      <c r="F34" s="111" t="n"/>
      <c r="G34" s="111" t="n"/>
      <c r="H34" s="111" t="n"/>
      <c r="I34" s="111" t="n"/>
    </row>
    <row r="35" ht="13.5" customHeight="1">
      <c r="A35" s="109" t="n"/>
      <c r="B35" s="113" t="n"/>
      <c r="C35" s="111" t="n"/>
      <c r="D35" s="111" t="n"/>
      <c r="E35" s="111" t="n"/>
      <c r="F35" s="111" t="n"/>
      <c r="G35" s="111" t="n"/>
      <c r="H35" s="111" t="n"/>
      <c r="I35" s="111" t="n"/>
    </row>
    <row r="36" ht="13.5" customHeight="1">
      <c r="A36" s="109" t="n"/>
      <c r="B36" s="113" t="n"/>
      <c r="C36" s="111" t="n"/>
      <c r="D36" s="111" t="n"/>
      <c r="E36" s="111" t="n"/>
      <c r="F36" s="111" t="n"/>
      <c r="G36" s="111" t="n"/>
      <c r="H36" s="111" t="n"/>
      <c r="I36" s="111" t="n"/>
    </row>
    <row r="37" ht="13.5" customHeight="1">
      <c r="A37" s="109" t="n"/>
      <c r="B37" s="113" t="n"/>
      <c r="C37" s="111" t="n"/>
      <c r="D37" s="111" t="n"/>
      <c r="E37" s="111" t="n"/>
      <c r="F37" s="111" t="n"/>
      <c r="G37" s="111" t="n"/>
      <c r="H37" s="111" t="n"/>
      <c r="I37" s="111" t="n"/>
    </row>
    <row r="38" ht="13.5" customHeight="1">
      <c r="A38" s="109" t="n"/>
      <c r="B38" s="113" t="n"/>
      <c r="C38" s="111" t="n"/>
      <c r="D38" s="111" t="n"/>
      <c r="E38" s="111" t="n"/>
      <c r="F38" s="111" t="n"/>
      <c r="G38" s="111" t="n"/>
      <c r="H38" s="111" t="n"/>
      <c r="I38" s="111" t="n"/>
    </row>
    <row r="39" ht="13.5" customHeight="1">
      <c r="A39" s="109" t="n"/>
      <c r="B39" s="113" t="n"/>
      <c r="C39" s="111" t="n"/>
      <c r="D39" s="111" t="n"/>
      <c r="E39" s="111" t="n"/>
      <c r="F39" s="111" t="n"/>
      <c r="G39" s="111" t="n"/>
      <c r="H39" s="111" t="n"/>
      <c r="I39" s="111" t="n"/>
    </row>
    <row r="40" ht="13.5" customHeight="1">
      <c r="A40" s="109" t="n"/>
      <c r="B40" s="113" t="n"/>
      <c r="C40" s="111" t="n"/>
      <c r="D40" s="111" t="n"/>
      <c r="E40" s="111" t="n"/>
      <c r="F40" s="111" t="n"/>
      <c r="G40" s="111" t="n"/>
      <c r="H40" s="111" t="n"/>
      <c r="I40" s="111" t="n"/>
    </row>
    <row r="41" ht="13.5" customHeight="1">
      <c r="A41" s="109" t="n"/>
      <c r="B41" s="113" t="n"/>
      <c r="C41" s="111" t="n"/>
      <c r="D41" s="111" t="n"/>
      <c r="E41" s="111" t="n"/>
      <c r="F41" s="111" t="n"/>
      <c r="G41" s="111" t="n"/>
      <c r="H41" s="111" t="n"/>
      <c r="I41" s="111" t="n"/>
    </row>
    <row r="42" ht="13.5" customHeight="1">
      <c r="A42" s="109" t="n"/>
      <c r="B42" s="113" t="n"/>
      <c r="C42" s="111" t="n"/>
      <c r="D42" s="111" t="n"/>
      <c r="E42" s="111" t="n"/>
      <c r="F42" s="111" t="n"/>
      <c r="G42" s="111" t="n"/>
      <c r="H42" s="111" t="n"/>
      <c r="I42" s="111" t="n"/>
    </row>
    <row r="43" ht="13.5" customHeight="1">
      <c r="A43" s="109" t="n"/>
      <c r="B43" s="113" t="n"/>
      <c r="C43" s="111" t="n"/>
      <c r="D43" s="111" t="n"/>
      <c r="E43" s="111" t="n"/>
      <c r="F43" s="111" t="n"/>
      <c r="G43" s="111" t="n"/>
      <c r="H43" s="111" t="n"/>
      <c r="I43" s="111" t="n"/>
    </row>
    <row r="44" ht="13.5" customHeight="1">
      <c r="A44" s="109" t="n"/>
      <c r="B44" s="113" t="n"/>
      <c r="C44" s="111" t="n"/>
      <c r="D44" s="111" t="n"/>
      <c r="E44" s="111" t="n"/>
      <c r="F44" s="111" t="n"/>
      <c r="G44" s="111" t="n"/>
      <c r="H44" s="111" t="n"/>
      <c r="I44" s="111" t="n"/>
    </row>
    <row r="45" ht="13.5" customHeight="1">
      <c r="A45" s="109" t="n"/>
      <c r="B45" s="113" t="n"/>
      <c r="C45" s="111" t="n"/>
      <c r="D45" s="111" t="n"/>
      <c r="E45" s="111" t="n"/>
      <c r="F45" s="111" t="n"/>
      <c r="G45" s="111" t="n"/>
      <c r="H45" s="111" t="n"/>
      <c r="I45" s="111" t="n"/>
    </row>
    <row r="46" ht="13.5" customHeight="1">
      <c r="A46" s="109" t="n"/>
      <c r="B46" s="113" t="n"/>
      <c r="C46" s="111" t="n"/>
      <c r="D46" s="111" t="n"/>
      <c r="E46" s="111" t="n"/>
      <c r="F46" s="111" t="n"/>
      <c r="G46" s="111" t="n"/>
      <c r="H46" s="111" t="n"/>
      <c r="I46" s="111" t="n"/>
    </row>
    <row r="47" ht="13.5" customHeight="1">
      <c r="A47" s="109" t="n"/>
      <c r="B47" s="113" t="n"/>
      <c r="C47" s="111" t="n"/>
      <c r="D47" s="111" t="n"/>
      <c r="E47" s="111" t="n"/>
      <c r="F47" s="111" t="n"/>
      <c r="G47" s="111" t="n"/>
      <c r="H47" s="111" t="n"/>
      <c r="I47" s="111" t="n"/>
    </row>
    <row r="48" ht="13.5" customHeight="1">
      <c r="A48" s="109" t="n"/>
      <c r="B48" s="113" t="n"/>
      <c r="C48" s="111" t="n"/>
      <c r="D48" s="111" t="n"/>
      <c r="E48" s="111" t="n"/>
      <c r="F48" s="111" t="n"/>
      <c r="G48" s="111" t="n"/>
      <c r="H48" s="111" t="n"/>
      <c r="I48" s="111" t="n"/>
    </row>
    <row r="49" ht="13.5" customHeight="1">
      <c r="A49" s="109" t="n"/>
      <c r="B49" s="113" t="n"/>
      <c r="C49" s="111" t="n"/>
      <c r="D49" s="111" t="n"/>
      <c r="E49" s="111" t="n"/>
      <c r="F49" s="111" t="n"/>
      <c r="G49" s="111" t="n"/>
      <c r="H49" s="111" t="n"/>
      <c r="I49" s="111" t="n"/>
    </row>
    <row r="50" ht="13.5" customHeight="1">
      <c r="A50" s="109" t="n"/>
      <c r="B50" s="113" t="n"/>
      <c r="C50" s="111" t="n"/>
      <c r="D50" s="111" t="n"/>
      <c r="E50" s="111" t="n"/>
      <c r="F50" s="111" t="n"/>
      <c r="G50" s="111" t="n"/>
      <c r="H50" s="111" t="n"/>
      <c r="I50" s="111" t="n"/>
    </row>
    <row r="51" ht="13.5" customHeight="1">
      <c r="A51" s="109" t="n"/>
      <c r="B51" s="113" t="n"/>
      <c r="C51" s="111" t="n"/>
      <c r="D51" s="111" t="n"/>
      <c r="E51" s="111" t="n"/>
      <c r="F51" s="111" t="n"/>
      <c r="G51" s="111" t="n"/>
      <c r="H51" s="111" t="n"/>
      <c r="I51" s="111" t="n"/>
    </row>
    <row r="52" ht="13.5" customHeight="1">
      <c r="A52" s="109" t="n"/>
      <c r="B52" s="113" t="n"/>
      <c r="C52" s="111" t="n"/>
      <c r="D52" s="111" t="n"/>
      <c r="E52" s="111" t="n"/>
      <c r="F52" s="111" t="n"/>
      <c r="G52" s="111" t="n"/>
      <c r="H52" s="111" t="n"/>
      <c r="I52" s="111" t="n"/>
    </row>
    <row r="53" ht="13.5" customHeight="1">
      <c r="A53" s="109" t="n"/>
      <c r="B53" s="113" t="n"/>
      <c r="C53" s="111" t="n"/>
      <c r="D53" s="111" t="n"/>
      <c r="E53" s="111" t="n"/>
      <c r="F53" s="111" t="n"/>
      <c r="G53" s="111" t="n"/>
      <c r="H53" s="111" t="n"/>
      <c r="I53" s="111" t="n"/>
    </row>
    <row r="54" ht="13.5" customHeight="1">
      <c r="A54" s="109" t="n"/>
      <c r="B54" s="113" t="n"/>
      <c r="C54" s="111" t="n"/>
      <c r="D54" s="111" t="n"/>
      <c r="E54" s="111" t="n"/>
      <c r="F54" s="111" t="n"/>
      <c r="G54" s="111" t="n"/>
      <c r="H54" s="111" t="n"/>
      <c r="I54" s="111" t="n"/>
    </row>
    <row r="55" ht="13.5" customHeight="1">
      <c r="A55" s="109" t="n"/>
      <c r="B55" s="113" t="n"/>
      <c r="C55" s="111" t="n"/>
      <c r="D55" s="111" t="n"/>
      <c r="E55" s="111" t="n"/>
      <c r="F55" s="111" t="n"/>
      <c r="G55" s="111" t="n"/>
      <c r="H55" s="111" t="n"/>
      <c r="I55" s="111" t="n"/>
    </row>
    <row r="56" ht="13.5" customHeight="1">
      <c r="A56" s="109" t="n"/>
      <c r="B56" s="113" t="n"/>
      <c r="C56" s="111" t="n"/>
      <c r="D56" s="111" t="n"/>
      <c r="E56" s="111" t="n"/>
      <c r="F56" s="111" t="n"/>
      <c r="G56" s="111" t="n"/>
      <c r="H56" s="111" t="n"/>
      <c r="I56" s="111" t="n"/>
    </row>
    <row r="57" ht="13.5" customHeight="1">
      <c r="A57" s="109" t="n"/>
      <c r="B57" s="113" t="n"/>
      <c r="C57" s="111" t="n"/>
      <c r="D57" s="111" t="n"/>
      <c r="E57" s="111" t="n"/>
      <c r="F57" s="111" t="n"/>
      <c r="G57" s="111" t="n"/>
      <c r="H57" s="111" t="n"/>
      <c r="I57" s="111" t="n"/>
    </row>
    <row r="58" ht="13.5" customHeight="1">
      <c r="A58" s="109" t="n"/>
      <c r="B58" s="113" t="n"/>
      <c r="C58" s="111" t="n"/>
      <c r="D58" s="111" t="n"/>
      <c r="E58" s="111" t="n"/>
      <c r="F58" s="111" t="n"/>
      <c r="G58" s="111" t="n"/>
      <c r="H58" s="111" t="n"/>
      <c r="I58" s="111" t="n"/>
    </row>
    <row r="59" ht="13.5" customHeight="1">
      <c r="A59" s="109" t="n"/>
      <c r="B59" s="113" t="n"/>
      <c r="C59" s="111" t="n"/>
      <c r="D59" s="111" t="n"/>
      <c r="E59" s="111" t="n"/>
      <c r="F59" s="111" t="n"/>
      <c r="G59" s="111" t="n"/>
      <c r="H59" s="111" t="n"/>
      <c r="I59" s="111" t="n"/>
    </row>
    <row r="60" ht="13.5" customHeight="1">
      <c r="A60" s="109" t="n"/>
      <c r="B60" s="113" t="n"/>
      <c r="C60" s="111" t="n"/>
      <c r="D60" s="111" t="n"/>
      <c r="E60" s="111" t="n"/>
      <c r="F60" s="111" t="n"/>
      <c r="G60" s="111" t="n"/>
      <c r="H60" s="111" t="n"/>
      <c r="I60" s="111" t="n"/>
    </row>
    <row r="61" ht="13.5" customHeight="1">
      <c r="A61" s="109" t="n"/>
      <c r="B61" s="113" t="n"/>
      <c r="C61" s="111" t="n"/>
      <c r="D61" s="111" t="n"/>
      <c r="E61" s="111" t="n"/>
      <c r="F61" s="112" t="n"/>
      <c r="G61" s="111" t="n"/>
      <c r="H61" s="111" t="n"/>
      <c r="I61" s="111" t="n"/>
    </row>
    <row r="62" ht="13.5" customHeight="1">
      <c r="A62" s="109" t="n"/>
      <c r="B62" s="113" t="n"/>
      <c r="C62" s="111" t="n"/>
      <c r="D62" s="111" t="n"/>
      <c r="E62" s="111" t="n"/>
      <c r="F62" s="112" t="n"/>
      <c r="G62" s="111" t="n"/>
      <c r="H62" s="111" t="n"/>
      <c r="I62" s="111" t="n"/>
    </row>
    <row r="63" ht="13.5" customHeight="1">
      <c r="A63" s="109" t="n"/>
      <c r="B63" s="113" t="n"/>
      <c r="C63" s="111" t="n"/>
      <c r="D63" s="111" t="n"/>
      <c r="E63" s="111" t="n"/>
      <c r="F63" s="112" t="n"/>
      <c r="G63" s="111" t="n"/>
      <c r="H63" s="111" t="n"/>
      <c r="I63" s="111" t="n"/>
    </row>
    <row r="64" ht="13.5" customHeight="1">
      <c r="A64" s="109" t="n"/>
      <c r="B64" s="113" t="n"/>
      <c r="C64" s="111" t="n"/>
      <c r="D64" s="111" t="n"/>
      <c r="E64" s="111" t="n"/>
      <c r="F64" s="112" t="n"/>
      <c r="G64" s="111" t="n"/>
      <c r="H64" s="111" t="n"/>
      <c r="I64" s="111" t="n"/>
    </row>
    <row r="65" ht="13.5" customHeight="1">
      <c r="A65" s="109" t="n"/>
      <c r="B65" s="113" t="n"/>
      <c r="C65" s="111" t="n"/>
      <c r="D65" s="111" t="n"/>
      <c r="E65" s="111" t="n"/>
      <c r="F65" s="112" t="n"/>
      <c r="G65" s="111" t="n"/>
      <c r="H65" s="111" t="n"/>
      <c r="I65" s="111" t="n"/>
    </row>
    <row r="66" ht="13.5" customHeight="1">
      <c r="A66" s="109" t="n"/>
      <c r="B66" s="113" t="n"/>
      <c r="C66" s="111" t="n"/>
      <c r="D66" s="111" t="n"/>
      <c r="E66" s="111" t="n"/>
      <c r="F66" s="112" t="n"/>
      <c r="G66" s="111" t="n"/>
      <c r="H66" s="111" t="n"/>
      <c r="I66" s="111" t="n"/>
    </row>
    <row r="67" ht="13.5" customHeight="1">
      <c r="A67" s="109" t="n"/>
      <c r="B67" s="113" t="n"/>
      <c r="C67" s="111" t="n"/>
      <c r="D67" s="111" t="n"/>
      <c r="E67" s="111" t="n"/>
      <c r="F67" s="112" t="n"/>
      <c r="G67" s="111" t="n"/>
      <c r="H67" s="111" t="n"/>
      <c r="I67" s="111" t="n"/>
    </row>
    <row r="68" ht="13.5" customHeight="1">
      <c r="A68" s="109" t="n"/>
      <c r="B68" s="113" t="n"/>
      <c r="C68" s="111" t="n"/>
      <c r="D68" s="111" t="n"/>
      <c r="E68" s="111" t="n"/>
      <c r="F68" s="112" t="n"/>
      <c r="G68" s="111" t="n"/>
      <c r="H68" s="111" t="n"/>
      <c r="I68" s="111" t="n"/>
    </row>
    <row r="69" ht="13.5" customHeight="1">
      <c r="A69" s="109" t="n"/>
      <c r="B69" s="113" t="n"/>
      <c r="C69" s="111" t="n"/>
      <c r="D69" s="111" t="n"/>
      <c r="E69" s="111" t="n"/>
      <c r="F69" s="112" t="n"/>
      <c r="G69" s="111" t="n"/>
      <c r="H69" s="111" t="n"/>
      <c r="I69" s="111" t="n"/>
    </row>
    <row r="70" ht="13.5" customHeight="1">
      <c r="A70" s="114" t="n"/>
      <c r="B70" s="113" t="n"/>
      <c r="C70" s="111" t="n"/>
      <c r="D70" s="111" t="n"/>
      <c r="E70" s="111" t="n"/>
      <c r="F70" s="112" t="n"/>
      <c r="G70" s="111" t="n"/>
      <c r="H70" s="111" t="n"/>
      <c r="I70" s="111" t="n"/>
    </row>
    <row r="71" ht="13.5" customHeight="1">
      <c r="A71" s="114" t="n"/>
      <c r="B71" s="113" t="n"/>
      <c r="C71" s="111" t="n"/>
      <c r="D71" s="111" t="n"/>
      <c r="E71" s="111" t="n"/>
      <c r="F71" s="112" t="n"/>
      <c r="G71" s="111" t="n"/>
      <c r="H71" s="111" t="n"/>
      <c r="I71" s="111" t="n"/>
    </row>
    <row r="72" ht="13.5" customHeight="1">
      <c r="A72" s="114" t="n"/>
      <c r="B72" s="113" t="n"/>
      <c r="C72" s="111" t="n"/>
      <c r="D72" s="111" t="n"/>
      <c r="E72" s="111" t="n"/>
      <c r="F72" s="112" t="n"/>
      <c r="G72" s="111" t="n"/>
      <c r="H72" s="111" t="n"/>
      <c r="I72" s="111" t="n"/>
    </row>
    <row r="73" ht="13.5" customHeight="1">
      <c r="A73" s="114" t="n"/>
      <c r="B73" s="113" t="n"/>
      <c r="C73" s="111" t="n"/>
      <c r="D73" s="111" t="n"/>
      <c r="E73" s="111" t="n"/>
      <c r="F73" s="112" t="n"/>
      <c r="G73" s="111" t="n"/>
      <c r="H73" s="111" t="n"/>
      <c r="I73" s="111" t="n"/>
    </row>
    <row r="74" ht="13.5" customHeight="1">
      <c r="A74" s="114" t="n"/>
      <c r="B74" s="113" t="n"/>
      <c r="C74" s="111" t="n"/>
      <c r="D74" s="111" t="n"/>
      <c r="E74" s="111" t="n"/>
      <c r="F74" s="112" t="n"/>
      <c r="G74" s="111" t="n"/>
      <c r="H74" s="111" t="n"/>
      <c r="I74" s="111" t="n"/>
    </row>
    <row r="75" ht="13.5" customHeight="1">
      <c r="A75" s="114" t="n"/>
      <c r="B75" s="113" t="n"/>
      <c r="C75" s="111" t="n"/>
      <c r="D75" s="111" t="n"/>
      <c r="E75" s="111" t="n"/>
      <c r="F75" s="112" t="n"/>
      <c r="G75" s="111" t="n"/>
      <c r="H75" s="111" t="n"/>
      <c r="I75" s="111" t="n"/>
    </row>
    <row r="76" ht="13.5" customHeight="1">
      <c r="A76" s="114" t="n"/>
      <c r="B76" s="113" t="n"/>
      <c r="C76" s="111" t="n"/>
      <c r="D76" s="111" t="n"/>
      <c r="E76" s="111" t="n"/>
      <c r="F76" s="112" t="n"/>
      <c r="G76" s="111" t="n"/>
      <c r="H76" s="111" t="n"/>
      <c r="I76" s="111" t="n"/>
    </row>
    <row r="77" ht="13.5" customHeight="1">
      <c r="A77" s="114" t="n"/>
      <c r="B77" s="113" t="n"/>
      <c r="C77" s="111" t="n"/>
      <c r="D77" s="111" t="n"/>
      <c r="E77" s="111" t="n"/>
      <c r="F77" s="112" t="n"/>
      <c r="G77" s="111" t="n"/>
      <c r="H77" s="111" t="n"/>
      <c r="I77" s="111" t="n"/>
    </row>
    <row r="78" ht="13.5" customHeight="1">
      <c r="A78" s="114" t="n"/>
      <c r="B78" s="113" t="n"/>
      <c r="C78" s="111" t="n"/>
      <c r="D78" s="111" t="n"/>
      <c r="E78" s="111" t="n"/>
      <c r="F78" s="112" t="n"/>
      <c r="G78" s="111" t="n"/>
      <c r="H78" s="111" t="n"/>
      <c r="I78" s="111" t="n"/>
    </row>
    <row r="79" ht="13.5" customHeight="1">
      <c r="A79" s="114" t="n"/>
      <c r="B79" s="113" t="n"/>
      <c r="C79" s="111" t="n"/>
      <c r="D79" s="111" t="n"/>
      <c r="E79" s="111" t="n"/>
      <c r="F79" s="112" t="n"/>
      <c r="G79" s="111" t="n"/>
      <c r="H79" s="111" t="n"/>
      <c r="I79" s="111" t="n"/>
    </row>
    <row r="80" ht="13.5" customHeight="1">
      <c r="A80" s="114" t="n"/>
      <c r="B80" s="113" t="n"/>
      <c r="C80" s="111" t="n"/>
      <c r="D80" s="111" t="n"/>
      <c r="E80" s="111" t="n"/>
      <c r="F80" s="112" t="n"/>
      <c r="G80" s="111" t="n"/>
      <c r="H80" s="111" t="n"/>
      <c r="I80" s="111" t="n"/>
    </row>
    <row r="81" ht="13.5" customHeight="1">
      <c r="A81" s="114" t="n"/>
      <c r="B81" s="113" t="n"/>
      <c r="C81" s="111" t="n"/>
      <c r="D81" s="111" t="n"/>
      <c r="E81" s="111" t="n"/>
      <c r="F81" s="112" t="n"/>
      <c r="G81" s="111" t="n"/>
      <c r="H81" s="111" t="n"/>
      <c r="I81" s="111" t="n"/>
    </row>
    <row r="82" ht="13.5" customHeight="1">
      <c r="A82" s="114" t="n"/>
      <c r="B82" s="113" t="n"/>
      <c r="C82" s="111" t="n"/>
      <c r="D82" s="111" t="n"/>
      <c r="E82" s="111" t="n"/>
      <c r="F82" s="112" t="n"/>
      <c r="G82" s="111" t="n"/>
      <c r="H82" s="111" t="n"/>
      <c r="I82" s="111" t="n"/>
    </row>
    <row r="83" ht="13.5" customHeight="1">
      <c r="A83" s="114" t="n"/>
      <c r="B83" s="113" t="n"/>
      <c r="C83" s="111" t="n"/>
      <c r="D83" s="111" t="n"/>
      <c r="E83" s="111" t="n"/>
      <c r="F83" s="112" t="n"/>
      <c r="G83" s="111" t="n"/>
      <c r="H83" s="111" t="n"/>
      <c r="I83" s="111" t="n"/>
    </row>
    <row r="84" ht="13.5" customHeight="1">
      <c r="A84" s="114" t="n"/>
      <c r="B84" s="113" t="n"/>
      <c r="C84" s="111" t="n"/>
      <c r="D84" s="111" t="n"/>
      <c r="E84" s="111" t="n"/>
      <c r="F84" s="112" t="n"/>
      <c r="G84" s="111" t="n"/>
      <c r="H84" s="111" t="n"/>
      <c r="I84" s="111" t="n"/>
    </row>
    <row r="85" ht="13.5" customHeight="1">
      <c r="A85" s="114" t="n"/>
      <c r="B85" s="113" t="n"/>
      <c r="C85" s="111" t="n"/>
      <c r="D85" s="111" t="n"/>
      <c r="E85" s="111" t="n"/>
      <c r="F85" s="112" t="n"/>
      <c r="G85" s="111" t="n"/>
      <c r="H85" s="111" t="n"/>
      <c r="I85" s="111" t="n"/>
    </row>
    <row r="86" ht="13.5" customHeight="1">
      <c r="A86" s="114" t="n"/>
      <c r="B86" s="113" t="n"/>
      <c r="C86" s="111" t="n"/>
      <c r="D86" s="111" t="n"/>
      <c r="E86" s="111" t="n"/>
      <c r="F86" s="112" t="n"/>
      <c r="G86" s="111" t="n"/>
      <c r="H86" s="111" t="n"/>
      <c r="I86" s="111" t="n"/>
    </row>
    <row r="87" ht="13.5" customHeight="1">
      <c r="A87" s="114" t="n"/>
      <c r="B87" s="113" t="n"/>
      <c r="C87" s="111" t="n"/>
      <c r="D87" s="111" t="n"/>
      <c r="E87" s="111" t="n"/>
      <c r="F87" s="112" t="n"/>
      <c r="G87" s="111" t="n"/>
      <c r="H87" s="111" t="n"/>
      <c r="I87" s="111" t="n"/>
    </row>
    <row r="88" ht="13.5" customHeight="1">
      <c r="A88" s="114" t="n"/>
      <c r="B88" s="113" t="n"/>
      <c r="C88" s="111" t="n"/>
      <c r="D88" s="111" t="n"/>
      <c r="E88" s="111" t="n"/>
      <c r="F88" s="112" t="n"/>
      <c r="G88" s="111" t="n"/>
      <c r="H88" s="111" t="n"/>
      <c r="I88" s="111" t="n"/>
    </row>
    <row r="89" ht="13.5" customHeight="1">
      <c r="A89" s="114" t="n"/>
      <c r="B89" s="113" t="n"/>
      <c r="C89" s="111" t="n"/>
      <c r="D89" s="111" t="n"/>
      <c r="E89" s="111" t="n"/>
      <c r="F89" s="112" t="n"/>
      <c r="G89" s="111" t="n"/>
      <c r="H89" s="111" t="n"/>
      <c r="I89" s="111" t="n"/>
    </row>
    <row r="90" ht="13.5" customHeight="1">
      <c r="A90" s="114" t="n"/>
      <c r="B90" s="113" t="n"/>
      <c r="C90" s="111" t="n"/>
      <c r="D90" s="111" t="n"/>
      <c r="E90" s="111" t="n"/>
      <c r="F90" s="112" t="n"/>
      <c r="G90" s="111" t="n"/>
      <c r="H90" s="111" t="n"/>
      <c r="I90" s="111" t="n"/>
    </row>
    <row r="91" ht="14" customHeight="1">
      <c r="A91" s="114" t="n"/>
      <c r="B91" s="115" t="n"/>
      <c r="C91" s="111" t="n"/>
      <c r="D91" s="111" t="n"/>
      <c r="E91" s="111" t="n"/>
      <c r="F91" s="112" t="n"/>
      <c r="G91" s="111" t="n"/>
      <c r="H91" s="111" t="n"/>
      <c r="I91" s="111" t="n"/>
    </row>
    <row r="92" ht="14" customHeight="1">
      <c r="A92" s="114" t="n"/>
      <c r="B92" s="115" t="n"/>
      <c r="C92" s="111" t="n"/>
      <c r="D92" s="111" t="n"/>
      <c r="E92" s="111" t="n"/>
      <c r="F92" s="112" t="n"/>
      <c r="G92" s="111" t="n"/>
      <c r="H92" s="111" t="n"/>
      <c r="I92" s="111" t="n"/>
    </row>
    <row r="93" ht="14" customHeight="1">
      <c r="A93" s="116" t="n"/>
      <c r="B93" s="115" t="n"/>
      <c r="C93" s="111" t="n"/>
      <c r="D93" s="111" t="n"/>
      <c r="E93" s="111" t="n"/>
      <c r="F93" s="112" t="n"/>
      <c r="G93" s="111" t="n"/>
      <c r="H93" s="111" t="n"/>
      <c r="I93" s="111" t="n"/>
    </row>
    <row r="94" ht="14" customHeight="1">
      <c r="A94" s="116" t="n"/>
      <c r="B94" s="117" t="n"/>
      <c r="C94" s="116" t="n"/>
      <c r="D94" s="116" t="n"/>
      <c r="E94" s="116" t="n"/>
      <c r="F94" s="118" t="n"/>
      <c r="G94" s="116" t="n"/>
      <c r="H94" s="116" t="n"/>
      <c r="I94" s="116" t="n"/>
    </row>
    <row r="95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14" customHeight="1">
      <c r="A96" s="119" t="n"/>
      <c r="B96" s="120" t="n"/>
      <c r="C96" s="121" t="n"/>
      <c r="D96" s="121" t="n"/>
      <c r="E96" s="121" t="n"/>
      <c r="F96" s="121" t="n"/>
      <c r="G96" s="121" t="n"/>
      <c r="H96" s="121" t="n"/>
      <c r="I96" s="121" t="n"/>
    </row>
    <row r="97">
      <c r="A97" s="122" t="n"/>
      <c r="C97" s="123" t="n"/>
      <c r="D97" s="124" t="n"/>
      <c r="E97" s="124" t="n"/>
      <c r="F97" s="124" t="n"/>
      <c r="G97" s="124" t="n"/>
      <c r="H97" s="124" t="n"/>
      <c r="I97" s="124" t="n"/>
    </row>
    <row r="98">
      <c r="B98" s="125" t="n"/>
      <c r="D98" s="126" t="n"/>
      <c r="E98" s="7" t="n"/>
      <c r="I98" s="127" t="n"/>
    </row>
    <row r="99">
      <c r="B99" s="125" t="n"/>
      <c r="D99" s="126" t="n"/>
      <c r="E99" s="7" t="n"/>
      <c r="I99" s="127" t="n"/>
    </row>
    <row r="100">
      <c r="B100" s="125" t="n"/>
      <c r="D100" s="126" t="n"/>
      <c r="E100" s="7" t="n"/>
    </row>
    <row r="101">
      <c r="B101" s="125" t="n"/>
      <c r="D101" s="126" t="n"/>
      <c r="E101" s="7" t="n"/>
    </row>
    <row r="102">
      <c r="B102" s="125" t="n"/>
      <c r="D102" s="126" t="n"/>
      <c r="E102" s="7" t="n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List'!E11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List'!D11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Codex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Codex (Jest)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4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13.5" customHeight="1">
      <c r="A5" s="138" t="inlineStr">
        <is>
          <t>Test requirement</t>
        </is>
      </c>
      <c r="B5" s="4" t="n"/>
      <c r="C5" s="151" t="inlineStr">
        <is>
          <t>Controller-level unit coverage for the authenticated contract list flow based on current InterDev NestJS code.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 / Input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n"/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n"/>
      <c r="C12" s="188" t="n"/>
      <c r="D12" s="189" t="inlineStr">
        <is>
          <t>Service returns one or more contracts</t>
        </is>
      </c>
      <c r="E12" s="183" t="n"/>
      <c r="F12" s="190" t="inlineStr">
        <is>
          <t>O</t>
        </is>
      </c>
      <c r="G12" s="190" t="n"/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n"/>
      <c r="C13" s="188" t="n"/>
      <c r="D13" s="189" t="inlineStr">
        <is>
          <t>Service returns an empty array</t>
        </is>
      </c>
      <c r="E13" s="183" t="n"/>
      <c r="F13" s="190" t="n"/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n"/>
      <c r="C14" s="188" t="n"/>
      <c r="D14" s="189" t="inlineStr">
        <is>
          <t>Service throws an unexpected error</t>
        </is>
      </c>
      <c r="E14" s="183" t="n"/>
      <c r="F14" s="190" t="n"/>
      <c r="G14" s="190" t="n"/>
      <c r="H14" s="190" t="inlineStr">
        <is>
          <t>O</t>
        </is>
      </c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n"/>
      <c r="C16" s="199" t="n"/>
      <c r="D16" s="200" t="inlineStr">
        <is>
          <t>Return contract list for the authenticated user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0" t="inlineStr">
        <is>
          <t>Return empty array</t>
        </is>
      </c>
      <c r="E17" s="203" t="n"/>
      <c r="F17" s="190" t="n"/>
      <c r="G17" s="190" t="inlineStr">
        <is>
          <t>O</t>
        </is>
      </c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0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n"/>
      <c r="C19" s="202" t="n"/>
      <c r="D19" s="200" t="inlineStr">
        <is>
          <t>Propagate service exception</t>
        </is>
      </c>
      <c r="E19" s="203" t="n"/>
      <c r="F19" s="190" t="n"/>
      <c r="G19" s="190" t="n"/>
      <c r="H19" s="190" t="inlineStr">
        <is>
          <t>O</t>
        </is>
      </c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0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n"/>
      <c r="C21" s="202" t="n"/>
      <c r="D21" s="200" t="inlineStr">
        <is>
          <t>contractsService.listByUser is called with user.id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inlineStr">
        <is>
          <t>O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4" t="inlineStr">
        <is>
          <t>Type(N : Normal, A : Abnormal, B : Boundary)</t>
        </is>
      </c>
      <c r="C22" s="205" t="n"/>
      <c r="D22" s="206" t="n"/>
      <c r="E22" s="204" t="n"/>
      <c r="F22" s="207" t="inlineStr">
        <is>
          <t>N</t>
        </is>
      </c>
      <c r="G22" s="207" t="inlineStr">
        <is>
          <t>N</t>
        </is>
      </c>
      <c r="H22" s="207" t="inlineStr">
        <is>
          <t>A</t>
        </is>
      </c>
      <c r="I22" s="207" t="n"/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8" t="n"/>
    </row>
    <row r="23" ht="13.5" customHeight="1">
      <c r="A23" s="197" t="n"/>
      <c r="B23" s="209" t="inlineStr">
        <is>
          <t>Passed/Failed</t>
        </is>
      </c>
      <c r="C23" s="142" t="n"/>
      <c r="D23" s="143" t="n"/>
      <c r="E23" s="210" t="n"/>
      <c r="F23" s="211" t="inlineStr">
        <is>
          <t>P</t>
        </is>
      </c>
      <c r="G23" s="211" t="inlineStr">
        <is>
          <t>P</t>
        </is>
      </c>
      <c r="H23" s="211" t="inlineStr">
        <is>
          <t>P</t>
        </is>
      </c>
      <c r="I23" s="211" t="n"/>
      <c r="J23" s="211" t="n"/>
      <c r="K23" s="211" t="n"/>
      <c r="L23" s="211" t="n"/>
      <c r="M23" s="211" t="n"/>
      <c r="N23" s="211" t="n"/>
      <c r="O23" s="211" t="n"/>
      <c r="P23" s="211" t="n"/>
      <c r="Q23" s="211" t="n"/>
      <c r="R23" s="211" t="n"/>
      <c r="S23" s="211" t="n"/>
      <c r="T23" s="212" t="n"/>
    </row>
    <row r="24" ht="64.5" customHeight="1">
      <c r="A24" s="197" t="n"/>
      <c r="B24" s="213" t="inlineStr">
        <is>
          <t>Executed Date</t>
        </is>
      </c>
      <c r="C24" s="142" t="n"/>
      <c r="D24" s="143" t="n"/>
      <c r="E24" s="214" t="n"/>
      <c r="F24" s="215" t="n">
        <v>46110</v>
      </c>
      <c r="G24" s="215" t="n">
        <v>46110</v>
      </c>
      <c r="H24" s="215" t="n">
        <v>46110</v>
      </c>
      <c r="I24" s="215" t="n"/>
      <c r="J24" s="215" t="n"/>
      <c r="K24" s="215" t="n"/>
      <c r="L24" s="215" t="n"/>
      <c r="M24" s="215" t="n"/>
      <c r="N24" s="215" t="n"/>
      <c r="O24" s="215" t="n"/>
      <c r="P24" s="215" t="n"/>
      <c r="Q24" s="215" t="n"/>
      <c r="R24" s="215" t="n"/>
      <c r="S24" s="215" t="n"/>
      <c r="T24" s="216" t="n"/>
    </row>
    <row r="25" ht="10.5" customHeight="1">
      <c r="A25" s="217" t="n"/>
      <c r="B25" s="218" t="inlineStr">
        <is>
          <t>Defect ID</t>
        </is>
      </c>
      <c r="C25" s="219" t="n"/>
      <c r="D25" s="220" t="n"/>
      <c r="E25" s="221" t="n"/>
      <c r="F25" s="222" t="n"/>
      <c r="G25" s="222" t="n"/>
      <c r="H25" s="222" t="n"/>
      <c r="I25" s="222" t="n"/>
      <c r="J25" s="222" t="n"/>
      <c r="K25" s="222" t="n"/>
      <c r="L25" s="222" t="n"/>
      <c r="M25" s="222" t="n"/>
      <c r="N25" s="222" t="n"/>
      <c r="O25" s="222" t="n"/>
      <c r="P25" s="222" t="n"/>
      <c r="Q25" s="222" t="n"/>
      <c r="R25" s="222" t="n"/>
      <c r="S25" s="222" t="n"/>
      <c r="T25" s="223" t="n"/>
    </row>
    <row r="26" ht="10.5" customHeight="1">
      <c r="A26" s="224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List'!E12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List'!D12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Codex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Codex (Jest)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28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13.5" customHeight="1">
      <c r="A5" s="138" t="inlineStr">
        <is>
          <t>Test requirement</t>
        </is>
      </c>
      <c r="B5" s="4" t="n"/>
      <c r="C5" s="151" t="inlineStr">
        <is>
          <t>Controller-level unit coverage for milestone funding based on current InterDev NestJS code.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 / Input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n"/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n"/>
      <c r="C12" s="188" t="n"/>
      <c r="D12" s="189" t="inlineStr">
        <is>
          <t>Valid milestoneId, paymentMethodId, and gateway payload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inlineStr">
        <is>
          <t>O</t>
        </is>
      </c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n"/>
      <c r="C13" s="188" t="n"/>
      <c r="D13" s="189" t="inlineStr">
        <is>
          <t>Idempotency-Key header is missing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n"/>
      <c r="C14" s="188" t="n"/>
      <c r="D14" s="189" t="inlineStr">
        <is>
          <t>Idempotency-Key header is present</t>
        </is>
      </c>
      <c r="E14" s="183" t="n"/>
      <c r="F14" s="190" t="n"/>
      <c r="G14" s="190" t="inlineStr">
        <is>
          <t>O</t>
        </is>
      </c>
      <c r="H14" s="190" t="inlineStr">
        <is>
          <t>O</t>
        </is>
      </c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n"/>
      <c r="C16" s="199" t="n"/>
      <c r="D16" s="200" t="inlineStr">
        <is>
          <t>Return { success: true, data: funding result }</t>
        </is>
      </c>
      <c r="E16" s="201" t="n"/>
      <c r="F16" s="190" t="n"/>
      <c r="G16" s="190" t="inlineStr">
        <is>
          <t>O</t>
        </is>
      </c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0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0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n"/>
      <c r="C19" s="202" t="n"/>
      <c r="D19" s="200" t="inlineStr">
        <is>
          <t>Throw or propagate funding error when validation or service call fails</t>
        </is>
      </c>
      <c r="E19" s="203" t="n"/>
      <c r="F19" s="190" t="inlineStr">
        <is>
          <t>O</t>
        </is>
      </c>
      <c r="G19" s="190" t="n"/>
      <c r="H19" s="190" t="inlineStr">
        <is>
          <t>O</t>
        </is>
      </c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0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n"/>
      <c r="C21" s="202" t="n"/>
      <c r="D21" s="200" t="inlineStr">
        <is>
          <t>milestoneFundingService.fundMilestone receives milestoneId, payerId, paymentMethodId, gateway, and idempotencyKey after header validation</t>
        </is>
      </c>
      <c r="E21" s="203" t="n"/>
      <c r="F21" s="190" t="n"/>
      <c r="G21" s="190" t="inlineStr">
        <is>
          <t>O</t>
        </is>
      </c>
      <c r="H21" s="190" t="inlineStr">
        <is>
          <t>O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4" t="inlineStr">
        <is>
          <t>Type(N : Normal, A : Abnormal, B : Boundary)</t>
        </is>
      </c>
      <c r="C22" s="205" t="n"/>
      <c r="D22" s="206" t="n"/>
      <c r="E22" s="204" t="n"/>
      <c r="F22" s="207" t="inlineStr">
        <is>
          <t>A</t>
        </is>
      </c>
      <c r="G22" s="207" t="inlineStr">
        <is>
          <t>N</t>
        </is>
      </c>
      <c r="H22" s="207" t="inlineStr">
        <is>
          <t>A</t>
        </is>
      </c>
      <c r="I22" s="207" t="n"/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8" t="n"/>
    </row>
    <row r="23" ht="13.5" customHeight="1">
      <c r="A23" s="197" t="n"/>
      <c r="B23" s="209" t="inlineStr">
        <is>
          <t>Passed/Failed</t>
        </is>
      </c>
      <c r="C23" s="142" t="n"/>
      <c r="D23" s="143" t="n"/>
      <c r="E23" s="210" t="n"/>
      <c r="F23" s="211" t="inlineStr">
        <is>
          <t>P</t>
        </is>
      </c>
      <c r="G23" s="211" t="inlineStr">
        <is>
          <t>P</t>
        </is>
      </c>
      <c r="H23" s="211" t="inlineStr">
        <is>
          <t>P</t>
        </is>
      </c>
      <c r="I23" s="211" t="n"/>
      <c r="J23" s="211" t="n"/>
      <c r="K23" s="211" t="n"/>
      <c r="L23" s="211" t="n"/>
      <c r="M23" s="211" t="n"/>
      <c r="N23" s="211" t="n"/>
      <c r="O23" s="211" t="n"/>
      <c r="P23" s="211" t="n"/>
      <c r="Q23" s="211" t="n"/>
      <c r="R23" s="211" t="n"/>
      <c r="S23" s="211" t="n"/>
      <c r="T23" s="212" t="n"/>
    </row>
    <row r="24" ht="64.5" customHeight="1">
      <c r="A24" s="197" t="n"/>
      <c r="B24" s="213" t="inlineStr">
        <is>
          <t>Executed Date</t>
        </is>
      </c>
      <c r="C24" s="142" t="n"/>
      <c r="D24" s="143" t="n"/>
      <c r="E24" s="214" t="n"/>
      <c r="F24" s="215" t="n">
        <v>46110</v>
      </c>
      <c r="G24" s="215" t="n">
        <v>46110</v>
      </c>
      <c r="H24" s="215" t="n">
        <v>46110</v>
      </c>
      <c r="I24" s="215" t="n"/>
      <c r="J24" s="215" t="n"/>
      <c r="K24" s="215" t="n"/>
      <c r="L24" s="215" t="n"/>
      <c r="M24" s="215" t="n"/>
      <c r="N24" s="215" t="n"/>
      <c r="O24" s="215" t="n"/>
      <c r="P24" s="215" t="n"/>
      <c r="Q24" s="215" t="n"/>
      <c r="R24" s="215" t="n"/>
      <c r="S24" s="215" t="n"/>
      <c r="T24" s="216" t="n"/>
    </row>
    <row r="25" ht="10.5" customHeight="1">
      <c r="A25" s="217" t="n"/>
      <c r="B25" s="218" t="inlineStr">
        <is>
          <t>Defect ID</t>
        </is>
      </c>
      <c r="C25" s="219" t="n"/>
      <c r="D25" s="220" t="n"/>
      <c r="E25" s="221" t="n"/>
      <c r="F25" s="222" t="n"/>
      <c r="G25" s="222" t="n"/>
      <c r="H25" s="222" t="n"/>
      <c r="I25" s="222" t="n"/>
      <c r="J25" s="222" t="n"/>
      <c r="K25" s="222" t="n"/>
      <c r="L25" s="222" t="n"/>
      <c r="M25" s="222" t="n"/>
      <c r="N25" s="222" t="n"/>
      <c r="O25" s="222" t="n"/>
      <c r="P25" s="222" t="n"/>
      <c r="Q25" s="222" t="n"/>
      <c r="R25" s="222" t="n"/>
      <c r="S25" s="222" t="n"/>
      <c r="T25" s="223" t="n"/>
    </row>
    <row r="26" ht="10.5" customHeight="1">
      <c r="A26" s="224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List'!E13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List'!D13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Codex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Codex (Jest)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15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13.5" customHeight="1">
      <c r="A5" s="138" t="inlineStr">
        <is>
          <t>Test requirement</t>
        </is>
      </c>
      <c r="B5" s="4" t="n"/>
      <c r="C5" s="151" t="inlineStr">
        <is>
          <t>Controller-level unit coverage for spec audit dispatching based on current InterDev NestJS code.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 / Input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n"/>
      <c r="C11" s="188" t="n"/>
      <c r="D11" s="189" t="inlineStr">
        <is>
          <t>Authenticated admin/staff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n"/>
      <c r="C12" s="188" t="n"/>
      <c r="D12" s="189" t="inlineStr">
        <is>
          <t>auditDto.action = APPROVE</t>
        </is>
      </c>
      <c r="E12" s="183" t="n"/>
      <c r="F12" s="190" t="inlineStr">
        <is>
          <t>O</t>
        </is>
      </c>
      <c r="G12" s="190" t="n"/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n"/>
      <c r="C13" s="188" t="n"/>
      <c r="D13" s="189" t="inlineStr">
        <is>
          <t>auditDto.action = REJECT with non-empty reason</t>
        </is>
      </c>
      <c r="E13" s="183" t="n"/>
      <c r="F13" s="190" t="n"/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n"/>
      <c r="C14" s="188" t="n"/>
      <c r="D14" s="189" t="inlineStr">
        <is>
          <t>auditDto.action = REJECT without reason</t>
        </is>
      </c>
      <c r="E14" s="183" t="n"/>
      <c r="F14" s="190" t="n"/>
      <c r="G14" s="190" t="n"/>
      <c r="H14" s="190" t="inlineStr">
        <is>
          <t>O</t>
        </is>
      </c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n"/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n"/>
      <c r="C16" s="199" t="n"/>
      <c r="D16" s="200" t="inlineStr">
        <is>
          <t>Call approveSpec and return approved result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0" t="inlineStr">
        <is>
          <t>Call rejectSpec with reason and return rejected result</t>
        </is>
      </c>
      <c r="E17" s="203" t="n"/>
      <c r="F17" s="190" t="n"/>
      <c r="G17" s="190" t="inlineStr">
        <is>
          <t>O</t>
        </is>
      </c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n"/>
      <c r="C18" s="202" t="n"/>
      <c r="D18" s="200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n"/>
      <c r="C19" s="202" t="n"/>
      <c r="D19" s="200" t="inlineStr">
        <is>
          <t>Throw BadRequestException when REJECT is sent without reason</t>
        </is>
      </c>
      <c r="E19" s="203" t="n"/>
      <c r="F19" s="190" t="n"/>
      <c r="G19" s="190" t="n"/>
      <c r="H19" s="190" t="inlineStr">
        <is>
          <t>O</t>
        </is>
      </c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n"/>
      <c r="C20" s="202" t="n"/>
      <c r="D20" s="200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n"/>
      <c r="C21" s="202" t="n"/>
      <c r="D21" s="200" t="inlineStr">
        <is>
          <t>Only the matching service path is called for each action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inlineStr">
        <is>
          <t>O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4" t="inlineStr">
        <is>
          <t>Type(N : Normal, A : Abnormal, B : Boundary)</t>
        </is>
      </c>
      <c r="C22" s="205" t="n"/>
      <c r="D22" s="206" t="n"/>
      <c r="E22" s="204" t="n"/>
      <c r="F22" s="207" t="inlineStr">
        <is>
          <t>N</t>
        </is>
      </c>
      <c r="G22" s="207" t="inlineStr">
        <is>
          <t>N</t>
        </is>
      </c>
      <c r="H22" s="207" t="inlineStr">
        <is>
          <t>A</t>
        </is>
      </c>
      <c r="I22" s="207" t="n"/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8" t="n"/>
    </row>
    <row r="23" ht="13.5" customHeight="1">
      <c r="A23" s="197" t="n"/>
      <c r="B23" s="209" t="inlineStr">
        <is>
          <t>Passed/Failed</t>
        </is>
      </c>
      <c r="C23" s="142" t="n"/>
      <c r="D23" s="143" t="n"/>
      <c r="E23" s="210" t="n"/>
      <c r="F23" s="211" t="inlineStr">
        <is>
          <t>P</t>
        </is>
      </c>
      <c r="G23" s="211" t="inlineStr">
        <is>
          <t>P</t>
        </is>
      </c>
      <c r="H23" s="211" t="inlineStr">
        <is>
          <t>P</t>
        </is>
      </c>
      <c r="I23" s="211" t="n"/>
      <c r="J23" s="211" t="n"/>
      <c r="K23" s="211" t="n"/>
      <c r="L23" s="211" t="n"/>
      <c r="M23" s="211" t="n"/>
      <c r="N23" s="211" t="n"/>
      <c r="O23" s="211" t="n"/>
      <c r="P23" s="211" t="n"/>
      <c r="Q23" s="211" t="n"/>
      <c r="R23" s="211" t="n"/>
      <c r="S23" s="211" t="n"/>
      <c r="T23" s="212" t="n"/>
    </row>
    <row r="24" ht="64.5" customHeight="1">
      <c r="A24" s="197" t="n"/>
      <c r="B24" s="213" t="inlineStr">
        <is>
          <t>Executed Date</t>
        </is>
      </c>
      <c r="C24" s="142" t="n"/>
      <c r="D24" s="143" t="n"/>
      <c r="E24" s="214" t="n"/>
      <c r="F24" s="215" t="n">
        <v>46110</v>
      </c>
      <c r="G24" s="215" t="n">
        <v>46110</v>
      </c>
      <c r="H24" s="215" t="n">
        <v>46110</v>
      </c>
      <c r="I24" s="215" t="n"/>
      <c r="J24" s="215" t="n"/>
      <c r="K24" s="215" t="n"/>
      <c r="L24" s="215" t="n"/>
      <c r="M24" s="215" t="n"/>
      <c r="N24" s="215" t="n"/>
      <c r="O24" s="215" t="n"/>
      <c r="P24" s="215" t="n"/>
      <c r="Q24" s="215" t="n"/>
      <c r="R24" s="215" t="n"/>
      <c r="S24" s="215" t="n"/>
      <c r="T24" s="216" t="n"/>
    </row>
    <row r="25" ht="10.5" customHeight="1">
      <c r="A25" s="217" t="n"/>
      <c r="B25" s="218" t="inlineStr">
        <is>
          <t>Defect ID</t>
        </is>
      </c>
      <c r="C25" s="219" t="n"/>
      <c r="D25" s="220" t="n"/>
      <c r="E25" s="221" t="n"/>
      <c r="F25" s="222" t="n"/>
      <c r="G25" s="222" t="n"/>
      <c r="H25" s="222" t="n"/>
      <c r="I25" s="222" t="n"/>
      <c r="J25" s="222" t="n"/>
      <c r="K25" s="222" t="n"/>
      <c r="L25" s="222" t="n"/>
      <c r="M25" s="222" t="n"/>
      <c r="N25" s="222" t="n"/>
      <c r="O25" s="222" t="n"/>
      <c r="P25" s="222" t="n"/>
      <c r="Q25" s="222" t="n"/>
      <c r="R25" s="222" t="n"/>
      <c r="S25" s="222" t="n"/>
      <c r="T25" s="223" t="n"/>
    </row>
    <row r="26" ht="10.5" customHeight="1">
      <c r="A26" s="224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2026-03-29T03:21:24Z</dcterms:created>
  <dcterms:modified xsi:type="dcterms:W3CDTF">2026-03-29T03:21:24Z</dcterms:modified>
</cp:coreProperties>
</file>