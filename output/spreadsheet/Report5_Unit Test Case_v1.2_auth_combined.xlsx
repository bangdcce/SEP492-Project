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PT Capstone Materials and Files\Unit Testing Excel\"/>
    </mc:Choice>
  </mc:AlternateContent>
  <xr:revisionPtr revIDLastSave="0" documentId="13_ncr:1_{D130C2F5-9DB4-4444-AD14-434125738C4A}" xr6:coauthVersionLast="47" xr6:coauthVersionMax="47" xr10:uidLastSave="{00000000-0000-0000-0000-000000000000}"/>
  <bookViews>
    <workbookView xWindow="-110" yWindow="-110" windowWidth="34620" windowHeight="13900" tabRatio="866" activeTab="3" xr2:uid="{F7775DF1-CE3E-45B2-A694-417215C40C05}"/>
  </bookViews>
  <sheets>
    <sheet name="Guideline" sheetId="1" r:id="rId1"/>
    <sheet name="Cover" sheetId="4" r:id="rId2"/>
    <sheet name="Function List" sheetId="5" r:id="rId3"/>
    <sheet name="Test Report" sheetId="6" r:id="rId4"/>
    <sheet name="Get All Room" sheetId="7" r:id="rId5"/>
    <sheet name="Get Room Detail" sheetId="10" r:id="rId6"/>
    <sheet name="Add Room" sheetId="11" r:id="rId7"/>
    <sheet name="Update Room" sheetId="12" r:id="rId8"/>
    <sheet name="Entry Excel To Room" sheetId="14" r:id="rId9"/>
    <sheet name="Get All Roles" sheetId="16" r:id="rId10"/>
    <sheet name="Get Role Detail" sheetId="17" r:id="rId11"/>
    <sheet name="Add New Role" sheetId="18" r:id="rId12"/>
    <sheet name="Update Role" sheetId="19" r:id="rId13"/>
  </sheets>
  <definedNames>
    <definedName name="ACTION">#REF!</definedName>
    <definedName name="_xlnm.Print_Area" localSheetId="6">'Add Room'!$A$1:$T$51</definedName>
    <definedName name="_xlnm.Print_Area" localSheetId="2">'Function List'!$A$1:$H$38</definedName>
    <definedName name="_xlnm.Print_Area" localSheetId="4">'Get All Room'!$A$1:$T$36</definedName>
    <definedName name="_xlnm.Print_Area" localSheetId="5">'Get Room Detail'!$A$1:$T$40</definedName>
    <definedName name="_xlnm.Print_Area" localSheetId="0">Guideline!$A$1:$A$48</definedName>
    <definedName name="_xlnm.Print_Area" localSheetId="3">'Test Report'!$A$1:$I$120</definedName>
    <definedName name="Z_2C0D9096_8D85_462A_A9B5_0B488ADB4269_.wvu.Cols" localSheetId="6" hidden="1">'Add Room'!$E:$E</definedName>
    <definedName name="Z_2C0D9096_8D85_462A_A9B5_0B488ADB4269_.wvu.Cols" localSheetId="4" hidden="1">'Get All Room'!$E:$E</definedName>
    <definedName name="Z_2C0D9096_8D85_462A_A9B5_0B488ADB4269_.wvu.Cols" localSheetId="5" hidden="1">'Get Room Detail'!$E:$E</definedName>
    <definedName name="Z_2C0D9096_8D85_462A_A9B5_0B488ADB4269_.wvu.PrintArea" localSheetId="3" hidden="1">'Test Report'!$A:$I</definedName>
    <definedName name="Z_6F1DCD5D_5DAC_4817_BF40_2B66F6F593E6_.wvu.Cols" localSheetId="6" hidden="1">'Add Room'!$E:$E</definedName>
    <definedName name="Z_6F1DCD5D_5DAC_4817_BF40_2B66F6F593E6_.wvu.Cols" localSheetId="4" hidden="1">'Get All Room'!$E:$E</definedName>
    <definedName name="Z_6F1DCD5D_5DAC_4817_BF40_2B66F6F593E6_.wvu.Cols" localSheetId="5" hidden="1">'Get Room Detail'!$E:$E</definedName>
    <definedName name="Z_6F1DCD5D_5DAC_4817_BF40_2B66F6F593E6_.wvu.PrintArea" localSheetId="3" hidden="1">'Test Report'!$A:$I</definedName>
    <definedName name="Z_BE54E0AD_3725_4423_92D7_4F1C045BE1BC_.wvu.Cols" localSheetId="6" hidden="1">'Add Room'!$E:$E</definedName>
    <definedName name="Z_BE54E0AD_3725_4423_92D7_4F1C045BE1BC_.wvu.Cols" localSheetId="4" hidden="1">'Get All Room'!$E:$E</definedName>
    <definedName name="Z_BE54E0AD_3725_4423_92D7_4F1C045BE1BC_.wvu.Cols" localSheetId="5" hidden="1">'Get Room Detail'!$E:$E</definedName>
    <definedName name="Z_BE54E0AD_3725_4423_92D7_4F1C045BE1BC_.wvu.PrintArea" localSheetId="3" hidden="1">'Test Report'!$A:$I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6" i="4"/>
  <c r="N7" i="19" l="1"/>
  <c r="H20" i="6" s="1"/>
  <c r="M7" i="19"/>
  <c r="G20" i="6" s="1"/>
  <c r="L7" i="19"/>
  <c r="F20" i="6" s="1"/>
  <c r="D20" i="6"/>
  <c r="D19" i="6"/>
  <c r="N7" i="18"/>
  <c r="H19" i="6" s="1"/>
  <c r="M7" i="18"/>
  <c r="G19" i="6" s="1"/>
  <c r="L7" i="18"/>
  <c r="F19" i="6" s="1"/>
  <c r="L2" i="11"/>
  <c r="I18" i="6"/>
  <c r="D18" i="6"/>
  <c r="E18" i="6"/>
  <c r="C18" i="6"/>
  <c r="N7" i="17"/>
  <c r="H18" i="6" s="1"/>
  <c r="L7" i="17"/>
  <c r="F18" i="6" s="1"/>
  <c r="M7" i="17"/>
  <c r="G18" i="6" s="1"/>
  <c r="N7" i="16"/>
  <c r="H17" i="6" s="1"/>
  <c r="M7" i="16"/>
  <c r="G17" i="6" s="1"/>
  <c r="L7" i="16"/>
  <c r="F17" i="6" s="1"/>
  <c r="I17" i="6"/>
  <c r="D17" i="6"/>
  <c r="E17" i="6"/>
  <c r="C17" i="6"/>
  <c r="I15" i="6"/>
  <c r="N7" i="14"/>
  <c r="H16" i="6" s="1"/>
  <c r="M7" i="14"/>
  <c r="G16" i="6" s="1"/>
  <c r="L7" i="14"/>
  <c r="F16" i="6" s="1"/>
  <c r="I16" i="6"/>
  <c r="D16" i="6"/>
  <c r="C16" i="6"/>
  <c r="N7" i="12"/>
  <c r="H15" i="6" s="1"/>
  <c r="M7" i="12"/>
  <c r="G15" i="6" s="1"/>
  <c r="L7" i="12"/>
  <c r="F15" i="6" s="1"/>
  <c r="C15" i="6"/>
  <c r="O7" i="19"/>
  <c r="I20" i="6" s="1"/>
  <c r="C7" i="19"/>
  <c r="E20" i="6" s="1"/>
  <c r="A7" i="19"/>
  <c r="C20" i="6" s="1"/>
  <c r="O7" i="18"/>
  <c r="I19" i="6" s="1"/>
  <c r="C7" i="18"/>
  <c r="E19" i="6" s="1"/>
  <c r="A7" i="18"/>
  <c r="C19" i="6" s="1"/>
  <c r="O7" i="17"/>
  <c r="C7" i="17"/>
  <c r="A7" i="17"/>
  <c r="F7" i="17" s="1"/>
  <c r="O7" i="16"/>
  <c r="C7" i="16"/>
  <c r="A7" i="16"/>
  <c r="C12" i="6"/>
  <c r="L4" i="10"/>
  <c r="O7" i="14"/>
  <c r="C7" i="14"/>
  <c r="E16" i="6" s="1"/>
  <c r="A7" i="14"/>
  <c r="A7" i="12"/>
  <c r="L2" i="7"/>
  <c r="L7" i="7"/>
  <c r="F12" i="6" s="1"/>
  <c r="M7" i="7"/>
  <c r="G12" i="6" s="1"/>
  <c r="N7" i="7"/>
  <c r="H12" i="6" s="1"/>
  <c r="O7" i="7"/>
  <c r="N7" i="11"/>
  <c r="H14" i="6" s="1"/>
  <c r="M7" i="11"/>
  <c r="G14" i="6" s="1"/>
  <c r="L7" i="11"/>
  <c r="F14" i="6" s="1"/>
  <c r="N7" i="10"/>
  <c r="H13" i="6" s="1"/>
  <c r="M7" i="10"/>
  <c r="G13" i="6" s="1"/>
  <c r="L7" i="10"/>
  <c r="F13" i="6" s="1"/>
  <c r="C7" i="11"/>
  <c r="D14" i="6" s="1"/>
  <c r="A7" i="11"/>
  <c r="C14" i="6" s="1"/>
  <c r="C7" i="10"/>
  <c r="D13" i="6" s="1"/>
  <c r="A7" i="10"/>
  <c r="C13" i="6" s="1"/>
  <c r="C7" i="7"/>
  <c r="D12" i="6" s="1"/>
  <c r="A7" i="7"/>
  <c r="C2" i="11"/>
  <c r="L2" i="10"/>
  <c r="C2" i="10"/>
  <c r="C2" i="7"/>
  <c r="O7" i="12"/>
  <c r="C7" i="12"/>
  <c r="D15" i="6" s="1"/>
  <c r="O7" i="11"/>
  <c r="O7" i="10"/>
  <c r="B4" i="6"/>
  <c r="B5" i="6"/>
  <c r="F7" i="19" l="1"/>
  <c r="F7" i="18"/>
  <c r="F7" i="16"/>
  <c r="D96" i="6"/>
  <c r="H96" i="6"/>
  <c r="C96" i="6"/>
  <c r="G96" i="6"/>
  <c r="F96" i="6"/>
  <c r="F7" i="14"/>
  <c r="F7" i="12"/>
  <c r="E15" i="6" s="1"/>
  <c r="F7" i="11"/>
  <c r="E14" i="6" s="1"/>
  <c r="I14" i="6"/>
  <c r="F7" i="10"/>
  <c r="E13" i="6" s="1"/>
  <c r="I13" i="6"/>
  <c r="I12" i="6"/>
  <c r="F7" i="7"/>
  <c r="E12" i="6" s="1"/>
  <c r="E96" i="6" l="1"/>
  <c r="I96" i="6"/>
  <c r="D101" i="6" l="1"/>
  <c r="D98" i="6"/>
  <c r="D99" i="6"/>
  <c r="D100" i="6"/>
  <c r="D10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FC4BD3FA-48FA-457A-9232-AD6567DC6DA3}">
      <text>
        <r>
          <rPr>
            <b/>
            <sz val="8"/>
            <color indexed="8"/>
            <rFont val="Tahoma"/>
            <family val="2"/>
          </rPr>
          <t>*A</t>
        </r>
        <r>
          <rPr>
            <sz val="8"/>
            <color indexed="8"/>
            <rFont val="Tahoma"/>
            <family val="2"/>
          </rPr>
          <t xml:space="preserve">: Add
</t>
        </r>
        <r>
          <rPr>
            <sz val="8"/>
            <color indexed="8"/>
            <rFont val="Tahoma"/>
            <family val="2"/>
          </rPr>
          <t xml:space="preserve">  </t>
        </r>
        <r>
          <rPr>
            <b/>
            <sz val="8"/>
            <color indexed="8"/>
            <rFont val="Tahoma"/>
            <family val="2"/>
          </rPr>
          <t>M</t>
        </r>
        <r>
          <rPr>
            <sz val="8"/>
            <color indexed="8"/>
            <rFont val="Tahoma"/>
            <family val="2"/>
          </rPr>
          <t xml:space="preserve">: Modify
</t>
        </r>
        <r>
          <rPr>
            <sz val="8"/>
            <color indexed="8"/>
            <rFont val="Tahoma"/>
            <family val="2"/>
          </rPr>
          <t xml:space="preserve">  </t>
        </r>
        <r>
          <rPr>
            <b/>
            <sz val="8"/>
            <color indexed="8"/>
            <rFont val="Tahoma"/>
            <family val="2"/>
          </rPr>
          <t>D</t>
        </r>
        <r>
          <rPr>
            <sz val="8"/>
            <color indexed="8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73A24D8-83E3-420E-A5E0-F97DEBC49E4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EED970E-81D1-4E93-85F9-9012BB4066A7}">
      <text>
        <r>
          <rPr>
            <sz val="8"/>
            <color indexed="8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39C8D6A8-E2B0-45A4-8C43-20D1160A033E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582AD3A9-790E-48BB-8B4C-BEF79F23D0D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68E9D9C9-1C5F-417D-82CD-5DB4863D4FA9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F5E8C81A-FF2B-4F8F-829D-E8CABCC4A4EB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569B07AA-C6F2-4755-914C-0855606914B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BDA4DE7B-BE15-4059-99BC-7893B3B457C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7106ED6-51A7-426F-935F-E375C3E4AEA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2C896CDE-BF76-40F8-82D1-8A7E12FD0C80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31F574D-B9F0-44B9-9250-3F2180A905F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7087B87-3FD0-486F-97A1-DEED28FE8A5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8AD86D9-56C2-4CEE-9E50-706FCE515A9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8892853-D27B-4304-BCD1-0DA9C01A88E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13384E5-F3F5-4B2F-A6E1-5BAD8FC1B432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08AF45A-5CDF-467C-A241-6FCC1AE614C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91C42305-DD5C-441E-A0C8-7848482992A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B415EADA-997B-47A8-B554-AAE2E94241B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<sst xmlns="http://schemas.openxmlformats.org/spreadsheetml/2006/main" count="1031" uniqueCount="258">
  <si>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</si>
  <si>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</si>
  <si>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</si>
  <si>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</si>
  <si>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</si>
  <si>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</si>
  <si>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</si>
  <si>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</si>
  <si>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</si>
  <si>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</si>
  <si>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</si>
  <si>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</si>
  <si>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</si>
  <si>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</si>
  <si>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</si>
  <si>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</si>
  <si>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</si>
  <si>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</si>
  <si>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</si>
  <si>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</si>
  <si>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</si>
  <si>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</si>
  <si>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</si>
  <si>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</si>
  <si>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</si>
  <si>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</si>
  <si>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</si>
  <si>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</si>
  <si>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</si>
  <si>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</si>
  <si>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</si>
  <si>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</si>
  <si>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</si>
  <si>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</si>
  <si>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</si>
  <si>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</si>
  <si>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</si>
  <si>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</si>
  <si>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</si>
  <si>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</si>
  <si>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</si>
  <si>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</si>
  <si>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</si>
  <si>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</si>
  <si>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</si>
  <si>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</si>
  <si>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</si>
  <si>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Edu Resource Management</t>
  </si>
  <si>
    <t>Creator</t>
  </si>
  <si>
    <t>Nguyễn Hữu Duy</t>
  </si>
  <si>
    <t>Project Code</t>
  </si>
  <si>
    <t>ERM</t>
  </si>
  <si>
    <t>Reviewer/Approver</t>
  </si>
  <si>
    <t>Nguyễn Chí Hậu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</si>
  <si>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</si>
  <si>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</si>
  <si>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</si>
  <si>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</si>
  <si>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</si>
  <si>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</si>
  <si>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</si>
  <si>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</si>
  <si>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</si>
  <si>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</t>
  </si>
  <si>
    <t>A</t>
  </si>
  <si>
    <t>UNIT TEST CASE LIST</t>
  </si>
  <si>
    <t xml:space="preserve">Normal number of Test cases/KLOC </t>
  </si>
  <si>
    <t>Test Environment Setup Description</t>
  </si>
  <si>
    <t>1. SQL Server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</si>
  <si>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</si>
  <si>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</si>
  <si>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</si>
  <si>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</si>
  <si>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</si>
  <si>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</si>
  <si>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</si>
  <si>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</si>
  <si>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Get All Room</t>
  </si>
  <si>
    <t>Get Room Detail</t>
  </si>
  <si>
    <t>Add Room</t>
  </si>
  <si>
    <t>Update Room</t>
  </si>
  <si>
    <t>UNIT TEST REPORT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</si>
  <si>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</si>
  <si>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</si>
  <si>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</si>
  <si>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</si>
  <si>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</si>
  <si>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</si>
  <si>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</si>
  <si>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</si>
  <si>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</si>
  <si>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</si>
  <si>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</si>
  <si>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</si>
  <si>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</si>
  <si>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</si>
  <si>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</si>
  <si>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</si>
  <si>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</si>
  <si>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</si>
  <si>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</si>
  <si>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</si>
  <si>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</si>
  <si>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</si>
  <si>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</si>
  <si>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</si>
  <si>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</si>
  <si>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</si>
  <si>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</si>
  <si>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</si>
  <si>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</si>
  <si>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</si>
  <si>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 xml:space="preserve">Precondition </t>
  </si>
  <si>
    <t>O</t>
  </si>
  <si>
    <t>""</t>
  </si>
  <si>
    <t>Confirm</t>
  </si>
  <si>
    <t>Return</t>
  </si>
  <si>
    <t>T</t>
  </si>
  <si>
    <t>F</t>
  </si>
  <si>
    <t>Exception</t>
  </si>
  <si>
    <t>Result</t>
  </si>
  <si>
    <t>Type(N : Normal, A : Abnormal, B : Boundary)</t>
  </si>
  <si>
    <t>Passed/Failed</t>
  </si>
  <si>
    <t>P</t>
  </si>
  <si>
    <t>Executed Date</t>
  </si>
  <si>
    <t>Defect ID</t>
  </si>
  <si>
    <t xml:space="preserve">Precondition </t>
    <phoneticPr fontId="33" type="noConversion"/>
  </si>
  <si>
    <t>null</t>
  </si>
  <si>
    <t>Return</t>
    <phoneticPr fontId="33" type="noConversion"/>
  </si>
  <si>
    <t>Exception</t>
    <phoneticPr fontId="33" type="noConversion"/>
  </si>
  <si>
    <t>Log message</t>
    <phoneticPr fontId="33" type="noConversion"/>
  </si>
  <si>
    <t>Log message</t>
  </si>
  <si>
    <t>Get All Room with Detail</t>
  </si>
  <si>
    <t>Get Room Detail of One Room</t>
  </si>
  <si>
    <t>Add New Room</t>
  </si>
  <si>
    <t>Update Existing Room</t>
  </si>
  <si>
    <t>Login as Authorize Account</t>
  </si>
  <si>
    <t>Can connect with SQL Server</t>
  </si>
  <si>
    <t>Login with Authorize Account</t>
  </si>
  <si>
    <t>Room Entry In Database</t>
  </si>
  <si>
    <t>No Entry In Database</t>
  </si>
  <si>
    <t>Room List</t>
  </si>
  <si>
    <t>Room - 1</t>
  </si>
  <si>
    <t>Room - 2</t>
  </si>
  <si>
    <t>Room - 3</t>
  </si>
  <si>
    <t>Room - 4</t>
  </si>
  <si>
    <t>Room</t>
  </si>
  <si>
    <t>RoomCode</t>
  </si>
  <si>
    <t>"A101"</t>
  </si>
  <si>
    <t>"B202"</t>
  </si>
  <si>
    <t>Room Detail</t>
  </si>
  <si>
    <t>Null</t>
  </si>
  <si>
    <t>InvalidOperationException</t>
  </si>
  <si>
    <t>Log Message</t>
  </si>
  <si>
    <t>"Database error"</t>
  </si>
  <si>
    <t>Room Code Doesn't Exist</t>
  </si>
  <si>
    <t>Room Code Exist</t>
  </si>
  <si>
    <t>"Z999"</t>
  </si>
  <si>
    <t>Get Detail Successfully</t>
  </si>
  <si>
    <t>BuildingId</t>
  </si>
  <si>
    <t>"B200"</t>
  </si>
  <si>
    <t>"Valid room description"</t>
  </si>
  <si>
    <t>"Invalid room code"</t>
  </si>
  <si>
    <t>"Invalid building ID"</t>
  </si>
  <si>
    <t>"Sample room"</t>
  </si>
  <si>
    <t>"Expected AddNewRoom to return false for an empty RoomCode."</t>
  </si>
  <si>
    <t>Expected AddNewRoom to return false for a BuildingId of 0.</t>
  </si>
  <si>
    <t>"Expected AddNewRoom to return false when Description is null."</t>
  </si>
  <si>
    <t>"Database insert error"</t>
  </si>
  <si>
    <t>RoomId</t>
  </si>
  <si>
    <t>Status</t>
  </si>
  <si>
    <t>Guid.NewGuid</t>
  </si>
  <si>
    <t>"Description1"</t>
  </si>
  <si>
    <t>"Expected true for a successful update."</t>
  </si>
  <si>
    <t>"Expected false when provided room is null."</t>
  </si>
  <si>
    <t>"Expected false for invalid status."</t>
  </si>
  <si>
    <t>"Expected false for invalid description."</t>
  </si>
  <si>
    <t>Entry Excel To Room</t>
  </si>
  <si>
    <t>Room - 5</t>
  </si>
  <si>
    <t>filePath</t>
  </si>
  <si>
    <t>"C:\Temp\rooms.xlsx"</t>
  </si>
  <si>
    <t>"C:\Temp\rooms.txt"</t>
  </si>
  <si>
    <t>"Expected true when a valid file path is provided."</t>
  </si>
  <si>
    <t>"Expected false when a null file path is provided."</t>
  </si>
  <si>
    <t>"Expected false when an unsupported file format is provided."</t>
  </si>
  <si>
    <t>"Failed to read file"</t>
  </si>
  <si>
    <t>IOException</t>
  </si>
  <si>
    <t>Entry Excel to Room</t>
  </si>
  <si>
    <t>Add Test for Get All Room, Get Room Detail, Add Room, Update Room and Entry Excel To Room</t>
  </si>
  <si>
    <t>Role</t>
  </si>
  <si>
    <t>Get All Role</t>
  </si>
  <si>
    <t>Get Role Detail</t>
  </si>
  <si>
    <t>Update Role</t>
  </si>
  <si>
    <t>Add New Role</t>
  </si>
  <si>
    <t>Role - 1</t>
  </si>
  <si>
    <t>Role - 2</t>
  </si>
  <si>
    <t>Role - 3</t>
  </si>
  <si>
    <t>Role - 4</t>
  </si>
  <si>
    <t>Get All Roles</t>
  </si>
  <si>
    <t>Add New Role into Database</t>
  </si>
  <si>
    <t>Update Existing Role</t>
  </si>
  <si>
    <t>Have Entry in Database</t>
  </si>
  <si>
    <t>No Entry in Database</t>
  </si>
  <si>
    <t>Role List</t>
  </si>
  <si>
    <t>"Database query error"</t>
  </si>
  <si>
    <t>roleId</t>
  </si>
  <si>
    <t>Role Detail by the RoleId</t>
  </si>
  <si>
    <t>RoleName</t>
  </si>
  <si>
    <t>"Admin"</t>
  </si>
  <si>
    <t>"Support"</t>
  </si>
  <si>
    <t>"DatabaseFail"</t>
  </si>
  <si>
    <t>"Viewer"</t>
  </si>
  <si>
    <t>RoleDescription</t>
  </si>
  <si>
    <t>"Administrator Role"</t>
  </si>
  <si>
    <t>"Test description"</t>
  </si>
  <si>
    <t>"Support role"</t>
  </si>
  <si>
    <t>"Test for exception scenario"</t>
  </si>
  <si>
    <t>"Role with no explicit permissions"</t>
  </si>
  <si>
    <t>Permissions</t>
  </si>
  <si>
    <t>{ 101, 102 }</t>
  </si>
  <si>
    <t>{ 101 }</t>
  </si>
  <si>
    <t>{ 301, 302 }</t>
  </si>
  <si>
    <t>{ 999 }</t>
  </si>
  <si>
    <t>{}</t>
  </si>
  <si>
    <t>"Expected AddNewRole to return true for a valid role."</t>
  </si>
  <si>
    <t>"Expected false for a null role DTO."</t>
  </si>
  <si>
    <t>"Expected false when RoleName is empty."</t>
  </si>
  <si>
    <t>"Expected false because permissions failed to insert."</t>
  </si>
  <si>
    <t>"Simulated DB error"</t>
  </si>
  <si>
    <t>"Expected false when a role can have zero permissions."</t>
  </si>
  <si>
    <t>UTCID07</t>
  </si>
  <si>
    <t>"Expected false when RoleDescription is empty."</t>
  </si>
  <si>
    <t>RoleId</t>
  </si>
  <si>
    <t>"Moderator"</t>
  </si>
  <si>
    <t>"NonExistentRole"</t>
  </si>
  <si>
    <t>"NewName"</t>
  </si>
  <si>
    <t>"Updated Description"</t>
  </si>
  <si>
    <t>"No name provided"</t>
  </si>
  <si>
    <t>"Attempt to update a role that doesn't exist",</t>
  </si>
  <si>
    <t>"Desc"</t>
  </si>
  <si>
    <t>{ 103 }</t>
  </si>
  <si>
    <t>"Expected true when updating a valid role."</t>
  </si>
  <si>
    <t>"Expected false when trying to update a null role."</t>
  </si>
  <si>
    <t>"Expected false for an invalid (empty) role name."</t>
  </si>
  <si>
    <t>"Attempt to update a role that doesn't exist"</t>
  </si>
  <si>
    <t>"Expected false for an invalid (empty) role description."</t>
  </si>
  <si>
    <t>"Database update error"</t>
  </si>
  <si>
    <t>25 characters string</t>
  </si>
  <si>
    <t>26 characters string</t>
  </si>
  <si>
    <t>50 characters string</t>
  </si>
  <si>
    <t>51 characters string</t>
  </si>
  <si>
    <t>UTCID08</t>
  </si>
  <si>
    <t>UTCID09</t>
  </si>
  <si>
    <t>UTCID10</t>
  </si>
  <si>
    <t>UTCID11</t>
  </si>
  <si>
    <t>1.2</t>
  </si>
  <si>
    <t>Add Test for Get All Roles, Get Roles Detail, Add New Role, Update Role</t>
  </si>
  <si>
    <t>ERM_V.1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</si>
</sst>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6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rgb="FFFF0000"/>
      <name val="Tahoma"/>
      <family val="2"/>
    </font>
    <font>
      <b/>
      <sz val="8"/>
      <color theme="0"/>
      <name val="Tahoma"/>
      <family val="2"/>
    </font>
    <font>
      <sz val="10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26"/>
      </patternFill>
    </fill>
    <fill>
      <patternFill patternType="solid">
        <fgColor theme="9"/>
        <bgColor indexed="26"/>
      </patternFill>
    </fill>
    <fill>
      <patternFill patternType="solid">
        <fgColor theme="0"/>
        <bgColor indexed="26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419">
    <xf numFmtId="0" fontId="0" fillId="0" borderId="0" xfId="0">
      <alignment vertical="center"/>
    </xf>
    <xf numFmtId="0" fontId="24" fillId="0" borderId="0" xfId="41" applyFont="1" applyAlignment="1">
      <alignment horizontal="center" vertical="center"/>
    </xf>
    <xf numFmtId="0" fontId="24" fillId="0" borderId="0" xfId="41" applyFont="1"/>
    <xf numFmtId="0" fontId="25" fillId="24" borderId="0" xfId="41" applyFont="1" applyFill="1" applyAlignment="1">
      <alignment horizontal="left" indent="1"/>
    </xf>
    <xf numFmtId="0" fontId="26" fillId="0" borderId="0" xfId="41" applyFont="1" applyAlignment="1">
      <alignment horizontal="left" indent="1"/>
    </xf>
    <xf numFmtId="0" fontId="24" fillId="24" borderId="0" xfId="41" applyFont="1" applyFill="1"/>
    <xf numFmtId="0" fontId="24" fillId="0" borderId="11" xfId="41" applyFont="1" applyBorder="1"/>
    <xf numFmtId="0" fontId="26" fillId="0" borderId="0" xfId="41" applyFont="1" applyAlignment="1">
      <alignment horizontal="left"/>
    </xf>
    <xf numFmtId="0" fontId="25" fillId="0" borderId="0" xfId="41" applyFont="1" applyAlignment="1">
      <alignment horizontal="left" indent="1"/>
    </xf>
    <xf numFmtId="0" fontId="24" fillId="0" borderId="0" xfId="41" applyFont="1" applyAlignment="1">
      <alignment vertical="center"/>
    </xf>
    <xf numFmtId="164" fontId="27" fillId="25" borderId="12" xfId="41" applyNumberFormat="1" applyFont="1" applyFill="1" applyBorder="1" applyAlignment="1">
      <alignment horizontal="center" vertical="center"/>
    </xf>
    <xf numFmtId="0" fontId="27" fillId="25" borderId="13" xfId="41" applyFont="1" applyFill="1" applyBorder="1" applyAlignment="1">
      <alignment horizontal="center" vertical="center"/>
    </xf>
    <xf numFmtId="0" fontId="27" fillId="25" borderId="14" xfId="41" applyFont="1" applyFill="1" applyBorder="1" applyAlignment="1">
      <alignment horizontal="center" vertical="center"/>
    </xf>
    <xf numFmtId="0" fontId="24" fillId="0" borderId="0" xfId="41" applyFont="1" applyAlignment="1">
      <alignment vertical="top"/>
    </xf>
    <xf numFmtId="49" fontId="24" fillId="0" borderId="15" xfId="41" applyNumberFormat="1" applyFont="1" applyBorder="1" applyAlignment="1">
      <alignment vertical="top"/>
    </xf>
    <xf numFmtId="0" fontId="24" fillId="0" borderId="15" xfId="41" applyFont="1" applyBorder="1" applyAlignment="1">
      <alignment vertical="top"/>
    </xf>
    <xf numFmtId="15" fontId="24" fillId="0" borderId="15" xfId="41" applyNumberFormat="1" applyFont="1" applyBorder="1" applyAlignment="1">
      <alignment vertical="top"/>
    </xf>
    <xf numFmtId="0" fontId="24" fillId="0" borderId="17" xfId="41" applyFont="1" applyBorder="1" applyAlignment="1">
      <alignment vertical="top"/>
    </xf>
    <xf numFmtId="49" fontId="24" fillId="0" borderId="19" xfId="41" applyNumberFormat="1" applyFont="1" applyBorder="1" applyAlignment="1">
      <alignment vertical="top"/>
    </xf>
    <xf numFmtId="0" fontId="24" fillId="0" borderId="19" xfId="41" applyFont="1" applyBorder="1" applyAlignment="1">
      <alignment vertical="top"/>
    </xf>
    <xf numFmtId="0" fontId="24" fillId="0" borderId="20" xfId="41" applyFont="1" applyBorder="1" applyAlignment="1">
      <alignment vertical="top"/>
    </xf>
    <xf numFmtId="0" fontId="24" fillId="0" borderId="0" xfId="41" applyFont="1" applyAlignment="1">
      <alignment horizontal="left" indent="1"/>
    </xf>
    <xf numFmtId="0" fontId="24" fillId="24" borderId="0" xfId="41" applyFont="1" applyFill="1" applyAlignment="1">
      <alignment horizontal="left"/>
    </xf>
    <xf numFmtId="0" fontId="24" fillId="24" borderId="0" xfId="41" applyFont="1" applyFill="1" applyAlignment="1">
      <alignment horizontal="left" wrapText="1"/>
    </xf>
    <xf numFmtId="0" fontId="24" fillId="24" borderId="0" xfId="41" applyFont="1" applyFill="1" applyAlignment="1">
      <alignment wrapText="1"/>
    </xf>
    <xf numFmtId="1" fontId="25" fillId="24" borderId="0" xfId="41" applyNumberFormat="1" applyFont="1" applyFill="1"/>
    <xf numFmtId="1" fontId="24" fillId="24" borderId="0" xfId="41" applyNumberFormat="1" applyFont="1" applyFill="1" applyAlignment="1" applyProtection="1">
      <alignment vertical="center"/>
      <protection hidden="1"/>
    </xf>
    <xf numFmtId="0" fontId="24" fillId="24" borderId="0" xfId="41" applyFont="1" applyFill="1" applyAlignment="1">
      <alignment horizontal="left" vertical="center"/>
    </xf>
    <xf numFmtId="0" fontId="24" fillId="24" borderId="0" xfId="41" applyFont="1" applyFill="1" applyAlignment="1">
      <alignment horizontal="left" vertical="center" wrapText="1"/>
    </xf>
    <xf numFmtId="0" fontId="24" fillId="24" borderId="0" xfId="41" applyFont="1" applyFill="1" applyAlignment="1">
      <alignment vertical="center"/>
    </xf>
    <xf numFmtId="1" fontId="27" fillId="26" borderId="12" xfId="41" applyNumberFormat="1" applyFont="1" applyFill="1" applyBorder="1" applyAlignment="1">
      <alignment horizontal="center" vertical="center"/>
    </xf>
    <xf numFmtId="1" fontId="27" fillId="26" borderId="21" xfId="41" applyNumberFormat="1" applyFont="1" applyFill="1" applyBorder="1" applyAlignment="1">
      <alignment horizontal="center" vertical="center" wrapText="1"/>
    </xf>
    <xf numFmtId="1" fontId="27" fillId="26" borderId="21" xfId="41" applyNumberFormat="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 wrapText="1"/>
    </xf>
    <xf numFmtId="0" fontId="27" fillId="26" borderId="22" xfId="41" applyFont="1" applyFill="1" applyBorder="1" applyAlignment="1">
      <alignment horizontal="center" vertical="center"/>
    </xf>
    <xf numFmtId="0" fontId="27" fillId="26" borderId="14" xfId="41" applyFont="1" applyFill="1" applyBorder="1" applyAlignment="1">
      <alignment horizontal="center" vertical="center"/>
    </xf>
    <xf numFmtId="0" fontId="30" fillId="24" borderId="0" xfId="41" applyFont="1" applyFill="1" applyAlignment="1">
      <alignment horizontal="center"/>
    </xf>
    <xf numFmtId="1" fontId="24" fillId="24" borderId="23" xfId="41" applyNumberFormat="1" applyFont="1" applyFill="1" applyBorder="1" applyAlignment="1">
      <alignment vertical="center"/>
    </xf>
    <xf numFmtId="49" fontId="24" fillId="24" borderId="15" xfId="41" applyNumberFormat="1" applyFont="1" applyFill="1" applyBorder="1" applyAlignment="1">
      <alignment horizontal="left" vertical="center"/>
    </xf>
    <xf numFmtId="49" fontId="24" fillId="24" borderId="15" xfId="41" applyNumberFormat="1" applyFont="1" applyFill="1" applyBorder="1" applyAlignment="1">
      <alignment horizontal="left" vertical="center" wrapText="1"/>
    </xf>
    <xf numFmtId="0" fontId="24" fillId="24" borderId="17" xfId="41" applyFont="1" applyFill="1" applyBorder="1" applyAlignment="1">
      <alignment horizontal="left" vertical="center"/>
    </xf>
    <xf numFmtId="0" fontId="24" fillId="24" borderId="15" xfId="41" applyFont="1" applyFill="1" applyBorder="1" applyAlignment="1">
      <alignment horizontal="left" vertical="center"/>
    </xf>
    <xf numFmtId="1" fontId="24" fillId="24" borderId="24" xfId="41" applyNumberFormat="1" applyFont="1" applyFill="1" applyBorder="1" applyAlignment="1">
      <alignment vertical="center"/>
    </xf>
    <xf numFmtId="49" fontId="24" fillId="24" borderId="19" xfId="41" applyNumberFormat="1" applyFont="1" applyFill="1" applyBorder="1" applyAlignment="1">
      <alignment horizontal="left" vertical="center"/>
    </xf>
    <xf numFmtId="49" fontId="24" fillId="24" borderId="19" xfId="41" applyNumberFormat="1" applyFont="1" applyFill="1" applyBorder="1" applyAlignment="1">
      <alignment horizontal="left" vertical="center" wrapText="1"/>
    </xf>
    <xf numFmtId="0" fontId="24" fillId="24" borderId="19" xfId="41" applyFont="1" applyFill="1" applyBorder="1" applyAlignment="1">
      <alignment horizontal="left" vertical="center"/>
    </xf>
    <xf numFmtId="0" fontId="24" fillId="24" borderId="20" xfId="41" applyFont="1" applyFill="1" applyBorder="1" applyAlignment="1">
      <alignment horizontal="left" vertical="center"/>
    </xf>
    <xf numFmtId="1" fontId="24" fillId="24" borderId="0" xfId="41" applyNumberFormat="1" applyFont="1" applyFill="1"/>
    <xf numFmtId="0" fontId="24" fillId="24" borderId="0" xfId="38" applyFont="1" applyFill="1"/>
    <xf numFmtId="164" fontId="24" fillId="24" borderId="0" xfId="38" applyNumberFormat="1" applyFont="1" applyFill="1"/>
    <xf numFmtId="0" fontId="25" fillId="24" borderId="0" xfId="41" applyFont="1" applyFill="1"/>
    <xf numFmtId="0" fontId="26" fillId="24" borderId="0" xfId="38" applyFont="1" applyFill="1"/>
    <xf numFmtId="0" fontId="27" fillId="25" borderId="21" xfId="41" applyFont="1" applyFill="1" applyBorder="1" applyAlignment="1">
      <alignment horizontal="center"/>
    </xf>
    <xf numFmtId="0" fontId="27" fillId="25" borderId="13" xfId="41" applyFont="1" applyFill="1" applyBorder="1" applyAlignment="1">
      <alignment horizontal="center"/>
    </xf>
    <xf numFmtId="0" fontId="27" fillId="25" borderId="13" xfId="41" applyFont="1" applyFill="1" applyBorder="1" applyAlignment="1">
      <alignment horizontal="center" wrapText="1"/>
    </xf>
    <xf numFmtId="0" fontId="27" fillId="25" borderId="22" xfId="41" applyFont="1" applyFill="1" applyBorder="1" applyAlignment="1">
      <alignment horizontal="center"/>
    </xf>
    <xf numFmtId="0" fontId="27" fillId="25" borderId="25" xfId="41" applyFont="1" applyFill="1" applyBorder="1" applyAlignment="1">
      <alignment horizontal="center" wrapText="1"/>
    </xf>
    <xf numFmtId="0" fontId="24" fillId="24" borderId="23" xfId="41" applyFont="1" applyFill="1" applyBorder="1" applyAlignment="1">
      <alignment horizontal="center"/>
    </xf>
    <xf numFmtId="0" fontId="24" fillId="24" borderId="15" xfId="41" applyFont="1" applyFill="1" applyBorder="1" applyAlignment="1">
      <alignment horizontal="center"/>
    </xf>
    <xf numFmtId="0" fontId="24" fillId="24" borderId="26" xfId="41" applyFont="1" applyFill="1" applyBorder="1" applyAlignment="1">
      <alignment horizontal="center"/>
    </xf>
    <xf numFmtId="0" fontId="31" fillId="25" borderId="24" xfId="41" applyFont="1" applyFill="1" applyBorder="1" applyAlignment="1">
      <alignment horizontal="center"/>
    </xf>
    <xf numFmtId="0" fontId="31" fillId="25" borderId="19" xfId="41" applyFont="1" applyFill="1" applyBorder="1" applyAlignment="1">
      <alignment horizontal="center"/>
    </xf>
    <xf numFmtId="0" fontId="24" fillId="24" borderId="0" xfId="41" applyFont="1" applyFill="1" applyAlignment="1">
      <alignment horizontal="center"/>
    </xf>
    <xf numFmtId="10" fontId="24" fillId="24" borderId="0" xfId="41" applyNumberFormat="1" applyFont="1" applyFill="1" applyAlignment="1">
      <alignment horizontal="center"/>
    </xf>
    <xf numFmtId="9" fontId="24" fillId="24" borderId="0" xfId="41" applyNumberFormat="1" applyFont="1" applyFill="1" applyAlignment="1">
      <alignment horizontal="center"/>
    </xf>
    <xf numFmtId="0" fontId="32" fillId="24" borderId="0" xfId="41" applyFont="1" applyFill="1" applyAlignment="1">
      <alignment horizontal="center" wrapText="1"/>
    </xf>
    <xf numFmtId="0" fontId="34" fillId="0" borderId="27" xfId="41" applyFont="1" applyBorder="1"/>
    <xf numFmtId="0" fontId="35" fillId="0" borderId="27" xfId="41" applyFont="1" applyBorder="1" applyAlignment="1">
      <alignment horizontal="left"/>
    </xf>
    <xf numFmtId="0" fontId="34" fillId="0" borderId="0" xfId="41" applyFont="1"/>
    <xf numFmtId="0" fontId="34" fillId="0" borderId="0" xfId="41" applyFont="1" applyAlignment="1">
      <alignment horizontal="right"/>
    </xf>
    <xf numFmtId="49" fontId="34" fillId="0" borderId="0" xfId="41" applyNumberFormat="1" applyFont="1"/>
    <xf numFmtId="0" fontId="34" fillId="0" borderId="28" xfId="41" applyFont="1" applyBorder="1"/>
    <xf numFmtId="0" fontId="35" fillId="0" borderId="0" xfId="41" applyFont="1" applyAlignment="1">
      <alignment horizontal="left"/>
    </xf>
    <xf numFmtId="0" fontId="35" fillId="0" borderId="0" xfId="41" applyFont="1"/>
    <xf numFmtId="0" fontId="35" fillId="27" borderId="29" xfId="41" applyFont="1" applyFill="1" applyBorder="1" applyAlignment="1">
      <alignment horizontal="left" vertical="top"/>
    </xf>
    <xf numFmtId="0" fontId="34" fillId="27" borderId="30" xfId="41" applyFont="1" applyFill="1" applyBorder="1" applyAlignment="1">
      <alignment horizontal="center" vertical="top"/>
    </xf>
    <xf numFmtId="0" fontId="34" fillId="27" borderId="31" xfId="41" applyFont="1" applyFill="1" applyBorder="1" applyAlignment="1">
      <alignment horizontal="right" vertical="top"/>
    </xf>
    <xf numFmtId="0" fontId="37" fillId="28" borderId="32" xfId="41" applyFont="1" applyFill="1" applyBorder="1" applyAlignment="1">
      <alignment horizontal="right"/>
    </xf>
    <xf numFmtId="0" fontId="38" fillId="0" borderId="33" xfId="41" applyFont="1" applyBorder="1" applyAlignment="1">
      <alignment horizontal="center"/>
    </xf>
    <xf numFmtId="0" fontId="37" fillId="28" borderId="0" xfId="41" applyFont="1" applyFill="1" applyAlignment="1">
      <alignment horizontal="right"/>
    </xf>
    <xf numFmtId="0" fontId="34" fillId="28" borderId="0" xfId="41" applyFont="1" applyFill="1" applyAlignment="1">
      <alignment horizontal="right"/>
    </xf>
    <xf numFmtId="0" fontId="39" fillId="0" borderId="0" xfId="41" applyFont="1" applyAlignment="1">
      <alignment horizontal="center"/>
    </xf>
    <xf numFmtId="0" fontId="35" fillId="27" borderId="35" xfId="41" applyFont="1" applyFill="1" applyBorder="1"/>
    <xf numFmtId="0" fontId="35" fillId="27" borderId="36" xfId="41" applyFont="1" applyFill="1" applyBorder="1"/>
    <xf numFmtId="0" fontId="34" fillId="27" borderId="37" xfId="41" applyFont="1" applyFill="1" applyBorder="1" applyAlignment="1">
      <alignment horizontal="right"/>
    </xf>
    <xf numFmtId="0" fontId="34" fillId="28" borderId="38" xfId="41" applyFont="1" applyFill="1" applyBorder="1" applyAlignment="1">
      <alignment horizontal="left"/>
    </xf>
    <xf numFmtId="0" fontId="38" fillId="0" borderId="38" xfId="41" applyFont="1" applyBorder="1" applyAlignment="1">
      <alignment horizontal="center"/>
    </xf>
    <xf numFmtId="0" fontId="35" fillId="27" borderId="29" xfId="41" applyFont="1" applyFill="1" applyBorder="1"/>
    <xf numFmtId="0" fontId="34" fillId="27" borderId="30" xfId="41" applyFont="1" applyFill="1" applyBorder="1"/>
    <xf numFmtId="0" fontId="34" fillId="27" borderId="31" xfId="41" applyFont="1" applyFill="1" applyBorder="1" applyAlignment="1">
      <alignment horizontal="right"/>
    </xf>
    <xf numFmtId="0" fontId="34" fillId="28" borderId="33" xfId="41" applyFont="1" applyFill="1" applyBorder="1" applyAlignment="1">
      <alignment horizontal="left"/>
    </xf>
    <xf numFmtId="0" fontId="2" fillId="27" borderId="30" xfId="41" applyFill="1" applyBorder="1"/>
    <xf numFmtId="0" fontId="34" fillId="28" borderId="33" xfId="41" applyFont="1" applyFill="1" applyBorder="1"/>
    <xf numFmtId="0" fontId="40" fillId="0" borderId="33" xfId="41" applyFont="1" applyBorder="1" applyAlignment="1">
      <alignment horizontal="center"/>
    </xf>
    <xf numFmtId="0" fontId="36" fillId="0" borderId="33" xfId="41" applyFont="1" applyBorder="1" applyAlignment="1">
      <alignment horizontal="left"/>
    </xf>
    <xf numFmtId="0" fontId="34" fillId="0" borderId="33" xfId="41" applyFont="1" applyBorder="1"/>
    <xf numFmtId="165" fontId="34" fillId="0" borderId="33" xfId="41" applyNumberFormat="1" applyFont="1" applyBorder="1" applyAlignment="1">
      <alignment vertical="top" textRotation="255"/>
    </xf>
    <xf numFmtId="0" fontId="34" fillId="0" borderId="0" xfId="42" applyFont="1"/>
    <xf numFmtId="0" fontId="34" fillId="0" borderId="0" xfId="42" applyFont="1" applyAlignment="1">
      <alignment horizontal="right"/>
    </xf>
    <xf numFmtId="49" fontId="34" fillId="0" borderId="0" xfId="42" applyNumberFormat="1" applyFont="1"/>
    <xf numFmtId="0" fontId="34" fillId="0" borderId="28" xfId="42" applyFont="1" applyBorder="1"/>
    <xf numFmtId="0" fontId="35" fillId="0" borderId="0" xfId="42" applyFont="1" applyAlignment="1">
      <alignment horizontal="left"/>
    </xf>
    <xf numFmtId="0" fontId="35" fillId="0" borderId="0" xfId="42" applyFont="1"/>
    <xf numFmtId="0" fontId="35" fillId="27" borderId="29" xfId="42" applyFont="1" applyFill="1" applyBorder="1" applyAlignment="1">
      <alignment horizontal="left" vertical="top"/>
    </xf>
    <xf numFmtId="0" fontId="34" fillId="27" borderId="30" xfId="42" applyFont="1" applyFill="1" applyBorder="1" applyAlignment="1">
      <alignment horizontal="center" vertical="top"/>
    </xf>
    <xf numFmtId="0" fontId="34" fillId="27" borderId="31" xfId="42" applyFont="1" applyFill="1" applyBorder="1" applyAlignment="1">
      <alignment horizontal="right" vertical="top"/>
    </xf>
    <xf numFmtId="0" fontId="37" fillId="28" borderId="32" xfId="42" applyFont="1" applyFill="1" applyBorder="1" applyAlignment="1">
      <alignment horizontal="right"/>
    </xf>
    <xf numFmtId="0" fontId="38" fillId="0" borderId="33" xfId="42" applyFont="1" applyBorder="1" applyAlignment="1">
      <alignment horizontal="center"/>
    </xf>
    <xf numFmtId="0" fontId="34" fillId="28" borderId="0" xfId="42" applyFont="1" applyFill="1" applyAlignment="1">
      <alignment horizontal="right"/>
    </xf>
    <xf numFmtId="0" fontId="39" fillId="0" borderId="0" xfId="42" applyFont="1" applyAlignment="1">
      <alignment horizontal="center"/>
    </xf>
    <xf numFmtId="0" fontId="35" fillId="27" borderId="35" xfId="42" applyFont="1" applyFill="1" applyBorder="1"/>
    <xf numFmtId="0" fontId="35" fillId="27" borderId="36" xfId="42" applyFont="1" applyFill="1" applyBorder="1"/>
    <xf numFmtId="0" fontId="34" fillId="27" borderId="37" xfId="42" applyFont="1" applyFill="1" applyBorder="1" applyAlignment="1">
      <alignment horizontal="right"/>
    </xf>
    <xf numFmtId="0" fontId="34" fillId="28" borderId="38" xfId="42" applyFont="1" applyFill="1" applyBorder="1" applyAlignment="1">
      <alignment horizontal="left"/>
    </xf>
    <xf numFmtId="0" fontId="38" fillId="0" borderId="38" xfId="42" applyFont="1" applyBorder="1" applyAlignment="1">
      <alignment horizontal="center"/>
    </xf>
    <xf numFmtId="0" fontId="35" fillId="27" borderId="29" xfId="42" applyFont="1" applyFill="1" applyBorder="1"/>
    <xf numFmtId="0" fontId="34" fillId="27" borderId="30" xfId="42" applyFont="1" applyFill="1" applyBorder="1"/>
    <xf numFmtId="0" fontId="34" fillId="27" borderId="31" xfId="42" applyFont="1" applyFill="1" applyBorder="1" applyAlignment="1">
      <alignment horizontal="right"/>
    </xf>
    <xf numFmtId="0" fontId="34" fillId="28" borderId="33" xfId="42" applyFont="1" applyFill="1" applyBorder="1" applyAlignment="1">
      <alignment horizontal="left"/>
    </xf>
    <xf numFmtId="0" fontId="1" fillId="27" borderId="30" xfId="42" applyFill="1" applyBorder="1"/>
    <xf numFmtId="0" fontId="34" fillId="28" borderId="33" xfId="42" applyFont="1" applyFill="1" applyBorder="1"/>
    <xf numFmtId="0" fontId="40" fillId="0" borderId="33" xfId="42" applyFont="1" applyBorder="1" applyAlignment="1">
      <alignment horizontal="center"/>
    </xf>
    <xf numFmtId="0" fontId="36" fillId="0" borderId="33" xfId="42" applyFont="1" applyBorder="1" applyAlignment="1">
      <alignment horizontal="left"/>
    </xf>
    <xf numFmtId="0" fontId="34" fillId="0" borderId="33" xfId="42" applyFont="1" applyBorder="1"/>
    <xf numFmtId="165" fontId="34" fillId="0" borderId="33" xfId="42" applyNumberFormat="1" applyFont="1" applyBorder="1" applyAlignment="1">
      <alignment vertical="top" textRotation="255"/>
    </xf>
    <xf numFmtId="0" fontId="35" fillId="27" borderId="29" xfId="41" applyFont="1" applyFill="1" applyBorder="1" applyAlignment="1">
      <alignment horizontal="right"/>
    </xf>
    <xf numFmtId="0" fontId="43" fillId="0" borderId="17" xfId="41" applyFont="1" applyBorder="1" applyAlignment="1">
      <alignment vertical="top" wrapText="1"/>
    </xf>
    <xf numFmtId="1" fontId="24" fillId="24" borderId="16" xfId="41" applyNumberFormat="1" applyFont="1" applyFill="1" applyBorder="1" applyAlignment="1">
      <alignment horizontal="center" vertical="center"/>
    </xf>
    <xf numFmtId="0" fontId="45" fillId="29" borderId="0" xfId="0" applyFont="1" applyFill="1" applyAlignment="1">
      <alignment horizontal="center"/>
    </xf>
    <xf numFmtId="0" fontId="46" fillId="29" borderId="0" xfId="0" applyFont="1" applyFill="1">
      <alignment vertical="center"/>
    </xf>
    <xf numFmtId="0" fontId="47" fillId="29" borderId="0" xfId="0" applyFont="1" applyFill="1">
      <alignment vertical="center"/>
    </xf>
    <xf numFmtId="0" fontId="48" fillId="29" borderId="0" xfId="0" applyFont="1" applyFill="1" applyAlignment="1">
      <alignment horizontal="justify"/>
    </xf>
    <xf numFmtId="0" fontId="49" fillId="29" borderId="0" xfId="0" applyFont="1" applyFill="1">
      <alignment vertical="center"/>
    </xf>
    <xf numFmtId="0" fontId="50" fillId="29" borderId="0" xfId="0" applyFont="1" applyFill="1" applyAlignment="1">
      <alignment horizontal="justify"/>
    </xf>
    <xf numFmtId="0" fontId="50" fillId="29" borderId="0" xfId="0" applyFont="1" applyFill="1">
      <alignment vertical="center"/>
    </xf>
    <xf numFmtId="0" fontId="48" fillId="29" borderId="0" xfId="0" quotePrefix="1" applyFont="1" applyFill="1" applyAlignment="1">
      <alignment horizontal="justify"/>
    </xf>
    <xf numFmtId="0" fontId="24" fillId="29" borderId="0" xfId="0" applyFont="1" applyFill="1" applyAlignment="1">
      <alignment horizontal="justify"/>
    </xf>
    <xf numFmtId="0" fontId="24" fillId="29" borderId="0" xfId="0" applyFont="1" applyFill="1" applyAlignment="1">
      <alignment horizontal="justify" wrapText="1"/>
    </xf>
    <xf numFmtId="0" fontId="24" fillId="29" borderId="0" xfId="0" applyFont="1" applyFill="1" applyAlignment="1">
      <alignment horizontal="left" wrapText="1"/>
    </xf>
    <xf numFmtId="0" fontId="30" fillId="29" borderId="0" xfId="0" applyFont="1" applyFill="1" applyAlignment="1">
      <alignment horizontal="justify"/>
    </xf>
    <xf numFmtId="0" fontId="43" fillId="29" borderId="0" xfId="0" applyFont="1" applyFill="1" applyAlignment="1">
      <alignment horizontal="justify"/>
    </xf>
    <xf numFmtId="0" fontId="51" fillId="29" borderId="0" xfId="0" applyFont="1" applyFill="1">
      <alignment vertical="center"/>
    </xf>
    <xf numFmtId="0" fontId="30" fillId="24" borderId="39" xfId="41" applyFont="1" applyFill="1" applyBorder="1" applyAlignment="1">
      <alignment horizontal="left"/>
    </xf>
    <xf numFmtId="0" fontId="30" fillId="0" borderId="0" xfId="41" applyFont="1"/>
    <xf numFmtId="0" fontId="30" fillId="0" borderId="0" xfId="41" applyFont="1" applyAlignment="1">
      <alignment horizontal="left"/>
    </xf>
    <xf numFmtId="49" fontId="44" fillId="24" borderId="15" xfId="34" applyNumberFormat="1" applyFont="1" applyFill="1" applyBorder="1"/>
    <xf numFmtId="0" fontId="52" fillId="30" borderId="0" xfId="0" applyFont="1" applyFill="1">
      <alignment vertical="center"/>
    </xf>
    <xf numFmtId="0" fontId="50" fillId="0" borderId="33" xfId="41" applyFont="1" applyBorder="1" applyAlignment="1">
      <alignment horizontal="center"/>
    </xf>
    <xf numFmtId="0" fontId="50" fillId="0" borderId="38" xfId="41" applyFont="1" applyBorder="1" applyAlignment="1">
      <alignment horizontal="center"/>
    </xf>
    <xf numFmtId="0" fontId="49" fillId="27" borderId="30" xfId="41" applyFont="1" applyFill="1" applyBorder="1"/>
    <xf numFmtId="0" fontId="34" fillId="0" borderId="33" xfId="41" applyFont="1" applyBorder="1" applyAlignment="1">
      <alignment horizontal="center"/>
    </xf>
    <xf numFmtId="0" fontId="34" fillId="24" borderId="41" xfId="41" applyFont="1" applyFill="1" applyBorder="1" applyAlignment="1">
      <alignment horizontal="center" vertical="center"/>
    </xf>
    <xf numFmtId="0" fontId="34" fillId="0" borderId="0" xfId="41" applyFont="1" applyAlignment="1">
      <alignment horizontal="center"/>
    </xf>
    <xf numFmtId="0" fontId="30" fillId="24" borderId="39" xfId="41" applyFont="1" applyFill="1" applyBorder="1" applyAlignment="1">
      <alignment horizontal="left" vertical="center"/>
    </xf>
    <xf numFmtId="0" fontId="30" fillId="24" borderId="39" xfId="41" applyFont="1" applyFill="1" applyBorder="1" applyAlignment="1">
      <alignment vertical="center"/>
    </xf>
    <xf numFmtId="0" fontId="30" fillId="24" borderId="0" xfId="41" applyFont="1" applyFill="1" applyAlignment="1">
      <alignment horizontal="left"/>
    </xf>
    <xf numFmtId="2" fontId="30" fillId="24" borderId="0" xfId="41" applyNumberFormat="1" applyFont="1" applyFill="1" applyAlignment="1">
      <alignment horizontal="right" wrapText="1"/>
    </xf>
    <xf numFmtId="0" fontId="35" fillId="27" borderId="44" xfId="41" applyFont="1" applyFill="1" applyBorder="1"/>
    <xf numFmtId="0" fontId="34" fillId="27" borderId="32" xfId="41" applyFont="1" applyFill="1" applyBorder="1"/>
    <xf numFmtId="0" fontId="34" fillId="27" borderId="45" xfId="41" applyFont="1" applyFill="1" applyBorder="1" applyAlignment="1">
      <alignment horizontal="right"/>
    </xf>
    <xf numFmtId="0" fontId="34" fillId="28" borderId="46" xfId="41" applyFont="1" applyFill="1" applyBorder="1" applyAlignment="1">
      <alignment horizontal="left"/>
    </xf>
    <xf numFmtId="0" fontId="34" fillId="0" borderId="47" xfId="41" applyFont="1" applyBorder="1" applyAlignment="1">
      <alignment horizontal="left"/>
    </xf>
    <xf numFmtId="0" fontId="34" fillId="0" borderId="47" xfId="41" applyFont="1" applyBorder="1" applyAlignment="1">
      <alignment horizontal="center"/>
    </xf>
    <xf numFmtId="0" fontId="53" fillId="0" borderId="0" xfId="41" applyFont="1" applyAlignment="1">
      <alignment vertical="top"/>
    </xf>
    <xf numFmtId="0" fontId="53" fillId="30" borderId="48" xfId="41" applyFont="1" applyFill="1" applyBorder="1" applyAlignment="1">
      <alignment horizontal="left"/>
    </xf>
    <xf numFmtId="0" fontId="54" fillId="30" borderId="48" xfId="41" applyFont="1" applyFill="1" applyBorder="1"/>
    <xf numFmtId="0" fontId="54" fillId="30" borderId="48" xfId="41" applyFont="1" applyFill="1" applyBorder="1" applyAlignment="1">
      <alignment horizontal="right"/>
    </xf>
    <xf numFmtId="0" fontId="53" fillId="30" borderId="48" xfId="41" applyFont="1" applyFill="1" applyBorder="1" applyAlignment="1">
      <alignment vertical="top" textRotation="180"/>
    </xf>
    <xf numFmtId="0" fontId="53" fillId="30" borderId="49" xfId="41" applyFont="1" applyFill="1" applyBorder="1" applyAlignment="1">
      <alignment vertical="top" textRotation="180"/>
    </xf>
    <xf numFmtId="0" fontId="50" fillId="0" borderId="50" xfId="41" applyFont="1" applyBorder="1" applyAlignment="1">
      <alignment horizontal="center"/>
    </xf>
    <xf numFmtId="0" fontId="53" fillId="30" borderId="51" xfId="41" applyFont="1" applyFill="1" applyBorder="1" applyAlignment="1">
      <alignment vertical="center"/>
    </xf>
    <xf numFmtId="0" fontId="50" fillId="0" borderId="53" xfId="41" applyFont="1" applyBorder="1" applyAlignment="1">
      <alignment horizontal="center"/>
    </xf>
    <xf numFmtId="0" fontId="34" fillId="0" borderId="55" xfId="41" applyFont="1" applyBorder="1" applyAlignment="1">
      <alignment horizontal="center"/>
    </xf>
    <xf numFmtId="0" fontId="53" fillId="30" borderId="56" xfId="41" applyFont="1" applyFill="1" applyBorder="1" applyAlignment="1">
      <alignment vertical="top"/>
    </xf>
    <xf numFmtId="0" fontId="34" fillId="0" borderId="50" xfId="41" applyFont="1" applyBorder="1" applyAlignment="1">
      <alignment horizontal="center"/>
    </xf>
    <xf numFmtId="165" fontId="34" fillId="0" borderId="50" xfId="41" applyNumberFormat="1" applyFont="1" applyBorder="1" applyAlignment="1">
      <alignment vertical="top" textRotation="255"/>
    </xf>
    <xf numFmtId="0" fontId="53" fillId="30" borderId="57" xfId="41" applyFont="1" applyFill="1" applyBorder="1" applyAlignment="1">
      <alignment vertical="top"/>
    </xf>
    <xf numFmtId="0" fontId="34" fillId="0" borderId="34" xfId="41" applyFont="1" applyBorder="1"/>
    <xf numFmtId="0" fontId="34" fillId="0" borderId="34" xfId="41" applyFont="1" applyBorder="1" applyAlignment="1">
      <alignment textRotation="255"/>
    </xf>
    <xf numFmtId="0" fontId="34" fillId="0" borderId="52" xfId="41" applyFont="1" applyBorder="1" applyAlignment="1">
      <alignment textRotation="255"/>
    </xf>
    <xf numFmtId="0" fontId="53" fillId="30" borderId="51" xfId="41" applyFont="1" applyFill="1" applyBorder="1" applyAlignment="1">
      <alignment vertical="top"/>
    </xf>
    <xf numFmtId="0" fontId="53" fillId="30" borderId="58" xfId="41" applyFont="1" applyFill="1" applyBorder="1" applyAlignment="1">
      <alignment vertical="top"/>
    </xf>
    <xf numFmtId="0" fontId="53" fillId="30" borderId="58" xfId="41" applyFont="1" applyFill="1" applyBorder="1" applyAlignment="1">
      <alignment vertical="center"/>
    </xf>
    <xf numFmtId="0" fontId="35" fillId="27" borderId="35" xfId="41" applyFont="1" applyFill="1" applyBorder="1" applyAlignment="1">
      <alignment horizontal="left" vertical="top"/>
    </xf>
    <xf numFmtId="0" fontId="34" fillId="27" borderId="36" xfId="41" applyFont="1" applyFill="1" applyBorder="1" applyAlignment="1">
      <alignment horizontal="center" vertical="top"/>
    </xf>
    <xf numFmtId="0" fontId="34" fillId="27" borderId="37" xfId="41" applyFont="1" applyFill="1" applyBorder="1" applyAlignment="1">
      <alignment horizontal="right" vertical="top"/>
    </xf>
    <xf numFmtId="0" fontId="38" fillId="0" borderId="46" xfId="41" applyFont="1" applyBorder="1" applyAlignment="1">
      <alignment horizontal="center"/>
    </xf>
    <xf numFmtId="0" fontId="40" fillId="0" borderId="47" xfId="41" applyFont="1" applyBorder="1" applyAlignment="1">
      <alignment horizontal="center"/>
    </xf>
    <xf numFmtId="0" fontId="54" fillId="30" borderId="59" xfId="41" applyFont="1" applyFill="1" applyBorder="1"/>
    <xf numFmtId="0" fontId="53" fillId="30" borderId="60" xfId="41" applyFont="1" applyFill="1" applyBorder="1" applyAlignment="1">
      <alignment horizontal="left"/>
    </xf>
    <xf numFmtId="0" fontId="54" fillId="30" borderId="60" xfId="41" applyFont="1" applyFill="1" applyBorder="1"/>
    <xf numFmtId="0" fontId="54" fillId="30" borderId="60" xfId="41" applyFont="1" applyFill="1" applyBorder="1" applyAlignment="1">
      <alignment horizontal="right"/>
    </xf>
    <xf numFmtId="0" fontId="53" fillId="30" borderId="60" xfId="41" applyFont="1" applyFill="1" applyBorder="1" applyAlignment="1">
      <alignment vertical="top" textRotation="180"/>
    </xf>
    <xf numFmtId="0" fontId="53" fillId="30" borderId="61" xfId="41" applyFont="1" applyFill="1" applyBorder="1" applyAlignment="1">
      <alignment vertical="top" textRotation="180"/>
    </xf>
    <xf numFmtId="0" fontId="38" fillId="0" borderId="50" xfId="41" applyFont="1" applyBorder="1" applyAlignment="1">
      <alignment horizontal="center"/>
    </xf>
    <xf numFmtId="0" fontId="38" fillId="0" borderId="53" xfId="41" applyFont="1" applyBorder="1" applyAlignment="1">
      <alignment horizontal="center"/>
    </xf>
    <xf numFmtId="0" fontId="38" fillId="0" borderId="54" xfId="41" applyFont="1" applyBorder="1" applyAlignment="1">
      <alignment horizontal="center"/>
    </xf>
    <xf numFmtId="0" fontId="40" fillId="0" borderId="55" xfId="41" applyFont="1" applyBorder="1" applyAlignment="1">
      <alignment horizontal="center"/>
    </xf>
    <xf numFmtId="0" fontId="40" fillId="0" borderId="50" xfId="41" applyFont="1" applyBorder="1" applyAlignment="1">
      <alignment horizontal="center"/>
    </xf>
    <xf numFmtId="0" fontId="53" fillId="30" borderId="62" xfId="41" applyFont="1" applyFill="1" applyBorder="1" applyAlignment="1">
      <alignment vertical="top"/>
    </xf>
    <xf numFmtId="164" fontId="27" fillId="25" borderId="63" xfId="41" applyNumberFormat="1" applyFont="1" applyFill="1" applyBorder="1" applyAlignment="1">
      <alignment horizontal="center" vertical="center"/>
    </xf>
    <xf numFmtId="0" fontId="53" fillId="30" borderId="64" xfId="41" applyFont="1" applyFill="1" applyBorder="1" applyAlignment="1">
      <alignment horizontal="left"/>
    </xf>
    <xf numFmtId="0" fontId="54" fillId="30" borderId="64" xfId="41" applyFont="1" applyFill="1" applyBorder="1"/>
    <xf numFmtId="0" fontId="54" fillId="30" borderId="64" xfId="41" applyFont="1" applyFill="1" applyBorder="1" applyAlignment="1">
      <alignment horizontal="right"/>
    </xf>
    <xf numFmtId="0" fontId="53" fillId="30" borderId="64" xfId="41" applyFont="1" applyFill="1" applyBorder="1" applyAlignment="1">
      <alignment vertical="top" textRotation="180"/>
    </xf>
    <xf numFmtId="0" fontId="53" fillId="30" borderId="65" xfId="41" applyFont="1" applyFill="1" applyBorder="1" applyAlignment="1">
      <alignment vertical="top" textRotation="180"/>
    </xf>
    <xf numFmtId="0" fontId="34" fillId="24" borderId="41" xfId="42" applyFont="1" applyFill="1" applyBorder="1" applyAlignment="1">
      <alignment horizontal="center" vertical="center"/>
    </xf>
    <xf numFmtId="0" fontId="35" fillId="27" borderId="44" xfId="42" applyFont="1" applyFill="1" applyBorder="1"/>
    <xf numFmtId="0" fontId="34" fillId="27" borderId="32" xfId="42" applyFont="1" applyFill="1" applyBorder="1"/>
    <xf numFmtId="0" fontId="34" fillId="27" borderId="45" xfId="42" applyFont="1" applyFill="1" applyBorder="1" applyAlignment="1">
      <alignment horizontal="right"/>
    </xf>
    <xf numFmtId="0" fontId="34" fillId="28" borderId="46" xfId="42" applyFont="1" applyFill="1" applyBorder="1" applyAlignment="1">
      <alignment horizontal="left"/>
    </xf>
    <xf numFmtId="0" fontId="38" fillId="0" borderId="46" xfId="42" applyFont="1" applyBorder="1" applyAlignment="1">
      <alignment horizontal="center"/>
    </xf>
    <xf numFmtId="0" fontId="34" fillId="0" borderId="47" xfId="42" applyFont="1" applyBorder="1" applyAlignment="1">
      <alignment horizontal="left"/>
    </xf>
    <xf numFmtId="0" fontId="40" fillId="0" borderId="47" xfId="42" applyFont="1" applyBorder="1" applyAlignment="1">
      <alignment horizontal="center"/>
    </xf>
    <xf numFmtId="0" fontId="54" fillId="30" borderId="59" xfId="42" applyFont="1" applyFill="1" applyBorder="1"/>
    <xf numFmtId="0" fontId="53" fillId="30" borderId="48" xfId="42" applyFont="1" applyFill="1" applyBorder="1" applyAlignment="1">
      <alignment horizontal="left"/>
    </xf>
    <xf numFmtId="0" fontId="54" fillId="30" borderId="48" xfId="42" applyFont="1" applyFill="1" applyBorder="1"/>
    <xf numFmtId="0" fontId="54" fillId="30" borderId="48" xfId="42" applyFont="1" applyFill="1" applyBorder="1" applyAlignment="1">
      <alignment horizontal="right"/>
    </xf>
    <xf numFmtId="0" fontId="53" fillId="30" borderId="48" xfId="42" applyFont="1" applyFill="1" applyBorder="1" applyAlignment="1">
      <alignment vertical="top" textRotation="180"/>
    </xf>
    <xf numFmtId="0" fontId="53" fillId="30" borderId="49" xfId="42" applyFont="1" applyFill="1" applyBorder="1" applyAlignment="1">
      <alignment vertical="top" textRotation="180"/>
    </xf>
    <xf numFmtId="0" fontId="53" fillId="30" borderId="58" xfId="42" applyFont="1" applyFill="1" applyBorder="1" applyAlignment="1">
      <alignment vertical="center"/>
    </xf>
    <xf numFmtId="0" fontId="38" fillId="0" borderId="50" xfId="42" applyFont="1" applyBorder="1" applyAlignment="1">
      <alignment horizontal="center"/>
    </xf>
    <xf numFmtId="0" fontId="53" fillId="30" borderId="51" xfId="42" applyFont="1" applyFill="1" applyBorder="1" applyAlignment="1">
      <alignment vertical="center"/>
    </xf>
    <xf numFmtId="0" fontId="53" fillId="30" borderId="58" xfId="42" applyFont="1" applyFill="1" applyBorder="1" applyAlignment="1">
      <alignment vertical="top"/>
    </xf>
    <xf numFmtId="0" fontId="38" fillId="0" borderId="53" xfId="42" applyFont="1" applyBorder="1" applyAlignment="1">
      <alignment horizontal="center"/>
    </xf>
    <xf numFmtId="0" fontId="53" fillId="30" borderId="51" xfId="42" applyFont="1" applyFill="1" applyBorder="1" applyAlignment="1">
      <alignment vertical="top"/>
    </xf>
    <xf numFmtId="0" fontId="38" fillId="0" borderId="54" xfId="42" applyFont="1" applyBorder="1" applyAlignment="1">
      <alignment horizontal="center"/>
    </xf>
    <xf numFmtId="0" fontId="40" fillId="0" borderId="55" xfId="42" applyFont="1" applyBorder="1" applyAlignment="1">
      <alignment horizontal="center"/>
    </xf>
    <xf numFmtId="0" fontId="53" fillId="30" borderId="56" xfId="42" applyFont="1" applyFill="1" applyBorder="1" applyAlignment="1">
      <alignment vertical="top"/>
    </xf>
    <xf numFmtId="0" fontId="40" fillId="0" borderId="50" xfId="42" applyFont="1" applyBorder="1" applyAlignment="1">
      <alignment horizontal="center"/>
    </xf>
    <xf numFmtId="165" fontId="34" fillId="0" borderId="50" xfId="42" applyNumberFormat="1" applyFont="1" applyBorder="1" applyAlignment="1">
      <alignment vertical="top" textRotation="255"/>
    </xf>
    <xf numFmtId="0" fontId="53" fillId="30" borderId="57" xfId="42" applyFont="1" applyFill="1" applyBorder="1" applyAlignment="1">
      <alignment vertical="top"/>
    </xf>
    <xf numFmtId="0" fontId="34" fillId="0" borderId="34" xfId="42" applyFont="1" applyBorder="1"/>
    <xf numFmtId="0" fontId="34" fillId="0" borderId="34" xfId="42" applyFont="1" applyBorder="1" applyAlignment="1">
      <alignment textRotation="255"/>
    </xf>
    <xf numFmtId="0" fontId="34" fillId="0" borderId="52" xfId="42" applyFont="1" applyBorder="1" applyAlignment="1">
      <alignment textRotation="255"/>
    </xf>
    <xf numFmtId="0" fontId="57" fillId="30" borderId="64" xfId="41" applyFont="1" applyFill="1" applyBorder="1" applyAlignment="1">
      <alignment vertical="top" textRotation="180"/>
    </xf>
    <xf numFmtId="0" fontId="24" fillId="24" borderId="15" xfId="34" applyNumberFormat="1" applyFont="1" applyFill="1" applyBorder="1" applyAlignment="1" applyProtection="1">
      <alignment horizontal="left" vertical="center"/>
    </xf>
    <xf numFmtId="0" fontId="58" fillId="30" borderId="64" xfId="41" applyFont="1" applyFill="1" applyBorder="1" applyAlignment="1">
      <alignment vertical="top" textRotation="180"/>
    </xf>
    <xf numFmtId="0" fontId="1" fillId="27" borderId="32" xfId="42" applyFill="1" applyBorder="1"/>
    <xf numFmtId="0" fontId="34" fillId="28" borderId="46" xfId="42" applyFont="1" applyFill="1" applyBorder="1"/>
    <xf numFmtId="0" fontId="34" fillId="24" borderId="43" xfId="39" applyFont="1" applyFill="1" applyBorder="1" applyAlignment="1">
      <alignment horizontal="center" wrapText="1"/>
    </xf>
    <xf numFmtId="0" fontId="34" fillId="24" borderId="43" xfId="40" applyFont="1" applyFill="1" applyBorder="1" applyAlignment="1">
      <alignment horizontal="center" wrapText="1"/>
    </xf>
    <xf numFmtId="14" fontId="24" fillId="0" borderId="11" xfId="41" applyNumberFormat="1" applyFont="1" applyBorder="1" applyAlignment="1">
      <alignment horizontal="left"/>
    </xf>
    <xf numFmtId="0" fontId="24" fillId="0" borderId="11" xfId="41" applyFont="1" applyBorder="1" applyAlignment="1">
      <alignment horizontal="left"/>
    </xf>
    <xf numFmtId="0" fontId="22" fillId="31" borderId="10" xfId="41" applyFont="1" applyFill="1" applyBorder="1" applyAlignment="1">
      <alignment horizontal="center" vertical="center"/>
    </xf>
    <xf numFmtId="0" fontId="24" fillId="24" borderId="10" xfId="41" applyFont="1" applyFill="1" applyBorder="1" applyAlignment="1">
      <alignment horizontal="left"/>
    </xf>
    <xf numFmtId="0" fontId="24" fillId="24" borderId="43" xfId="41" applyFont="1" applyFill="1" applyBorder="1" applyAlignment="1">
      <alignment horizontal="left"/>
    </xf>
    <xf numFmtId="0" fontId="24" fillId="24" borderId="11" xfId="41" applyFont="1" applyFill="1" applyBorder="1" applyAlignment="1">
      <alignment horizontal="left"/>
    </xf>
    <xf numFmtId="1" fontId="24" fillId="32" borderId="0" xfId="41" applyNumberFormat="1" applyFont="1" applyFill="1" applyProtection="1">
      <protection hidden="1"/>
    </xf>
    <xf numFmtId="0" fontId="24" fillId="32" borderId="0" xfId="41" applyFont="1" applyFill="1" applyAlignment="1">
      <alignment horizontal="left"/>
    </xf>
    <xf numFmtId="0" fontId="23" fillId="32" borderId="0" xfId="41" applyFont="1" applyFill="1" applyAlignment="1">
      <alignment horizontal="left"/>
    </xf>
    <xf numFmtId="0" fontId="28" fillId="32" borderId="0" xfId="41" applyFont="1" applyFill="1" applyAlignment="1">
      <alignment horizontal="left"/>
    </xf>
    <xf numFmtId="0" fontId="24" fillId="32" borderId="0" xfId="41" applyFont="1" applyFill="1" applyAlignment="1">
      <alignment horizontal="left" wrapText="1"/>
    </xf>
    <xf numFmtId="0" fontId="29" fillId="32" borderId="0" xfId="41" applyFont="1" applyFill="1" applyAlignment="1">
      <alignment horizontal="left"/>
    </xf>
    <xf numFmtId="1" fontId="24" fillId="32" borderId="0" xfId="41" applyNumberFormat="1" applyFont="1" applyFill="1"/>
    <xf numFmtId="0" fontId="13" fillId="24" borderId="15" xfId="34" applyNumberFormat="1" applyFill="1" applyBorder="1" applyAlignment="1" applyProtection="1">
      <alignment horizontal="left" vertical="center"/>
    </xf>
    <xf numFmtId="0" fontId="13" fillId="24" borderId="15" xfId="34" applyNumberFormat="1" applyFill="1" applyBorder="1" applyAlignment="1" applyProtection="1">
      <alignment horizontal="left" vertical="center" wrapText="1"/>
    </xf>
    <xf numFmtId="0" fontId="13" fillId="24" borderId="15" xfId="34" applyFill="1" applyBorder="1" applyAlignment="1">
      <alignment horizontal="left" vertical="center"/>
    </xf>
    <xf numFmtId="0" fontId="59" fillId="24" borderId="15" xfId="34" applyNumberFormat="1" applyFont="1" applyFill="1" applyBorder="1" applyAlignment="1" applyProtection="1">
      <alignment horizontal="left" vertical="center"/>
    </xf>
    <xf numFmtId="49" fontId="44" fillId="24" borderId="23" xfId="34" applyNumberFormat="1" applyFont="1" applyFill="1" applyBorder="1"/>
    <xf numFmtId="0" fontId="24" fillId="24" borderId="99" xfId="41" applyFont="1" applyFill="1" applyBorder="1" applyAlignment="1">
      <alignment horizontal="center"/>
    </xf>
    <xf numFmtId="49" fontId="13" fillId="24" borderId="15" xfId="34" applyNumberFormat="1" applyFill="1" applyBorder="1" applyAlignment="1">
      <alignment horizontal="left" vertical="center" wrapText="1"/>
    </xf>
    <xf numFmtId="0" fontId="24" fillId="32" borderId="0" xfId="41" applyFont="1" applyFill="1"/>
    <xf numFmtId="0" fontId="30" fillId="32" borderId="0" xfId="38" applyFont="1" applyFill="1"/>
    <xf numFmtId="0" fontId="24" fillId="32" borderId="0" xfId="38" applyFont="1" applyFill="1"/>
    <xf numFmtId="164" fontId="24" fillId="32" borderId="0" xfId="38" applyNumberFormat="1" applyFont="1" applyFill="1"/>
    <xf numFmtId="0" fontId="34" fillId="0" borderId="42" xfId="41" applyFont="1" applyBorder="1" applyAlignment="1">
      <alignment horizontal="center"/>
    </xf>
    <xf numFmtId="0" fontId="34" fillId="0" borderId="0" xfId="42" applyFont="1" applyAlignment="1">
      <alignment horizontal="center"/>
    </xf>
    <xf numFmtId="49" fontId="13" fillId="24" borderId="15" xfId="34" applyNumberFormat="1" applyFill="1" applyBorder="1" applyAlignment="1">
      <alignment horizontal="left" vertical="center"/>
    </xf>
    <xf numFmtId="49" fontId="13" fillId="24" borderId="19" xfId="34" applyNumberFormat="1" applyFill="1" applyBorder="1" applyAlignment="1">
      <alignment horizontal="left" vertical="center"/>
    </xf>
    <xf numFmtId="14" fontId="24" fillId="0" borderId="16" xfId="41" applyNumberFormat="1" applyFont="1" applyBorder="1" applyAlignment="1">
      <alignment vertical="top" wrapText="1"/>
    </xf>
    <xf numFmtId="49" fontId="13" fillId="24" borderId="15" xfId="34" applyNumberFormat="1" applyFill="1" applyBorder="1"/>
    <xf numFmtId="0" fontId="24" fillId="0" borderId="15" xfId="41" applyFont="1" applyBorder="1" applyAlignment="1">
      <alignment vertical="top" wrapText="1"/>
    </xf>
    <xf numFmtId="14" fontId="24" fillId="0" borderId="16" xfId="41" applyNumberFormat="1" applyFont="1" applyBorder="1" applyAlignment="1">
      <alignment vertical="top"/>
    </xf>
    <xf numFmtId="0" fontId="13" fillId="24" borderId="19" xfId="34" applyFill="1" applyBorder="1" applyAlignment="1">
      <alignment horizontal="left" vertical="center"/>
    </xf>
    <xf numFmtId="14" fontId="24" fillId="0" borderId="18" xfId="41" applyNumberFormat="1" applyFont="1" applyBorder="1" applyAlignment="1">
      <alignment vertical="top"/>
    </xf>
    <xf numFmtId="0" fontId="24" fillId="33" borderId="23" xfId="41" applyFont="1" applyFill="1" applyBorder="1" applyAlignment="1">
      <alignment horizontal="center"/>
    </xf>
    <xf numFmtId="0" fontId="24" fillId="34" borderId="23" xfId="41" applyFont="1" applyFill="1" applyBorder="1" applyAlignment="1">
      <alignment horizontal="center"/>
    </xf>
    <xf numFmtId="14" fontId="24" fillId="0" borderId="105" xfId="41" applyNumberFormat="1" applyFont="1" applyBorder="1" applyAlignment="1">
      <alignment vertical="top"/>
    </xf>
    <xf numFmtId="49" fontId="24" fillId="0" borderId="106" xfId="41" applyNumberFormat="1" applyFont="1" applyBorder="1" applyAlignment="1">
      <alignment vertical="top"/>
    </xf>
    <xf numFmtId="0" fontId="24" fillId="0" borderId="106" xfId="41" applyFont="1" applyBorder="1" applyAlignment="1">
      <alignment vertical="top"/>
    </xf>
    <xf numFmtId="0" fontId="24" fillId="0" borderId="107" xfId="41" applyFont="1" applyBorder="1" applyAlignment="1">
      <alignment vertical="top"/>
    </xf>
    <xf numFmtId="0" fontId="23" fillId="31" borderId="39" xfId="41" applyFont="1" applyFill="1" applyBorder="1" applyAlignment="1">
      <alignment horizontal="center" vertical="center"/>
    </xf>
    <xf numFmtId="0" fontId="24" fillId="0" borderId="39" xfId="41" applyFont="1" applyBorder="1" applyAlignment="1">
      <alignment horizontal="left"/>
    </xf>
    <xf numFmtId="0" fontId="30" fillId="24" borderId="39" xfId="41" applyFont="1" applyFill="1" applyBorder="1" applyAlignment="1">
      <alignment horizontal="left" vertical="center"/>
    </xf>
    <xf numFmtId="0" fontId="24" fillId="0" borderId="39" xfId="41" applyFont="1" applyBorder="1" applyAlignment="1">
      <alignment horizontal="left" vertical="center"/>
    </xf>
    <xf numFmtId="1" fontId="30" fillId="24" borderId="39" xfId="41" applyNumberFormat="1" applyFont="1" applyFill="1" applyBorder="1" applyAlignment="1">
      <alignment vertical="center" wrapText="1"/>
    </xf>
    <xf numFmtId="1" fontId="30" fillId="24" borderId="10" xfId="41" applyNumberFormat="1" applyFont="1" applyFill="1" applyBorder="1"/>
    <xf numFmtId="0" fontId="24" fillId="24" borderId="10" xfId="41" applyFont="1" applyFill="1" applyBorder="1" applyAlignment="1">
      <alignment horizontal="left"/>
    </xf>
    <xf numFmtId="0" fontId="24" fillId="24" borderId="43" xfId="41" applyFont="1" applyFill="1" applyBorder="1" applyAlignment="1">
      <alignment horizontal="left"/>
    </xf>
    <xf numFmtId="0" fontId="24" fillId="24" borderId="11" xfId="41" applyFont="1" applyFill="1" applyBorder="1" applyAlignment="1">
      <alignment horizontal="left"/>
    </xf>
    <xf numFmtId="0" fontId="24" fillId="24" borderId="10" xfId="41" applyFont="1" applyFill="1" applyBorder="1" applyAlignment="1">
      <alignment horizontal="left" vertical="top" wrapText="1"/>
    </xf>
    <xf numFmtId="0" fontId="24" fillId="24" borderId="43" xfId="41" applyFont="1" applyFill="1" applyBorder="1" applyAlignment="1">
      <alignment horizontal="left" vertical="top" wrapText="1"/>
    </xf>
    <xf numFmtId="0" fontId="24" fillId="24" borderId="11" xfId="41" applyFont="1" applyFill="1" applyBorder="1" applyAlignment="1">
      <alignment horizontal="left" vertical="top" wrapText="1"/>
    </xf>
    <xf numFmtId="1" fontId="30" fillId="24" borderId="10" xfId="41" applyNumberFormat="1" applyFont="1" applyFill="1" applyBorder="1" applyAlignment="1">
      <alignment horizontal="left"/>
    </xf>
    <xf numFmtId="1" fontId="30" fillId="24" borderId="43" xfId="41" applyNumberFormat="1" applyFont="1" applyFill="1" applyBorder="1" applyAlignment="1">
      <alignment horizontal="left"/>
    </xf>
    <xf numFmtId="1" fontId="30" fillId="24" borderId="11" xfId="41" applyNumberFormat="1" applyFont="1" applyFill="1" applyBorder="1" applyAlignment="1">
      <alignment horizontal="left"/>
    </xf>
    <xf numFmtId="14" fontId="24" fillId="24" borderId="10" xfId="41" applyNumberFormat="1" applyFont="1" applyFill="1" applyBorder="1" applyAlignment="1">
      <alignment horizontal="center" vertical="top"/>
    </xf>
    <xf numFmtId="14" fontId="24" fillId="24" borderId="43" xfId="41" applyNumberFormat="1" applyFont="1" applyFill="1" applyBorder="1" applyAlignment="1">
      <alignment horizontal="center" vertical="top"/>
    </xf>
    <xf numFmtId="14" fontId="24" fillId="24" borderId="11" xfId="41" applyNumberFormat="1" applyFont="1" applyFill="1" applyBorder="1" applyAlignment="1">
      <alignment horizontal="center" vertical="top"/>
    </xf>
    <xf numFmtId="0" fontId="24" fillId="24" borderId="39" xfId="41" applyFont="1" applyFill="1" applyBorder="1" applyAlignment="1">
      <alignment horizontal="center"/>
    </xf>
    <xf numFmtId="0" fontId="30" fillId="24" borderId="39" xfId="41" applyFont="1" applyFill="1" applyBorder="1" applyAlignment="1">
      <alignment horizontal="center"/>
    </xf>
    <xf numFmtId="0" fontId="43" fillId="24" borderId="39" xfId="38" applyFont="1" applyFill="1" applyBorder="1" applyAlignment="1">
      <alignment vertical="top"/>
    </xf>
    <xf numFmtId="0" fontId="23" fillId="32" borderId="0" xfId="38" applyFont="1" applyFill="1" applyAlignment="1">
      <alignment horizontal="center"/>
    </xf>
    <xf numFmtId="0" fontId="24" fillId="24" borderId="10" xfId="41" applyFont="1" applyFill="1" applyBorder="1" applyAlignment="1">
      <alignment horizontal="center"/>
    </xf>
    <xf numFmtId="0" fontId="24" fillId="24" borderId="43" xfId="41" applyFont="1" applyFill="1" applyBorder="1" applyAlignment="1">
      <alignment horizontal="center"/>
    </xf>
    <xf numFmtId="0" fontId="24" fillId="24" borderId="11" xfId="41" applyFont="1" applyFill="1" applyBorder="1" applyAlignment="1">
      <alignment horizontal="center"/>
    </xf>
    <xf numFmtId="49" fontId="34" fillId="24" borderId="68" xfId="39" applyNumberFormat="1" applyFont="1" applyFill="1" applyBorder="1" applyAlignment="1">
      <alignment horizontal="center" wrapText="1"/>
    </xf>
    <xf numFmtId="49" fontId="34" fillId="24" borderId="69" xfId="39" applyNumberFormat="1" applyFont="1" applyFill="1" applyBorder="1" applyAlignment="1">
      <alignment horizontal="center" wrapText="1"/>
    </xf>
    <xf numFmtId="49" fontId="34" fillId="24" borderId="70" xfId="39" applyNumberFormat="1" applyFont="1" applyFill="1" applyBorder="1" applyAlignment="1">
      <alignment horizontal="center" wrapText="1"/>
    </xf>
    <xf numFmtId="0" fontId="35" fillId="24" borderId="10" xfId="41" applyFont="1" applyFill="1" applyBorder="1" applyAlignment="1">
      <alignment horizontal="center" vertical="center" wrapText="1"/>
    </xf>
    <xf numFmtId="0" fontId="35" fillId="24" borderId="43" xfId="41" applyFont="1" applyFill="1" applyBorder="1" applyAlignment="1">
      <alignment horizontal="center" vertical="center" wrapText="1"/>
    </xf>
    <xf numFmtId="0" fontId="35" fillId="24" borderId="11" xfId="41" applyFont="1" applyFill="1" applyBorder="1" applyAlignment="1">
      <alignment horizontal="center" vertical="center" wrapText="1"/>
    </xf>
    <xf numFmtId="0" fontId="35" fillId="24" borderId="29" xfId="39" applyFont="1" applyFill="1" applyBorder="1" applyAlignment="1">
      <alignment horizontal="left" wrapText="1"/>
    </xf>
    <xf numFmtId="0" fontId="35" fillId="24" borderId="30" xfId="39" applyFont="1" applyFill="1" applyBorder="1" applyAlignment="1">
      <alignment horizontal="left" wrapText="1"/>
    </xf>
    <xf numFmtId="0" fontId="35" fillId="24" borderId="31" xfId="39" applyFont="1" applyFill="1" applyBorder="1" applyAlignment="1">
      <alignment horizontal="left" wrapText="1"/>
    </xf>
    <xf numFmtId="0" fontId="34" fillId="24" borderId="95" xfId="39" applyFont="1" applyFill="1" applyBorder="1" applyAlignment="1">
      <alignment horizontal="center" wrapText="1"/>
    </xf>
    <xf numFmtId="0" fontId="34" fillId="24" borderId="96" xfId="39" applyFont="1" applyFill="1" applyBorder="1" applyAlignment="1">
      <alignment horizontal="center" wrapText="1"/>
    </xf>
    <xf numFmtId="0" fontId="34" fillId="24" borderId="98" xfId="39" applyFont="1" applyFill="1" applyBorder="1" applyAlignment="1">
      <alignment horizontal="center" wrapText="1"/>
    </xf>
    <xf numFmtId="0" fontId="35" fillId="24" borderId="72" xfId="41" applyFont="1" applyFill="1" applyBorder="1" applyAlignment="1">
      <alignment horizontal="center" vertical="center" wrapText="1"/>
    </xf>
    <xf numFmtId="0" fontId="35" fillId="24" borderId="68" xfId="39" applyFont="1" applyFill="1" applyBorder="1" applyAlignment="1">
      <alignment horizontal="left" wrapText="1"/>
    </xf>
    <xf numFmtId="0" fontId="35" fillId="24" borderId="69" xfId="39" applyFont="1" applyFill="1" applyBorder="1" applyAlignment="1">
      <alignment horizontal="left" wrapText="1"/>
    </xf>
    <xf numFmtId="0" fontId="35" fillId="24" borderId="81" xfId="39" applyFont="1" applyFill="1" applyBorder="1" applyAlignment="1">
      <alignment horizontal="left" wrapText="1"/>
    </xf>
    <xf numFmtId="0" fontId="34" fillId="0" borderId="33" xfId="41" applyFont="1" applyBorder="1" applyAlignment="1">
      <alignment horizontal="left" vertical="top"/>
    </xf>
    <xf numFmtId="0" fontId="34" fillId="0" borderId="34" xfId="41" applyFont="1" applyBorder="1" applyAlignment="1">
      <alignment horizontal="left" vertical="top"/>
    </xf>
    <xf numFmtId="0" fontId="34" fillId="0" borderId="47" xfId="41" applyFont="1" applyBorder="1" applyAlignment="1">
      <alignment horizontal="left"/>
    </xf>
    <xf numFmtId="0" fontId="34" fillId="24" borderId="73" xfId="39" applyFont="1" applyFill="1" applyBorder="1" applyAlignment="1">
      <alignment horizontal="center" wrapText="1"/>
    </xf>
    <xf numFmtId="0" fontId="34" fillId="24" borderId="40" xfId="39" applyFont="1" applyFill="1" applyBorder="1" applyAlignment="1">
      <alignment horizontal="center" wrapText="1"/>
    </xf>
    <xf numFmtId="0" fontId="34" fillId="24" borderId="74" xfId="39" applyFont="1" applyFill="1" applyBorder="1" applyAlignment="1">
      <alignment horizontal="center" wrapText="1"/>
    </xf>
    <xf numFmtId="0" fontId="35" fillId="24" borderId="75" xfId="41" applyFont="1" applyFill="1" applyBorder="1" applyAlignment="1">
      <alignment horizontal="center" vertical="center"/>
    </xf>
    <xf numFmtId="0" fontId="35" fillId="24" borderId="11" xfId="41" applyFont="1" applyFill="1" applyBorder="1" applyAlignment="1">
      <alignment horizontal="center" vertical="center"/>
    </xf>
    <xf numFmtId="0" fontId="35" fillId="24" borderId="75" xfId="39" applyFont="1" applyFill="1" applyBorder="1" applyAlignment="1">
      <alignment horizontal="left" wrapText="1"/>
    </xf>
    <xf numFmtId="0" fontId="35" fillId="24" borderId="11" xfId="39" applyFont="1" applyFill="1" applyBorder="1" applyAlignment="1">
      <alignment horizontal="left" wrapText="1"/>
    </xf>
    <xf numFmtId="0" fontId="37" fillId="24" borderId="76" xfId="39" applyFont="1" applyFill="1" applyBorder="1" applyAlignment="1">
      <alignment horizontal="left" wrapText="1"/>
    </xf>
    <xf numFmtId="0" fontId="37" fillId="24" borderId="77" xfId="39" applyFont="1" applyFill="1" applyBorder="1" applyAlignment="1">
      <alignment horizontal="left" wrapText="1"/>
    </xf>
    <xf numFmtId="0" fontId="35" fillId="24" borderId="66" xfId="41" applyFont="1" applyFill="1" applyBorder="1" applyAlignment="1">
      <alignment horizontal="center" vertical="center" wrapText="1"/>
    </xf>
    <xf numFmtId="0" fontId="34" fillId="24" borderId="41" xfId="41" applyFont="1" applyFill="1" applyBorder="1" applyAlignment="1">
      <alignment horizontal="center" vertical="center"/>
    </xf>
    <xf numFmtId="0" fontId="34" fillId="24" borderId="78" xfId="41" applyFont="1" applyFill="1" applyBorder="1" applyAlignment="1">
      <alignment horizontal="center" vertical="center"/>
    </xf>
    <xf numFmtId="0" fontId="34" fillId="24" borderId="79" xfId="41" applyFont="1" applyFill="1" applyBorder="1" applyAlignment="1">
      <alignment horizontal="center" vertical="center"/>
    </xf>
    <xf numFmtId="0" fontId="35" fillId="24" borderId="67" xfId="41" applyFont="1" applyFill="1" applyBorder="1" applyAlignment="1">
      <alignment horizontal="center" vertical="center" wrapText="1"/>
    </xf>
    <xf numFmtId="0" fontId="34" fillId="24" borderId="84" xfId="41" applyFont="1" applyFill="1" applyBorder="1" applyAlignment="1">
      <alignment horizontal="center" vertical="center"/>
    </xf>
    <xf numFmtId="0" fontId="34" fillId="24" borderId="85" xfId="41" applyFont="1" applyFill="1" applyBorder="1" applyAlignment="1">
      <alignment horizontal="center" vertical="center"/>
    </xf>
    <xf numFmtId="0" fontId="34" fillId="24" borderId="29" xfId="39" applyFont="1" applyFill="1" applyBorder="1" applyAlignment="1">
      <alignment horizontal="center" wrapText="1"/>
    </xf>
    <xf numFmtId="0" fontId="34" fillId="24" borderId="30" xfId="39" applyFont="1" applyFill="1" applyBorder="1" applyAlignment="1">
      <alignment horizontal="center" wrapText="1"/>
    </xf>
    <xf numFmtId="0" fontId="34" fillId="24" borderId="97" xfId="39" applyFont="1" applyFill="1" applyBorder="1" applyAlignment="1">
      <alignment horizontal="center" wrapText="1"/>
    </xf>
    <xf numFmtId="0" fontId="35" fillId="24" borderId="80" xfId="39" applyFont="1" applyFill="1" applyBorder="1" applyAlignment="1">
      <alignment horizontal="left" wrapText="1"/>
    </xf>
    <xf numFmtId="0" fontId="34" fillId="24" borderId="69" xfId="39" applyFont="1" applyFill="1" applyBorder="1" applyAlignment="1">
      <alignment horizontal="center" wrapText="1"/>
    </xf>
    <xf numFmtId="0" fontId="34" fillId="24" borderId="81" xfId="39" applyFont="1" applyFill="1" applyBorder="1" applyAlignment="1">
      <alignment horizontal="center" wrapText="1"/>
    </xf>
    <xf numFmtId="0" fontId="34" fillId="0" borderId="33" xfId="41" applyFont="1" applyBorder="1" applyAlignment="1">
      <alignment horizontal="left"/>
    </xf>
    <xf numFmtId="0" fontId="34" fillId="24" borderId="86" xfId="41" applyFont="1" applyFill="1" applyBorder="1" applyAlignment="1">
      <alignment horizontal="center" vertical="center"/>
    </xf>
    <xf numFmtId="0" fontId="34" fillId="24" borderId="87" xfId="41" applyFont="1" applyFill="1" applyBorder="1" applyAlignment="1">
      <alignment horizontal="center" vertical="center"/>
    </xf>
    <xf numFmtId="0" fontId="34" fillId="24" borderId="10" xfId="39" applyFont="1" applyFill="1" applyBorder="1" applyAlignment="1">
      <alignment horizontal="center" wrapText="1"/>
    </xf>
    <xf numFmtId="0" fontId="34" fillId="24" borderId="43" xfId="39" applyFont="1" applyFill="1" applyBorder="1" applyAlignment="1">
      <alignment horizontal="center" wrapText="1"/>
    </xf>
    <xf numFmtId="0" fontId="35" fillId="24" borderId="88" xfId="39" applyFont="1" applyFill="1" applyBorder="1" applyAlignment="1">
      <alignment horizontal="left" wrapText="1"/>
    </xf>
    <xf numFmtId="0" fontId="35" fillId="24" borderId="89" xfId="39" applyFont="1" applyFill="1" applyBorder="1" applyAlignment="1">
      <alignment horizontal="left" wrapText="1"/>
    </xf>
    <xf numFmtId="0" fontId="34" fillId="24" borderId="66" xfId="39" applyFont="1" applyFill="1" applyBorder="1" applyAlignment="1">
      <alignment horizontal="center" wrapText="1"/>
    </xf>
    <xf numFmtId="0" fontId="34" fillId="24" borderId="71" xfId="39" applyFont="1" applyFill="1" applyBorder="1" applyAlignment="1">
      <alignment horizontal="center" wrapText="1"/>
    </xf>
    <xf numFmtId="0" fontId="35" fillId="24" borderId="90" xfId="39" applyFont="1" applyFill="1" applyBorder="1" applyAlignment="1">
      <alignment horizontal="left" wrapText="1"/>
    </xf>
    <xf numFmtId="0" fontId="35" fillId="24" borderId="42" xfId="39" applyFont="1" applyFill="1" applyBorder="1" applyAlignment="1">
      <alignment horizontal="left" wrapText="1"/>
    </xf>
    <xf numFmtId="49" fontId="34" fillId="24" borderId="42" xfId="39" applyNumberFormat="1" applyFont="1" applyFill="1" applyBorder="1" applyAlignment="1">
      <alignment horizontal="center" wrapText="1"/>
    </xf>
    <xf numFmtId="49" fontId="34" fillId="24" borderId="91" xfId="39" applyNumberFormat="1" applyFont="1" applyFill="1" applyBorder="1" applyAlignment="1">
      <alignment horizontal="center" wrapText="1"/>
    </xf>
    <xf numFmtId="0" fontId="33" fillId="0" borderId="42" xfId="0" applyFont="1" applyBorder="1" applyAlignment="1">
      <alignment horizontal="center" vertical="center"/>
    </xf>
    <xf numFmtId="0" fontId="35" fillId="24" borderId="35" xfId="39" applyFont="1" applyFill="1" applyBorder="1" applyAlignment="1">
      <alignment horizontal="left" wrapText="1"/>
    </xf>
    <xf numFmtId="0" fontId="35" fillId="24" borderId="36" xfId="39" applyFont="1" applyFill="1" applyBorder="1" applyAlignment="1">
      <alignment horizontal="left" wrapText="1"/>
    </xf>
    <xf numFmtId="0" fontId="35" fillId="24" borderId="37" xfId="39" applyFont="1" applyFill="1" applyBorder="1" applyAlignment="1">
      <alignment horizontal="left" wrapText="1"/>
    </xf>
    <xf numFmtId="0" fontId="34" fillId="0" borderId="34" xfId="42" applyFont="1" applyBorder="1" applyAlignment="1">
      <alignment horizontal="left" vertical="top"/>
    </xf>
    <xf numFmtId="0" fontId="34" fillId="0" borderId="47" xfId="42" applyFont="1" applyBorder="1" applyAlignment="1">
      <alignment horizontal="left"/>
    </xf>
    <xf numFmtId="0" fontId="34" fillId="24" borderId="73" xfId="40" applyFont="1" applyFill="1" applyBorder="1" applyAlignment="1">
      <alignment horizontal="center" wrapText="1"/>
    </xf>
    <xf numFmtId="0" fontId="34" fillId="24" borderId="40" xfId="40" applyFont="1" applyFill="1" applyBorder="1" applyAlignment="1">
      <alignment horizontal="center" wrapText="1"/>
    </xf>
    <xf numFmtId="0" fontId="34" fillId="24" borderId="74" xfId="40" applyFont="1" applyFill="1" applyBorder="1" applyAlignment="1">
      <alignment horizontal="center" wrapText="1"/>
    </xf>
    <xf numFmtId="0" fontId="34" fillId="0" borderId="0" xfId="42" applyFont="1" applyAlignment="1">
      <alignment horizontal="right"/>
    </xf>
    <xf numFmtId="0" fontId="35" fillId="24" borderId="75" xfId="42" applyFont="1" applyFill="1" applyBorder="1" applyAlignment="1">
      <alignment horizontal="center" vertical="center"/>
    </xf>
    <xf numFmtId="0" fontId="35" fillId="24" borderId="11" xfId="42" applyFont="1" applyFill="1" applyBorder="1" applyAlignment="1">
      <alignment horizontal="center" vertical="center"/>
    </xf>
    <xf numFmtId="0" fontId="35" fillId="24" borderId="75" xfId="40" applyFont="1" applyFill="1" applyBorder="1" applyAlignment="1">
      <alignment horizontal="left" wrapText="1"/>
    </xf>
    <xf numFmtId="0" fontId="35" fillId="24" borderId="11" xfId="40" applyFont="1" applyFill="1" applyBorder="1" applyAlignment="1">
      <alignment horizontal="left" wrapText="1"/>
    </xf>
    <xf numFmtId="0" fontId="37" fillId="24" borderId="76" xfId="40" applyFont="1" applyFill="1" applyBorder="1" applyAlignment="1">
      <alignment horizontal="left" wrapText="1"/>
    </xf>
    <xf numFmtId="0" fontId="37" fillId="24" borderId="77" xfId="40" applyFont="1" applyFill="1" applyBorder="1" applyAlignment="1">
      <alignment horizontal="left" wrapText="1"/>
    </xf>
    <xf numFmtId="0" fontId="35" fillId="24" borderId="43" xfId="42" applyFont="1" applyFill="1" applyBorder="1" applyAlignment="1">
      <alignment horizontal="center" vertical="center" wrapText="1"/>
    </xf>
    <xf numFmtId="0" fontId="34" fillId="24" borderId="41" xfId="42" applyFont="1" applyFill="1" applyBorder="1" applyAlignment="1">
      <alignment horizontal="center" vertical="center"/>
    </xf>
    <xf numFmtId="0" fontId="34" fillId="24" borderId="78" xfId="42" applyFont="1" applyFill="1" applyBorder="1" applyAlignment="1">
      <alignment horizontal="center" vertical="center"/>
    </xf>
    <xf numFmtId="0" fontId="34" fillId="24" borderId="79" xfId="42" applyFont="1" applyFill="1" applyBorder="1" applyAlignment="1">
      <alignment horizontal="center" vertical="center"/>
    </xf>
    <xf numFmtId="0" fontId="34" fillId="24" borderId="84" xfId="42" applyFont="1" applyFill="1" applyBorder="1" applyAlignment="1">
      <alignment horizontal="center" vertical="center"/>
    </xf>
    <xf numFmtId="0" fontId="34" fillId="24" borderId="85" xfId="42" applyFont="1" applyFill="1" applyBorder="1" applyAlignment="1">
      <alignment horizontal="center" vertical="center"/>
    </xf>
    <xf numFmtId="0" fontId="34" fillId="0" borderId="33" xfId="42" applyFont="1" applyBorder="1" applyAlignment="1">
      <alignment horizontal="left"/>
    </xf>
    <xf numFmtId="0" fontId="34" fillId="0" borderId="33" xfId="42" applyFont="1" applyBorder="1" applyAlignment="1">
      <alignment horizontal="left" vertical="top"/>
    </xf>
    <xf numFmtId="0" fontId="34" fillId="24" borderId="86" xfId="42" applyFont="1" applyFill="1" applyBorder="1" applyAlignment="1">
      <alignment horizontal="center" vertical="center"/>
    </xf>
    <xf numFmtId="0" fontId="34" fillId="24" borderId="87" xfId="42" applyFont="1" applyFill="1" applyBorder="1" applyAlignment="1">
      <alignment horizontal="center" vertical="center"/>
    </xf>
    <xf numFmtId="0" fontId="35" fillId="24" borderId="10" xfId="42" applyFont="1" applyFill="1" applyBorder="1" applyAlignment="1">
      <alignment horizontal="center" vertical="center" wrapText="1"/>
    </xf>
    <xf numFmtId="0" fontId="35" fillId="24" borderId="11" xfId="42" applyFont="1" applyFill="1" applyBorder="1" applyAlignment="1">
      <alignment horizontal="center" vertical="center" wrapText="1"/>
    </xf>
    <xf numFmtId="0" fontId="35" fillId="24" borderId="29" xfId="40" applyFont="1" applyFill="1" applyBorder="1" applyAlignment="1">
      <alignment horizontal="left" wrapText="1"/>
    </xf>
    <xf numFmtId="0" fontId="35" fillId="24" borderId="30" xfId="40" applyFont="1" applyFill="1" applyBorder="1" applyAlignment="1">
      <alignment horizontal="left" wrapText="1"/>
    </xf>
    <xf numFmtId="0" fontId="35" fillId="24" borderId="31" xfId="40" applyFont="1" applyFill="1" applyBorder="1" applyAlignment="1">
      <alignment horizontal="left" wrapText="1"/>
    </xf>
    <xf numFmtId="49" fontId="34" fillId="24" borderId="92" xfId="39" applyNumberFormat="1" applyFont="1" applyFill="1" applyBorder="1" applyAlignment="1">
      <alignment horizontal="center" wrapText="1"/>
    </xf>
    <xf numFmtId="49" fontId="34" fillId="24" borderId="93" xfId="39" applyNumberFormat="1" applyFont="1" applyFill="1" applyBorder="1" applyAlignment="1">
      <alignment horizontal="center" wrapText="1"/>
    </xf>
    <xf numFmtId="49" fontId="34" fillId="24" borderId="94" xfId="39" applyNumberFormat="1" applyFont="1" applyFill="1" applyBorder="1" applyAlignment="1">
      <alignment horizontal="center" wrapText="1"/>
    </xf>
    <xf numFmtId="0" fontId="35" fillId="24" borderId="72" xfId="42" applyFont="1" applyFill="1" applyBorder="1" applyAlignment="1">
      <alignment horizontal="center" vertical="center" wrapText="1"/>
    </xf>
    <xf numFmtId="0" fontId="35" fillId="24" borderId="66" xfId="42" applyFont="1" applyFill="1" applyBorder="1" applyAlignment="1">
      <alignment horizontal="center" vertical="center" wrapText="1"/>
    </xf>
    <xf numFmtId="0" fontId="35" fillId="24" borderId="67" xfId="42" applyFont="1" applyFill="1" applyBorder="1" applyAlignment="1">
      <alignment horizontal="center" vertical="center" wrapText="1"/>
    </xf>
    <xf numFmtId="0" fontId="34" fillId="24" borderId="66" xfId="40" applyFont="1" applyFill="1" applyBorder="1" applyAlignment="1">
      <alignment horizontal="center" wrapText="1"/>
    </xf>
    <xf numFmtId="0" fontId="34" fillId="24" borderId="43" xfId="40" applyFont="1" applyFill="1" applyBorder="1" applyAlignment="1">
      <alignment horizontal="center" wrapText="1"/>
    </xf>
    <xf numFmtId="0" fontId="34" fillId="24" borderId="71" xfId="40" applyFont="1" applyFill="1" applyBorder="1" applyAlignment="1">
      <alignment horizontal="center" wrapText="1"/>
    </xf>
    <xf numFmtId="0" fontId="34" fillId="24" borderId="10" xfId="40" applyFont="1" applyFill="1" applyBorder="1" applyAlignment="1">
      <alignment horizontal="center" wrapText="1"/>
    </xf>
    <xf numFmtId="0" fontId="34" fillId="0" borderId="0" xfId="41" applyFont="1" applyAlignment="1">
      <alignment horizontal="right"/>
    </xf>
    <xf numFmtId="0" fontId="35" fillId="24" borderId="82" xfId="39" applyFont="1" applyFill="1" applyBorder="1" applyAlignment="1">
      <alignment horizontal="left" wrapText="1"/>
    </xf>
    <xf numFmtId="0" fontId="35" fillId="24" borderId="83" xfId="39" applyFont="1" applyFill="1" applyBorder="1" applyAlignment="1">
      <alignment horizontal="left" wrapText="1"/>
    </xf>
    <xf numFmtId="0" fontId="34" fillId="24" borderId="70" xfId="39" applyFont="1" applyFill="1" applyBorder="1" applyAlignment="1">
      <alignment horizontal="center" wrapText="1"/>
    </xf>
    <xf numFmtId="0" fontId="34" fillId="0" borderId="103" xfId="41" applyFont="1" applyBorder="1" applyAlignment="1">
      <alignment horizontal="left"/>
    </xf>
    <xf numFmtId="0" fontId="34" fillId="0" borderId="60" xfId="41" applyFont="1" applyBorder="1" applyAlignment="1">
      <alignment horizontal="left"/>
    </xf>
    <xf numFmtId="0" fontId="34" fillId="0" borderId="104" xfId="41" applyFont="1" applyBorder="1" applyAlignment="1">
      <alignment horizontal="left"/>
    </xf>
    <xf numFmtId="0" fontId="34" fillId="0" borderId="29" xfId="41" applyFont="1" applyBorder="1" applyAlignment="1">
      <alignment horizontal="left"/>
    </xf>
    <xf numFmtId="0" fontId="34" fillId="0" borderId="30" xfId="41" applyFont="1" applyBorder="1" applyAlignment="1">
      <alignment horizontal="left"/>
    </xf>
    <xf numFmtId="0" fontId="34" fillId="0" borderId="31" xfId="41" applyFont="1" applyBorder="1" applyAlignment="1">
      <alignment horizontal="left"/>
    </xf>
    <xf numFmtId="0" fontId="34" fillId="0" borderId="29" xfId="41" applyFont="1" applyBorder="1" applyAlignment="1">
      <alignment horizontal="left" vertical="top"/>
    </xf>
    <xf numFmtId="0" fontId="34" fillId="0" borderId="30" xfId="41" applyFont="1" applyBorder="1" applyAlignment="1">
      <alignment horizontal="left" vertical="top"/>
    </xf>
    <xf numFmtId="0" fontId="34" fillId="0" borderId="31" xfId="41" applyFont="1" applyBorder="1" applyAlignment="1">
      <alignment horizontal="left" vertical="top"/>
    </xf>
    <xf numFmtId="0" fontId="34" fillId="0" borderId="100" xfId="41" applyFont="1" applyBorder="1" applyAlignment="1">
      <alignment horizontal="left" vertical="top"/>
    </xf>
    <xf numFmtId="0" fontId="34" fillId="0" borderId="101" xfId="41" applyFont="1" applyBorder="1" applyAlignment="1">
      <alignment horizontal="left" vertical="top"/>
    </xf>
    <xf numFmtId="0" fontId="34" fillId="0" borderId="102" xfId="41" applyFont="1" applyBorder="1" applyAlignment="1">
      <alignment horizontal="left" vertical="top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1A323AD5-D538-4626-AB2D-3E0E148C8F1F}"/>
    <cellStyle name="Normal_Sheet1" xfId="39" xr:uid="{89A2354D-EF40-4FE1-BB40-87CF9578547E}"/>
    <cellStyle name="Normal_Sheet1_Template_UnitTest Case_v0.9" xfId="40" xr:uid="{1A00D374-0B8E-4124-A667-A813191C458C}"/>
    <cellStyle name="Normal_Template_UnitTest Case_v0.9" xfId="41" xr:uid="{957B6220-4593-41BF-B80F-2E7607913D65}"/>
    <cellStyle name="Normal_Template_UnitTest Case_v0.9_Template_UnitTest Case_v0.9" xfId="42" xr:uid="{A50B1E07-BC2E-4A23-899F-98160D8C98A6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  <cellStyle name="標準_結合試験(AllOvertheWorld)" xfId="48" xr:uid="{682C7453-B104-412C-A354-9BC1604643C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41823654294"/>
          <c:y val="3.9062349349188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04E-47B3-AA40-637E8214709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4E-47B3-AA40-637E821470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04E-47B3-AA40-637E8214709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Report'!$F$96:$H$96</c:f>
              <c:numCache>
                <c:formatCode>General</c:formatCode>
                <c:ptCount val="3"/>
                <c:pt idx="0">
                  <c:v>14</c:v>
                </c:pt>
                <c:pt idx="1">
                  <c:v>28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4E-47B3-AA40-637E8214709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04E-47B3-AA40-637E8214709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D04E-47B3-AA40-637E821470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04E-47B3-AA40-637E8214709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Report'!$F$95:$H$95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D04E-47B3-AA40-637E82147092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04E-47B3-AA40-637E8214709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D04E-47B3-AA40-637E8214709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D04E-47B3-AA40-637E8214709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04E-47B3-AA40-637E82147092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04E-47B3-AA40-637E8214709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D04E-47B3-AA40-637E8214709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D04E-47B3-AA40-637E8214709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04E-47B3-AA40-637E82147092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04E-47B3-AA40-637E8214709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04E-47B3-AA40-637E8214709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04E-47B3-AA40-637E8214709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Report'!$F$96:$H$96</c:f>
              <c:numCache>
                <c:formatCode>General</c:formatCode>
                <c:ptCount val="3"/>
                <c:pt idx="0">
                  <c:v>14</c:v>
                </c:pt>
                <c:pt idx="1">
                  <c:v>28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04E-47B3-AA40-637E82147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967542478242847"/>
          <c:y val="0.29822021296767559"/>
          <c:w val="0.30917949993092969"/>
          <c:h val="0.509066195622885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1315078151"/>
          <c:y val="3.95259271347558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AB7-432F-8ED6-F59B847791A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B7-432F-8ED6-F59B847791A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AB7-432F-8ED6-F59B847791A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Report'!$C$96:$E$96</c:f>
              <c:numCache>
                <c:formatCode>General</c:formatCode>
                <c:ptCount val="3"/>
                <c:pt idx="0">
                  <c:v>50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B7-432F-8ED6-F59B847791A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1AB7-432F-8ED6-F59B847791A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1AB7-432F-8ED6-F59B847791A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1AB7-432F-8ED6-F59B847791A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Report'!$C$95:$E$95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1AB7-432F-8ED6-F59B847791A1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1AB7-432F-8ED6-F59B847791A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1AB7-432F-8ED6-F59B847791A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1AB7-432F-8ED6-F59B847791A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B7-432F-8ED6-F59B847791A1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1AB7-432F-8ED6-F59B847791A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1AB7-432F-8ED6-F59B847791A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1AB7-432F-8ED6-F59B847791A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B7-432F-8ED6-F59B847791A1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1AB7-432F-8ED6-F59B847791A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AB7-432F-8ED6-F59B847791A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1AB7-432F-8ED6-F59B847791A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Report'!$C$96:$E$96</c:f>
              <c:numCache>
                <c:formatCode>General</c:formatCode>
                <c:ptCount val="3"/>
                <c:pt idx="0">
                  <c:v>50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AB7-432F-8ED6-F59B84779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029383202372726"/>
          <c:y val="0.43652139905289244"/>
          <c:w val="0.19058901069545062"/>
          <c:h val="0.301596602981998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1</xdr:col>
      <xdr:colOff>0</xdr:colOff>
      <xdr:row>1</xdr:row>
      <xdr:rowOff>781050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17A7BD4B-B653-4303-01BE-3F3E0941C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475"/>
          <a:ext cx="19685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98425</xdr:colOff>
      <xdr:row>1</xdr:row>
      <xdr:rowOff>222250</xdr:rowOff>
    </xdr:from>
    <xdr:to>
      <xdr:col>23</xdr:col>
      <xdr:colOff>12700</xdr:colOff>
      <xdr:row>16</xdr:row>
      <xdr:rowOff>28575</xdr:rowOff>
    </xdr:to>
    <xdr:graphicFrame macro="">
      <xdr:nvGraphicFramePr>
        <xdr:cNvPr id="2121" name="Chart 16">
          <a:extLst>
            <a:ext uri="{FF2B5EF4-FFF2-40B4-BE49-F238E27FC236}">
              <a16:creationId xmlns:a16="http://schemas.microsoft.com/office/drawing/2014/main" id="{CD10ED76-CAA0-C26F-83FB-00CFE47B7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1752600</xdr:colOff>
      <xdr:row>1</xdr:row>
      <xdr:rowOff>139700</xdr:rowOff>
    </xdr:from>
    <xdr:to>
      <xdr:col>16</xdr:col>
      <xdr:colOff>285749</xdr:colOff>
      <xdr:row>16</xdr:row>
      <xdr:rowOff>146050</xdr:rowOff>
    </xdr:to>
    <xdr:graphicFrame macro="">
      <xdr:nvGraphicFramePr>
        <xdr:cNvPr id="2122" name="Chart 17">
          <a:extLst>
            <a:ext uri="{FF2B5EF4-FFF2-40B4-BE49-F238E27FC236}">
              <a16:creationId xmlns:a16="http://schemas.microsoft.com/office/drawing/2014/main" id="{EB2AB472-7680-439F-F875-9B3C9B83711A}"/>
            </a:ext>
            <a:ext uri="{147F2762-F138-4A5C-976F-8EAC2B608ADB}">
              <a16:predDERef xmlns:a16="http://schemas.microsoft.com/office/drawing/2014/main" pred="{CD10ED76-CAA0-C26F-83FB-00CFE47B7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3150-AC75-4926-A791-D55528EDB775}">
  <dimension ref="A1:D49"/>
  <sheetViews>
    <sheetView topLeftCell="A4" zoomScale="115" zoomScaleNormal="115" workbookViewId="0">
      <selection activeCell="A47" sqref="A47"/>
    </sheetView>
  </sheetViews>
  <sheetFormatPr defaultColWidth="9" defaultRowHeight="14"/>
  <cols>
    <col min="1" max="1" width="119.453125" style="133" customWidth="1"/>
    <col min="2" max="256" width="11" style="133" customWidth="1"/>
    <col min="257" max="16384" width="9" style="133"/>
  </cols>
  <sheetData>
    <row r="1" spans="1:1" s="130" customFormat="1" ht="22">
      <c r="A1" s="129" t="s">
        <v>0</v>
      </c>
    </row>
    <row r="2" spans="1:1" s="130" customFormat="1" ht="22">
      <c r="A2" s="129"/>
    </row>
    <row r="3" spans="1:1" s="131" customFormat="1" ht="17.5">
      <c r="A3" s="134" t="s">
        <v>1</v>
      </c>
    </row>
    <row r="4" spans="1:1" ht="15" customHeight="1">
      <c r="A4" s="137" t="s">
        <v>2</v>
      </c>
    </row>
    <row r="5" spans="1:1" ht="15" customHeight="1">
      <c r="A5" s="137" t="s">
        <v>3</v>
      </c>
    </row>
    <row r="6" spans="1:1" ht="37.5">
      <c r="A6" s="138" t="s">
        <v>4</v>
      </c>
    </row>
    <row r="7" spans="1:1" ht="29.25" customHeight="1">
      <c r="A7" s="138" t="s">
        <v>5</v>
      </c>
    </row>
    <row r="8" spans="1:1" ht="30" customHeight="1">
      <c r="A8" s="139" t="s">
        <v>6</v>
      </c>
    </row>
    <row r="9" spans="1:1" s="142" customFormat="1" ht="16.5" customHeight="1">
      <c r="A9" s="141" t="s">
        <v>7</v>
      </c>
    </row>
    <row r="10" spans="1:1" ht="16.5" customHeight="1">
      <c r="A10" s="132"/>
    </row>
    <row r="11" spans="1:1" s="131" customFormat="1" ht="17.5">
      <c r="A11" s="134" t="s">
        <v>8</v>
      </c>
    </row>
    <row r="12" spans="1:1" s="135" customFormat="1" ht="15">
      <c r="A12" s="140" t="s">
        <v>9</v>
      </c>
    </row>
    <row r="13" spans="1:1" ht="37.5">
      <c r="A13" s="137" t="s">
        <v>10</v>
      </c>
    </row>
    <row r="14" spans="1:1">
      <c r="A14" s="137" t="s">
        <v>11</v>
      </c>
    </row>
    <row r="15" spans="1:1" ht="25">
      <c r="A15" s="138" t="s">
        <v>12</v>
      </c>
    </row>
    <row r="16" spans="1:1">
      <c r="A16" s="132"/>
    </row>
    <row r="17" spans="1:4" s="135" customFormat="1" ht="15">
      <c r="A17" s="140" t="s">
        <v>13</v>
      </c>
    </row>
    <row r="18" spans="1:4">
      <c r="A18" s="137" t="s">
        <v>14</v>
      </c>
      <c r="B18" s="132"/>
    </row>
    <row r="19" spans="1:4">
      <c r="A19" s="140" t="s">
        <v>15</v>
      </c>
    </row>
    <row r="20" spans="1:4">
      <c r="A20" s="137" t="s">
        <v>16</v>
      </c>
      <c r="B20" s="132"/>
    </row>
    <row r="21" spans="1:4" ht="25">
      <c r="A21" s="138" t="s">
        <v>17</v>
      </c>
    </row>
    <row r="22" spans="1:4">
      <c r="A22" s="137" t="s">
        <v>18</v>
      </c>
      <c r="B22" s="136"/>
    </row>
    <row r="23" spans="1:4">
      <c r="A23" s="137" t="s">
        <v>19</v>
      </c>
      <c r="B23" s="132"/>
    </row>
    <row r="24" spans="1:4">
      <c r="A24" s="137" t="s">
        <v>20</v>
      </c>
      <c r="B24" s="132"/>
    </row>
    <row r="25" spans="1:4">
      <c r="A25" s="137" t="s">
        <v>21</v>
      </c>
      <c r="B25" s="132"/>
      <c r="C25" s="132" t="s">
        <v>22</v>
      </c>
      <c r="D25" s="132" t="s">
        <v>22</v>
      </c>
    </row>
    <row r="26" spans="1:4">
      <c r="A26" s="137" t="s">
        <v>23</v>
      </c>
    </row>
    <row r="27" spans="1:4">
      <c r="A27" s="137" t="s">
        <v>24</v>
      </c>
      <c r="B27" s="132"/>
    </row>
    <row r="28" spans="1:4">
      <c r="A28" s="137" t="s">
        <v>25</v>
      </c>
    </row>
    <row r="29" spans="1:4">
      <c r="A29" s="137" t="s">
        <v>26</v>
      </c>
    </row>
    <row r="30" spans="1:4">
      <c r="A30" s="137" t="s">
        <v>27</v>
      </c>
      <c r="B30" s="132"/>
      <c r="C30" s="132" t="s">
        <v>22</v>
      </c>
    </row>
    <row r="31" spans="1:4">
      <c r="A31" s="140" t="s">
        <v>28</v>
      </c>
    </row>
    <row r="32" spans="1:4" ht="30" customHeight="1">
      <c r="A32" s="138" t="s">
        <v>29</v>
      </c>
    </row>
    <row r="33" spans="1:2">
      <c r="A33" s="137" t="s">
        <v>30</v>
      </c>
    </row>
    <row r="34" spans="1:2">
      <c r="A34" s="137" t="s">
        <v>31</v>
      </c>
    </row>
    <row r="35" spans="1:2">
      <c r="A35" s="137" t="s">
        <v>32</v>
      </c>
      <c r="B35" s="132"/>
    </row>
    <row r="36" spans="1:2">
      <c r="A36" s="137" t="s">
        <v>33</v>
      </c>
      <c r="B36" s="132"/>
    </row>
    <row r="37" spans="1:2">
      <c r="A37" s="140" t="s">
        <v>34</v>
      </c>
    </row>
    <row r="38" spans="1:2">
      <c r="A38" s="137" t="s">
        <v>35</v>
      </c>
    </row>
    <row r="39" spans="1:2" ht="37.5">
      <c r="A39" s="139" t="s">
        <v>36</v>
      </c>
      <c r="B39" s="132"/>
    </row>
    <row r="40" spans="1:2">
      <c r="A40" s="139"/>
      <c r="B40" s="132"/>
    </row>
    <row r="41" spans="1:2" s="135" customFormat="1" ht="15">
      <c r="A41" s="140" t="s">
        <v>37</v>
      </c>
    </row>
    <row r="42" spans="1:2">
      <c r="A42" s="137" t="s">
        <v>38</v>
      </c>
    </row>
    <row r="43" spans="1:2">
      <c r="A43" s="137" t="s">
        <v>39</v>
      </c>
    </row>
    <row r="44" spans="1:2">
      <c r="A44" s="137" t="s">
        <v>40</v>
      </c>
    </row>
    <row r="45" spans="1:2">
      <c r="A45" s="137" t="s">
        <v>41</v>
      </c>
    </row>
    <row r="46" spans="1:2">
      <c r="A46" s="137" t="s">
        <v>42</v>
      </c>
    </row>
    <row r="47" spans="1:2">
      <c r="A47" s="137" t="s">
        <v>43</v>
      </c>
    </row>
    <row r="48" spans="1:2">
      <c r="A48" s="132" t="s">
        <v>44</v>
      </c>
    </row>
    <row r="49" spans="1:1">
      <c r="A49" s="132"/>
    </row>
  </sheetData>
  <phoneticPr fontId="42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97A5-4398-41B9-988F-70D61FCDAC3D}">
  <dimension ref="A2:F26"/>
  <sheetViews>
    <sheetView topLeftCell="A2" zoomScaleNormal="100" workbookViewId="0">
      <selection activeCell="F7" sqref="F7"/>
    </sheetView>
  </sheetViews>
  <sheetFormatPr defaultColWidth="9" defaultRowHeight="12.5"/>
  <cols>
    <col min="1" max="1" width="28.1796875" style="21" customWidth="1"/>
    <col min="2" max="2" width="10" style="2" customWidth="1"/>
    <col min="3" max="3" width="14.453125" style="2" customWidth="1"/>
    <col min="4" max="4" width="8" style="2" customWidth="1"/>
    <col min="5" max="5" width="100.90625" style="2" customWidth="1"/>
    <col min="6" max="6" width="48.1796875" style="2" customWidth="1"/>
    <col min="7" max="256" width="11" style="2" customWidth="1"/>
    <col min="257" max="16384" width="9" style="2"/>
  </cols>
  <sheetData>
    <row r="2" spans="1:6" s="1" customFormat="1" ht="75.75" customHeight="1">
      <c r="A2" s="245"/>
      <c r="B2" s="283" t="s">
        <v>45</v>
      </c>
      <c r="C2" s="283"/>
      <c r="D2" s="283"/>
      <c r="E2" s="283"/>
      <c r="F2" s="283"/>
    </row>
    <row r="3" spans="1:6">
      <c r="A3" s="3"/>
      <c r="B3" s="4"/>
      <c r="E3" s="5"/>
    </row>
    <row r="4" spans="1:6" ht="14.25" customHeight="1">
      <c r="A4" s="143" t="s">
        <v>46</v>
      </c>
      <c r="B4" s="284" t="s">
        <v>47</v>
      </c>
      <c r="C4" s="284"/>
      <c r="D4" s="284"/>
      <c r="E4" s="143" t="s">
        <v>48</v>
      </c>
      <c r="F4" s="6" t="s">
        <v>49</v>
      </c>
    </row>
    <row r="5" spans="1:6" ht="14.25" customHeight="1">
      <c r="A5" s="143" t="s">
        <v>50</v>
      </c>
      <c r="B5" s="284" t="s">
        <v>51</v>
      </c>
      <c r="C5" s="284"/>
      <c r="D5" s="284"/>
      <c r="E5" s="143" t="s">
        <v>52</v>
      </c>
      <c r="F5" s="6" t="s">
        <v>53</v>
      </c>
    </row>
    <row r="6" spans="1:6" ht="15.75" customHeight="1">
      <c r="A6" s="285" t="s">
        <v>54</v>
      </c>
      <c r="B6" s="286" t="str">
        <f>B5&amp;"_"&amp;"XXX"&amp;"_"&amp;"vx.x"</f>
        <v>ERM_XXX_vx.x</v>
      </c>
      <c r="C6" s="286"/>
      <c r="D6" s="286"/>
      <c r="E6" s="143" t="s">
        <v>55</v>
      </c>
      <c r="F6" s="243">
        <v>45694</v>
      </c>
    </row>
    <row r="7" spans="1:6" ht="13.5" customHeight="1">
      <c r="A7" s="285"/>
      <c r="B7" s="286"/>
      <c r="C7" s="286"/>
      <c r="D7" s="286"/>
      <c r="E7" s="143" t="s">
        <v>56</v>
      </c>
      <c r="F7" s="244">
        <v>1.2</v>
      </c>
    </row>
    <row r="8" spans="1:6">
      <c r="A8" s="144"/>
      <c r="B8" s="7"/>
      <c r="E8" s="8"/>
      <c r="F8" s="4"/>
    </row>
    <row r="9" spans="1:6">
      <c r="A9" s="2"/>
    </row>
    <row r="10" spans="1:6">
      <c r="A10" s="145" t="s">
        <v>57</v>
      </c>
    </row>
    <row r="11" spans="1:6" s="9" customFormat="1">
      <c r="A11" s="10" t="s">
        <v>58</v>
      </c>
      <c r="B11" s="11" t="s">
        <v>56</v>
      </c>
      <c r="C11" s="11" t="s">
        <v>59</v>
      </c>
      <c r="D11" s="11" t="s">
        <v>60</v>
      </c>
      <c r="E11" s="11" t="s">
        <v>61</v>
      </c>
      <c r="F11" s="12" t="s">
        <v>62</v>
      </c>
    </row>
    <row r="12" spans="1:6" s="13" customFormat="1" ht="26.25" customHeight="1">
      <c r="A12" s="271">
        <v>45700</v>
      </c>
      <c r="B12" s="14" t="s">
        <v>63</v>
      </c>
      <c r="C12" s="15"/>
      <c r="D12" s="15" t="s">
        <v>64</v>
      </c>
      <c r="E12" s="16" t="s">
        <v>188</v>
      </c>
      <c r="F12" s="127" t="s">
        <v>257</v>
      </c>
    </row>
    <row r="13" spans="1:6" s="13" customFormat="1" ht="21.75" customHeight="1">
      <c r="A13" s="274">
        <v>45700</v>
      </c>
      <c r="B13" s="14" t="s">
        <v>255</v>
      </c>
      <c r="C13" s="15"/>
      <c r="D13" s="15" t="s">
        <v>64</v>
      </c>
      <c r="E13" s="15" t="s">
        <v>256</v>
      </c>
      <c r="F13" s="17"/>
    </row>
    <row r="14" spans="1:6" s="13" customFormat="1" ht="19.5" customHeight="1">
      <c r="A14" s="274"/>
      <c r="B14" s="14"/>
      <c r="C14" s="15"/>
      <c r="D14" s="15"/>
      <c r="E14" s="15"/>
      <c r="F14" s="17"/>
    </row>
    <row r="15" spans="1:6" s="13" customFormat="1" ht="43" customHeight="1">
      <c r="A15" s="274"/>
      <c r="B15" s="14"/>
      <c r="C15" s="15"/>
      <c r="D15" s="15"/>
      <c r="E15" s="273"/>
      <c r="F15" s="17"/>
    </row>
    <row r="16" spans="1:6" s="13" customFormat="1" ht="37" customHeight="1">
      <c r="A16" s="274"/>
      <c r="B16" s="14"/>
      <c r="C16" s="15"/>
      <c r="D16" s="15"/>
      <c r="E16" s="273"/>
      <c r="F16" s="17"/>
    </row>
    <row r="17" spans="1:6" s="13" customFormat="1" ht="21.75" customHeight="1">
      <c r="A17" s="274"/>
      <c r="B17" s="14"/>
      <c r="C17" s="15"/>
      <c r="D17" s="15"/>
      <c r="E17" s="15"/>
      <c r="F17" s="17"/>
    </row>
    <row r="18" spans="1:6" s="13" customFormat="1" ht="21.75" customHeight="1">
      <c r="A18" s="276"/>
      <c r="B18" s="18"/>
      <c r="C18" s="19"/>
      <c r="D18" s="19"/>
      <c r="E18" s="19"/>
      <c r="F18" s="282"/>
    </row>
    <row r="19" spans="1:6" s="13" customFormat="1" ht="21.75" customHeight="1">
      <c r="A19" s="276"/>
      <c r="B19" s="280"/>
      <c r="C19" s="281"/>
      <c r="D19" s="281"/>
      <c r="E19" s="281"/>
      <c r="F19" s="282"/>
    </row>
    <row r="20" spans="1:6" s="13" customFormat="1" ht="21.75" customHeight="1">
      <c r="A20" s="279"/>
      <c r="B20" s="280"/>
      <c r="C20" s="281"/>
      <c r="D20" s="281"/>
      <c r="E20" s="281"/>
      <c r="F20" s="282"/>
    </row>
    <row r="21" spans="1:6" s="13" customFormat="1" ht="21.75" customHeight="1">
      <c r="A21" s="279"/>
      <c r="B21" s="280"/>
      <c r="C21" s="281"/>
      <c r="D21" s="281"/>
      <c r="E21" s="281"/>
      <c r="F21" s="282"/>
    </row>
    <row r="22" spans="1:6" s="13" customFormat="1" ht="21.75" customHeight="1">
      <c r="A22" s="279"/>
      <c r="B22" s="280"/>
      <c r="C22" s="281"/>
      <c r="D22" s="281"/>
      <c r="E22" s="281"/>
      <c r="F22" s="282"/>
    </row>
    <row r="23" spans="1:6" s="13" customFormat="1" ht="21.75" customHeight="1">
      <c r="A23" s="279"/>
      <c r="B23" s="280"/>
      <c r="C23" s="281"/>
      <c r="D23" s="281"/>
      <c r="E23" s="281"/>
      <c r="F23" s="282"/>
    </row>
    <row r="24" spans="1:6" s="13" customFormat="1" ht="21.75" customHeight="1">
      <c r="A24" s="279"/>
      <c r="B24" s="280"/>
      <c r="C24" s="281"/>
      <c r="D24" s="281"/>
      <c r="E24" s="281"/>
      <c r="F24" s="282"/>
    </row>
    <row r="25" spans="1:6" s="13" customFormat="1" ht="21.75" customHeight="1">
      <c r="A25" s="279"/>
      <c r="B25" s="280"/>
      <c r="C25" s="281"/>
      <c r="D25" s="281"/>
      <c r="E25" s="281"/>
      <c r="F25" s="282"/>
    </row>
    <row r="26" spans="1:6" s="13" customFormat="1" ht="19.5" customHeight="1">
      <c r="A26" s="276"/>
      <c r="B26" s="18"/>
      <c r="C26" s="19"/>
      <c r="D26" s="19"/>
      <c r="E26" s="19"/>
      <c r="F26" s="20"/>
    </row>
  </sheetData>
  <mergeCells count="5">
    <mergeCell ref="B2:F2"/>
    <mergeCell ref="B4:D4"/>
    <mergeCell ref="B5:D5"/>
    <mergeCell ref="A6:A7"/>
    <mergeCell ref="B6:D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441F-0E8A-43BC-BFE0-D490ED4B0FDA}">
  <dimension ref="A1:H105"/>
  <sheetViews>
    <sheetView zoomScaleNormal="100" workbookViewId="0">
      <selection activeCell="E27" sqref="E27"/>
    </sheetView>
  </sheetViews>
  <sheetFormatPr defaultColWidth="9" defaultRowHeight="12.5"/>
  <cols>
    <col min="1" max="1" width="7.1796875" style="48" customWidth="1"/>
    <col min="2" max="2" width="22.81640625" style="48" customWidth="1"/>
    <col min="3" max="3" width="19.36328125" style="48" customWidth="1"/>
    <col min="4" max="4" width="30.81640625" style="22" customWidth="1"/>
    <col min="5" max="5" width="24.90625" style="23" customWidth="1"/>
    <col min="6" max="6" width="31.81640625" style="22" customWidth="1"/>
    <col min="7" max="7" width="30.6328125" style="22" customWidth="1"/>
    <col min="8" max="8" width="33.81640625" style="22" customWidth="1"/>
    <col min="9" max="256" width="11" style="5" customWidth="1"/>
    <col min="257" max="16384" width="9" style="5"/>
  </cols>
  <sheetData>
    <row r="1" spans="1:8">
      <c r="A1" s="255"/>
      <c r="B1" s="255"/>
      <c r="C1" s="255"/>
      <c r="D1" s="250"/>
      <c r="E1" s="253"/>
      <c r="F1" s="250"/>
      <c r="G1" s="250"/>
      <c r="H1" s="250"/>
    </row>
    <row r="2" spans="1:8" ht="24.5">
      <c r="A2" s="249"/>
      <c r="B2" s="249"/>
      <c r="C2" s="249"/>
      <c r="D2" s="250"/>
      <c r="E2" s="251" t="s">
        <v>65</v>
      </c>
      <c r="F2" s="251"/>
      <c r="G2" s="252"/>
      <c r="H2" s="250"/>
    </row>
    <row r="3" spans="1:8" ht="13.5" customHeight="1">
      <c r="A3" s="249"/>
      <c r="B3" s="249"/>
      <c r="C3" s="249"/>
      <c r="D3" s="250"/>
      <c r="E3" s="253"/>
      <c r="F3" s="254"/>
      <c r="G3" s="254"/>
      <c r="H3" s="250"/>
    </row>
    <row r="4" spans="1:8" ht="14.25" customHeight="1">
      <c r="A4" s="288" t="s">
        <v>46</v>
      </c>
      <c r="B4" s="288"/>
      <c r="C4" s="288"/>
      <c r="D4" s="288"/>
      <c r="E4" s="289" t="s">
        <v>47</v>
      </c>
      <c r="F4" s="290"/>
      <c r="G4" s="290"/>
      <c r="H4" s="291"/>
    </row>
    <row r="5" spans="1:8" ht="14.25" customHeight="1">
      <c r="A5" s="288" t="s">
        <v>50</v>
      </c>
      <c r="B5" s="288"/>
      <c r="C5" s="288"/>
      <c r="D5" s="288"/>
      <c r="E5" s="289" t="s">
        <v>51</v>
      </c>
      <c r="F5" s="290"/>
      <c r="G5" s="290"/>
      <c r="H5" s="291"/>
    </row>
    <row r="6" spans="1:8" ht="14.25" customHeight="1">
      <c r="A6" s="295" t="s">
        <v>66</v>
      </c>
      <c r="B6" s="296"/>
      <c r="C6" s="296"/>
      <c r="D6" s="297"/>
      <c r="E6" s="246">
        <v>300</v>
      </c>
      <c r="F6" s="247"/>
      <c r="G6" s="247"/>
      <c r="H6" s="248"/>
    </row>
    <row r="7" spans="1:8" s="24" customFormat="1" ht="12.75" customHeight="1">
      <c r="A7" s="287" t="s">
        <v>67</v>
      </c>
      <c r="B7" s="287"/>
      <c r="C7" s="287"/>
      <c r="D7" s="287"/>
      <c r="E7" s="292" t="s">
        <v>68</v>
      </c>
      <c r="F7" s="293"/>
      <c r="G7" s="293"/>
      <c r="H7" s="294"/>
    </row>
    <row r="8" spans="1:8" ht="12.75" customHeight="1">
      <c r="A8" s="25"/>
      <c r="B8" s="25"/>
      <c r="C8" s="25"/>
      <c r="D8" s="5"/>
      <c r="E8" s="24"/>
      <c r="F8" s="5"/>
      <c r="G8" s="5"/>
      <c r="H8" s="5"/>
    </row>
    <row r="9" spans="1:8" s="29" customFormat="1" ht="12.75" customHeight="1">
      <c r="A9" s="26"/>
      <c r="B9" s="26"/>
      <c r="C9" s="26"/>
      <c r="D9" s="27"/>
      <c r="E9" s="28"/>
      <c r="F9" s="27"/>
      <c r="G9" s="27"/>
      <c r="H9" s="27"/>
    </row>
    <row r="10" spans="1:8" s="37" customFormat="1" ht="24" customHeight="1">
      <c r="A10" s="30" t="s">
        <v>69</v>
      </c>
      <c r="B10" s="31" t="s">
        <v>70</v>
      </c>
      <c r="C10" s="32" t="s">
        <v>71</v>
      </c>
      <c r="D10" s="33" t="s">
        <v>72</v>
      </c>
      <c r="E10" s="34" t="s">
        <v>73</v>
      </c>
      <c r="F10" s="33" t="s">
        <v>74</v>
      </c>
      <c r="G10" s="35" t="s">
        <v>75</v>
      </c>
      <c r="H10" s="36" t="s">
        <v>76</v>
      </c>
    </row>
    <row r="11" spans="1:8" ht="13">
      <c r="A11" s="128">
        <v>1</v>
      </c>
      <c r="B11" s="38"/>
      <c r="C11" s="38" t="s">
        <v>146</v>
      </c>
      <c r="D11" s="39" t="s">
        <v>77</v>
      </c>
      <c r="E11" s="40" t="s">
        <v>142</v>
      </c>
      <c r="F11" s="256" t="s">
        <v>77</v>
      </c>
      <c r="G11" s="237" t="s">
        <v>132</v>
      </c>
      <c r="H11" s="41" t="s">
        <v>136</v>
      </c>
    </row>
    <row r="12" spans="1:8" ht="13">
      <c r="A12" s="128">
        <v>2</v>
      </c>
      <c r="B12" s="38"/>
      <c r="C12" s="38" t="s">
        <v>146</v>
      </c>
      <c r="D12" s="39" t="s">
        <v>78</v>
      </c>
      <c r="E12" s="40" t="s">
        <v>143</v>
      </c>
      <c r="F12" s="257" t="s">
        <v>78</v>
      </c>
      <c r="G12" s="237" t="s">
        <v>133</v>
      </c>
      <c r="H12" s="41" t="s">
        <v>136</v>
      </c>
    </row>
    <row r="13" spans="1:8" ht="13">
      <c r="A13" s="128">
        <v>3</v>
      </c>
      <c r="B13" s="38"/>
      <c r="C13" s="38" t="s">
        <v>146</v>
      </c>
      <c r="D13" s="39" t="s">
        <v>79</v>
      </c>
      <c r="E13" s="40" t="s">
        <v>144</v>
      </c>
      <c r="F13" s="256" t="s">
        <v>79</v>
      </c>
      <c r="G13" s="237" t="s">
        <v>134</v>
      </c>
      <c r="H13" s="41" t="s">
        <v>136</v>
      </c>
    </row>
    <row r="14" spans="1:8" ht="13">
      <c r="A14" s="128">
        <v>4</v>
      </c>
      <c r="B14" s="38"/>
      <c r="C14" s="38" t="s">
        <v>146</v>
      </c>
      <c r="D14" s="39" t="s">
        <v>80</v>
      </c>
      <c r="E14" s="40" t="s">
        <v>145</v>
      </c>
      <c r="F14" s="256" t="s">
        <v>80</v>
      </c>
      <c r="G14" s="237" t="s">
        <v>135</v>
      </c>
      <c r="H14" s="41" t="s">
        <v>136</v>
      </c>
    </row>
    <row r="15" spans="1:8" ht="13">
      <c r="A15" s="128">
        <v>5</v>
      </c>
      <c r="B15" s="38"/>
      <c r="C15" s="38" t="s">
        <v>146</v>
      </c>
      <c r="D15" s="39" t="s">
        <v>177</v>
      </c>
      <c r="E15" s="40" t="s">
        <v>178</v>
      </c>
      <c r="F15" s="256" t="s">
        <v>177</v>
      </c>
      <c r="G15" s="259" t="s">
        <v>177</v>
      </c>
      <c r="H15" s="41" t="s">
        <v>136</v>
      </c>
    </row>
    <row r="16" spans="1:8" ht="13">
      <c r="A16" s="128">
        <v>6</v>
      </c>
      <c r="B16" s="38"/>
      <c r="C16" s="38" t="s">
        <v>189</v>
      </c>
      <c r="D16" s="39" t="s">
        <v>190</v>
      </c>
      <c r="E16" s="40" t="s">
        <v>194</v>
      </c>
      <c r="F16" s="258" t="s">
        <v>198</v>
      </c>
      <c r="G16" s="42" t="s">
        <v>198</v>
      </c>
      <c r="H16" s="41" t="s">
        <v>136</v>
      </c>
    </row>
    <row r="17" spans="1:8" ht="13">
      <c r="A17" s="128">
        <v>7</v>
      </c>
      <c r="B17" s="38"/>
      <c r="C17" s="38" t="s">
        <v>189</v>
      </c>
      <c r="D17" s="39" t="s">
        <v>191</v>
      </c>
      <c r="E17" s="40" t="s">
        <v>195</v>
      </c>
      <c r="F17" s="258" t="s">
        <v>191</v>
      </c>
      <c r="G17" s="42" t="s">
        <v>191</v>
      </c>
      <c r="H17" s="41" t="s">
        <v>136</v>
      </c>
    </row>
    <row r="18" spans="1:8" ht="13">
      <c r="A18" s="128">
        <v>8</v>
      </c>
      <c r="B18" s="38"/>
      <c r="C18" s="38" t="s">
        <v>189</v>
      </c>
      <c r="D18" s="39" t="s">
        <v>193</v>
      </c>
      <c r="E18" s="40" t="s">
        <v>196</v>
      </c>
      <c r="F18" s="258" t="s">
        <v>193</v>
      </c>
      <c r="G18" s="42" t="s">
        <v>199</v>
      </c>
      <c r="H18" s="41" t="s">
        <v>136</v>
      </c>
    </row>
    <row r="19" spans="1:8" ht="13">
      <c r="A19" s="128">
        <v>9</v>
      </c>
      <c r="B19" s="38"/>
      <c r="C19" s="38" t="s">
        <v>189</v>
      </c>
      <c r="D19" s="39" t="s">
        <v>192</v>
      </c>
      <c r="E19" s="40" t="s">
        <v>197</v>
      </c>
      <c r="F19" s="258" t="s">
        <v>192</v>
      </c>
      <c r="G19" s="42" t="s">
        <v>200</v>
      </c>
      <c r="H19" s="41" t="s">
        <v>136</v>
      </c>
    </row>
    <row r="20" spans="1:8" ht="13">
      <c r="A20" s="128">
        <v>10</v>
      </c>
      <c r="B20" s="38"/>
      <c r="C20" s="38"/>
      <c r="D20" s="39"/>
      <c r="E20" s="40"/>
      <c r="F20" s="258"/>
      <c r="G20" s="42"/>
      <c r="H20" s="41"/>
    </row>
    <row r="21" spans="1:8" ht="13">
      <c r="A21" s="128">
        <v>11</v>
      </c>
      <c r="B21" s="38"/>
      <c r="C21" s="38"/>
      <c r="D21" s="39"/>
      <c r="E21" s="40"/>
      <c r="F21" s="258"/>
      <c r="G21" s="42"/>
      <c r="H21" s="41"/>
    </row>
    <row r="22" spans="1:8" ht="13">
      <c r="A22" s="128">
        <v>12</v>
      </c>
      <c r="B22" s="38"/>
      <c r="C22" s="38"/>
      <c r="D22" s="39"/>
      <c r="E22" s="40"/>
      <c r="F22" s="269"/>
      <c r="G22" s="42"/>
      <c r="H22" s="41"/>
    </row>
    <row r="23" spans="1:8" ht="13">
      <c r="A23" s="128">
        <v>13</v>
      </c>
      <c r="B23" s="43"/>
      <c r="C23" s="38"/>
      <c r="D23" s="44"/>
      <c r="E23" s="40"/>
      <c r="F23" s="270"/>
      <c r="G23" s="46"/>
      <c r="H23" s="41"/>
    </row>
    <row r="24" spans="1:8" ht="13">
      <c r="A24" s="128">
        <v>14</v>
      </c>
      <c r="B24" s="43"/>
      <c r="C24" s="38"/>
      <c r="D24" s="44"/>
      <c r="E24" s="40"/>
      <c r="F24" s="270"/>
      <c r="G24" s="46"/>
      <c r="H24" s="41"/>
    </row>
    <row r="25" spans="1:8" ht="13">
      <c r="A25" s="128">
        <v>15</v>
      </c>
      <c r="B25" s="43"/>
      <c r="C25" s="38"/>
      <c r="D25" s="44"/>
      <c r="E25" s="40"/>
      <c r="F25" s="270"/>
      <c r="G25" s="46"/>
      <c r="H25" s="41"/>
    </row>
    <row r="26" spans="1:8" ht="13">
      <c r="A26" s="128">
        <v>16</v>
      </c>
      <c r="B26" s="43"/>
      <c r="C26" s="43"/>
      <c r="D26" s="44"/>
      <c r="E26" s="45"/>
      <c r="F26" s="270"/>
      <c r="G26" s="44"/>
      <c r="H26" s="41"/>
    </row>
    <row r="27" spans="1:8" ht="13">
      <c r="A27" s="128">
        <v>17</v>
      </c>
      <c r="B27" s="43"/>
      <c r="C27" s="43"/>
      <c r="D27" s="44"/>
      <c r="E27" s="45"/>
      <c r="F27" s="270"/>
      <c r="G27" s="44"/>
      <c r="H27" s="41"/>
    </row>
    <row r="28" spans="1:8" ht="13">
      <c r="A28" s="128">
        <v>18</v>
      </c>
      <c r="B28" s="43"/>
      <c r="C28" s="43"/>
      <c r="D28" s="44"/>
      <c r="E28" s="45"/>
      <c r="F28" s="270"/>
      <c r="G28" s="44"/>
      <c r="H28" s="41"/>
    </row>
    <row r="29" spans="1:8" ht="13">
      <c r="A29" s="128">
        <v>19</v>
      </c>
      <c r="B29" s="43"/>
      <c r="C29" s="43"/>
      <c r="D29" s="44"/>
      <c r="E29" s="45"/>
      <c r="F29" s="270"/>
      <c r="G29" s="44"/>
      <c r="H29" s="41"/>
    </row>
    <row r="30" spans="1:8" ht="13">
      <c r="A30" s="128">
        <v>20</v>
      </c>
      <c r="B30" s="43"/>
      <c r="C30" s="43"/>
      <c r="D30" s="44"/>
      <c r="E30" s="45"/>
      <c r="F30" s="270"/>
      <c r="G30" s="44"/>
      <c r="H30" s="41"/>
    </row>
    <row r="31" spans="1:8" ht="13">
      <c r="A31" s="128">
        <v>21</v>
      </c>
      <c r="B31" s="43"/>
      <c r="C31" s="43"/>
      <c r="D31" s="44"/>
      <c r="E31" s="45"/>
      <c r="F31" s="270"/>
      <c r="G31" s="44"/>
      <c r="H31" s="41"/>
    </row>
    <row r="32" spans="1:8" ht="13">
      <c r="A32" s="128">
        <v>22</v>
      </c>
      <c r="B32" s="43"/>
      <c r="C32" s="43"/>
      <c r="D32" s="44"/>
      <c r="E32" s="45"/>
      <c r="F32" s="270"/>
      <c r="G32" s="44"/>
      <c r="H32" s="41"/>
    </row>
    <row r="33" spans="1:8" ht="13">
      <c r="A33" s="128">
        <v>23</v>
      </c>
      <c r="B33" s="43"/>
      <c r="C33" s="43"/>
      <c r="D33" s="44"/>
      <c r="E33" s="45"/>
      <c r="F33" s="270"/>
      <c r="G33" s="44"/>
      <c r="H33" s="41"/>
    </row>
    <row r="34" spans="1:8" ht="13">
      <c r="A34" s="128">
        <v>24</v>
      </c>
      <c r="B34" s="43"/>
      <c r="C34" s="43"/>
      <c r="D34" s="44"/>
      <c r="E34" s="45"/>
      <c r="F34" s="270"/>
      <c r="G34" s="44"/>
      <c r="H34" s="41"/>
    </row>
    <row r="35" spans="1:8" ht="13">
      <c r="A35" s="128">
        <v>25</v>
      </c>
      <c r="B35" s="43"/>
      <c r="C35" s="43"/>
      <c r="D35" s="44"/>
      <c r="E35" s="45"/>
      <c r="F35" s="270"/>
      <c r="G35" s="44"/>
      <c r="H35" s="41"/>
    </row>
    <row r="36" spans="1:8" ht="13">
      <c r="A36" s="128">
        <v>26</v>
      </c>
      <c r="B36" s="43"/>
      <c r="C36" s="43"/>
      <c r="D36" s="44"/>
      <c r="E36" s="45"/>
      <c r="F36" s="270"/>
      <c r="G36" s="44"/>
      <c r="H36" s="41"/>
    </row>
    <row r="37" spans="1:8" ht="13">
      <c r="A37" s="128">
        <v>27</v>
      </c>
      <c r="B37" s="43"/>
      <c r="C37" s="43"/>
      <c r="D37" s="44"/>
      <c r="E37" s="45"/>
      <c r="F37" s="270"/>
      <c r="G37" s="44"/>
      <c r="H37" s="41"/>
    </row>
    <row r="38" spans="1:8" ht="13">
      <c r="A38" s="128">
        <v>28</v>
      </c>
      <c r="B38" s="43"/>
      <c r="C38" s="43"/>
      <c r="D38" s="44"/>
      <c r="E38" s="45"/>
      <c r="F38" s="270"/>
      <c r="G38" s="44"/>
      <c r="H38" s="41"/>
    </row>
    <row r="39" spans="1:8" ht="13">
      <c r="A39" s="128">
        <v>30</v>
      </c>
      <c r="B39" s="43"/>
      <c r="C39" s="43"/>
      <c r="D39" s="44"/>
      <c r="E39" s="45"/>
      <c r="F39" s="270"/>
      <c r="G39" s="44"/>
      <c r="H39" s="41"/>
    </row>
    <row r="40" spans="1:8" ht="13">
      <c r="A40" s="128">
        <v>31</v>
      </c>
      <c r="B40" s="43"/>
      <c r="C40" s="43"/>
      <c r="D40" s="44"/>
      <c r="E40" s="45"/>
      <c r="F40" s="270"/>
      <c r="G40" s="44"/>
      <c r="H40" s="41"/>
    </row>
    <row r="41" spans="1:8" ht="13">
      <c r="A41" s="128">
        <v>32</v>
      </c>
      <c r="B41" s="43"/>
      <c r="C41" s="43"/>
      <c r="D41" s="44"/>
      <c r="E41" s="45"/>
      <c r="F41" s="275"/>
      <c r="G41" s="46"/>
      <c r="H41" s="41"/>
    </row>
    <row r="42" spans="1:8" ht="13">
      <c r="A42" s="128">
        <v>33</v>
      </c>
      <c r="B42" s="43"/>
      <c r="C42" s="43"/>
      <c r="D42" s="44"/>
      <c r="E42" s="45"/>
      <c r="F42" s="270"/>
      <c r="G42" s="46"/>
      <c r="H42" s="41"/>
    </row>
    <row r="43" spans="1:8" ht="13">
      <c r="A43" s="128">
        <v>34</v>
      </c>
      <c r="B43" s="43"/>
      <c r="C43" s="43"/>
      <c r="D43" s="44"/>
      <c r="E43" s="45"/>
      <c r="F43" s="270"/>
      <c r="G43" s="44"/>
      <c r="H43" s="41"/>
    </row>
    <row r="44" spans="1:8" ht="13">
      <c r="A44" s="128">
        <v>35</v>
      </c>
      <c r="B44" s="43"/>
      <c r="C44" s="43"/>
      <c r="D44" s="44"/>
      <c r="E44" s="45"/>
      <c r="F44" s="270"/>
      <c r="G44" s="44"/>
      <c r="H44" s="41"/>
    </row>
    <row r="45" spans="1:8" ht="13">
      <c r="A45" s="128">
        <v>36</v>
      </c>
      <c r="B45" s="43"/>
      <c r="C45" s="43"/>
      <c r="D45" s="44"/>
      <c r="E45" s="45"/>
      <c r="F45" s="270"/>
      <c r="G45" s="44"/>
      <c r="H45" s="41"/>
    </row>
    <row r="46" spans="1:8" ht="13">
      <c r="A46" s="128">
        <v>37</v>
      </c>
      <c r="B46" s="43"/>
      <c r="C46" s="43"/>
      <c r="D46" s="44"/>
      <c r="E46" s="45"/>
      <c r="F46" s="270"/>
      <c r="G46" s="44"/>
      <c r="H46" s="41"/>
    </row>
    <row r="47" spans="1:8" ht="13">
      <c r="A47" s="128">
        <v>38</v>
      </c>
      <c r="B47" s="43"/>
      <c r="C47" s="43"/>
      <c r="D47" s="44"/>
      <c r="E47" s="45"/>
      <c r="F47" s="275"/>
      <c r="G47" s="46"/>
      <c r="H47" s="41"/>
    </row>
    <row r="48" spans="1:8" ht="13">
      <c r="A48" s="128">
        <v>39</v>
      </c>
      <c r="B48" s="43"/>
      <c r="C48" s="43"/>
      <c r="D48" s="44"/>
      <c r="E48" s="45"/>
      <c r="F48" s="275"/>
      <c r="G48" s="46"/>
      <c r="H48" s="41"/>
    </row>
    <row r="49" spans="1:8" ht="13">
      <c r="A49" s="128">
        <v>40</v>
      </c>
      <c r="B49" s="43"/>
      <c r="C49" s="43"/>
      <c r="D49" s="44"/>
      <c r="E49" s="45"/>
      <c r="F49" s="275"/>
      <c r="G49" s="46"/>
      <c r="H49" s="41"/>
    </row>
    <row r="50" spans="1:8" ht="13">
      <c r="A50" s="128">
        <v>41</v>
      </c>
      <c r="B50" s="43"/>
      <c r="C50" s="43"/>
      <c r="D50" s="44"/>
      <c r="E50" s="45"/>
      <c r="F50" s="270"/>
      <c r="G50" s="44"/>
      <c r="H50" s="41"/>
    </row>
    <row r="51" spans="1:8" ht="13">
      <c r="A51" s="128">
        <v>42</v>
      </c>
      <c r="B51" s="43"/>
      <c r="C51" s="43"/>
      <c r="D51" s="44"/>
      <c r="E51" s="45"/>
      <c r="F51" s="270"/>
      <c r="G51" s="44"/>
      <c r="H51" s="41"/>
    </row>
    <row r="52" spans="1:8" ht="13">
      <c r="A52" s="128">
        <v>43</v>
      </c>
      <c r="B52" s="43"/>
      <c r="C52" s="43"/>
      <c r="D52" s="44"/>
      <c r="E52" s="45"/>
      <c r="F52" s="270"/>
      <c r="G52" s="44"/>
      <c r="H52" s="41"/>
    </row>
    <row r="53" spans="1:8" ht="13">
      <c r="A53" s="128">
        <v>44</v>
      </c>
      <c r="B53" s="43"/>
      <c r="C53" s="43"/>
      <c r="D53" s="44"/>
      <c r="E53" s="45"/>
      <c r="F53" s="270"/>
      <c r="G53" s="44"/>
      <c r="H53" s="41"/>
    </row>
    <row r="54" spans="1:8" ht="13">
      <c r="A54" s="128">
        <v>45</v>
      </c>
      <c r="B54" s="43"/>
      <c r="C54" s="43"/>
      <c r="D54" s="44"/>
      <c r="E54" s="45"/>
      <c r="F54" s="270"/>
      <c r="G54" s="44"/>
      <c r="H54" s="41"/>
    </row>
    <row r="55" spans="1:8" ht="13">
      <c r="A55" s="128">
        <v>46</v>
      </c>
      <c r="B55" s="43"/>
      <c r="C55" s="43"/>
      <c r="D55" s="44"/>
      <c r="E55" s="45"/>
      <c r="F55" s="270"/>
      <c r="G55" s="46"/>
      <c r="H55" s="41"/>
    </row>
    <row r="56" spans="1:8" ht="13">
      <c r="A56" s="128">
        <v>47</v>
      </c>
      <c r="B56" s="43"/>
      <c r="C56" s="43"/>
      <c r="D56" s="44"/>
      <c r="E56" s="45"/>
      <c r="F56" s="270"/>
      <c r="G56" s="46"/>
      <c r="H56" s="41"/>
    </row>
    <row r="57" spans="1:8" ht="13">
      <c r="A57" s="128">
        <v>48</v>
      </c>
      <c r="B57" s="43"/>
      <c r="C57" s="43"/>
      <c r="D57" s="44"/>
      <c r="E57" s="45"/>
      <c r="F57" s="270"/>
      <c r="G57" s="44"/>
      <c r="H57" s="41"/>
    </row>
    <row r="58" spans="1:8" ht="13">
      <c r="A58" s="128">
        <v>49</v>
      </c>
      <c r="B58" s="43"/>
      <c r="C58" s="43"/>
      <c r="D58" s="44"/>
      <c r="E58" s="45"/>
      <c r="F58" s="270"/>
      <c r="G58" s="44"/>
      <c r="H58" s="41"/>
    </row>
    <row r="59" spans="1:8" ht="13">
      <c r="A59" s="128">
        <v>50</v>
      </c>
      <c r="B59" s="43"/>
      <c r="C59" s="43"/>
      <c r="D59" s="44"/>
      <c r="E59" s="45"/>
      <c r="F59" s="270"/>
      <c r="G59" s="46"/>
      <c r="H59" s="41"/>
    </row>
    <row r="60" spans="1:8">
      <c r="A60" s="128">
        <v>51</v>
      </c>
      <c r="B60" s="43"/>
      <c r="C60" s="43"/>
      <c r="D60" s="44"/>
      <c r="E60" s="45"/>
      <c r="F60" s="46"/>
      <c r="G60" s="46"/>
      <c r="H60" s="47"/>
    </row>
    <row r="61" spans="1:8">
      <c r="A61" s="128">
        <v>52</v>
      </c>
      <c r="B61" s="43"/>
      <c r="C61" s="43"/>
      <c r="D61" s="44"/>
      <c r="E61" s="45"/>
      <c r="F61" s="46"/>
      <c r="G61" s="46"/>
      <c r="H61" s="47"/>
    </row>
    <row r="62" spans="1:8">
      <c r="A62" s="128">
        <v>53</v>
      </c>
      <c r="B62" s="43"/>
      <c r="C62" s="43"/>
      <c r="D62" s="44"/>
      <c r="E62" s="45"/>
      <c r="F62" s="46"/>
      <c r="G62" s="46"/>
      <c r="H62" s="47"/>
    </row>
    <row r="63" spans="1:8">
      <c r="A63" s="128">
        <v>54</v>
      </c>
      <c r="B63" s="43"/>
      <c r="C63" s="43"/>
      <c r="D63" s="44"/>
      <c r="E63" s="45"/>
      <c r="F63" s="46"/>
      <c r="G63" s="46"/>
      <c r="H63" s="47"/>
    </row>
    <row r="64" spans="1:8">
      <c r="A64" s="128">
        <v>55</v>
      </c>
      <c r="B64" s="43"/>
      <c r="C64" s="43"/>
      <c r="D64" s="44"/>
      <c r="E64" s="45"/>
      <c r="F64" s="46"/>
      <c r="G64" s="46"/>
      <c r="H64" s="47"/>
    </row>
    <row r="65" spans="1:8">
      <c r="A65" s="128">
        <v>56</v>
      </c>
      <c r="B65" s="43"/>
      <c r="C65" s="43"/>
      <c r="D65" s="44"/>
      <c r="E65" s="45"/>
      <c r="F65" s="46"/>
      <c r="G65" s="46"/>
      <c r="H65" s="47"/>
    </row>
    <row r="66" spans="1:8">
      <c r="A66" s="128">
        <v>57</v>
      </c>
      <c r="B66" s="43"/>
      <c r="C66" s="43"/>
      <c r="D66" s="44"/>
      <c r="E66" s="45"/>
      <c r="F66" s="46"/>
      <c r="G66" s="46"/>
      <c r="H66" s="47"/>
    </row>
    <row r="67" spans="1:8">
      <c r="A67" s="128">
        <v>58</v>
      </c>
      <c r="B67" s="43"/>
      <c r="C67" s="43"/>
      <c r="D67" s="44"/>
      <c r="E67" s="45"/>
      <c r="F67" s="46"/>
      <c r="G67" s="46"/>
      <c r="H67" s="47"/>
    </row>
    <row r="68" spans="1:8">
      <c r="A68" s="128">
        <v>59</v>
      </c>
      <c r="B68" s="43"/>
      <c r="C68" s="43"/>
      <c r="D68" s="44"/>
      <c r="E68" s="45"/>
      <c r="F68" s="46"/>
      <c r="G68" s="46"/>
      <c r="H68" s="47"/>
    </row>
    <row r="69" spans="1:8">
      <c r="A69" s="128">
        <v>60</v>
      </c>
      <c r="B69" s="43"/>
      <c r="C69" s="43"/>
      <c r="D69" s="44"/>
      <c r="E69" s="45"/>
      <c r="F69" s="46"/>
      <c r="G69" s="46"/>
      <c r="H69" s="47"/>
    </row>
    <row r="70" spans="1:8">
      <c r="A70" s="128">
        <v>61</v>
      </c>
      <c r="B70" s="43"/>
      <c r="C70" s="43"/>
      <c r="D70" s="44"/>
      <c r="E70" s="45"/>
      <c r="F70" s="46"/>
      <c r="G70" s="46"/>
      <c r="H70" s="47"/>
    </row>
    <row r="71" spans="1:8">
      <c r="A71" s="128">
        <v>62</v>
      </c>
      <c r="B71" s="43"/>
      <c r="C71" s="43"/>
      <c r="D71" s="44"/>
      <c r="E71" s="45"/>
      <c r="F71" s="46"/>
      <c r="G71" s="46"/>
      <c r="H71" s="47"/>
    </row>
    <row r="72" spans="1:8">
      <c r="A72" s="128">
        <v>63</v>
      </c>
      <c r="B72" s="43"/>
      <c r="C72" s="43"/>
      <c r="D72" s="44"/>
      <c r="E72" s="45"/>
      <c r="F72" s="46"/>
      <c r="G72" s="46"/>
      <c r="H72" s="47"/>
    </row>
    <row r="73" spans="1:8">
      <c r="A73" s="128">
        <v>64</v>
      </c>
      <c r="B73" s="43"/>
      <c r="C73" s="43"/>
      <c r="D73" s="44"/>
      <c r="E73" s="45"/>
      <c r="F73" s="46"/>
      <c r="G73" s="46"/>
      <c r="H73" s="47"/>
    </row>
    <row r="74" spans="1:8">
      <c r="A74" s="128"/>
      <c r="B74" s="43"/>
      <c r="C74" s="43"/>
      <c r="D74" s="44"/>
      <c r="E74" s="45"/>
      <c r="F74" s="46"/>
      <c r="G74" s="46"/>
      <c r="H74" s="47"/>
    </row>
    <row r="75" spans="1:8">
      <c r="A75" s="128"/>
      <c r="B75" s="43"/>
      <c r="C75" s="43"/>
      <c r="D75" s="44"/>
      <c r="E75" s="45"/>
      <c r="F75" s="46"/>
      <c r="G75" s="46"/>
      <c r="H75" s="47"/>
    </row>
    <row r="76" spans="1:8">
      <c r="A76" s="128"/>
      <c r="B76" s="43"/>
      <c r="C76" s="43"/>
      <c r="D76" s="44"/>
      <c r="E76" s="45"/>
      <c r="F76" s="46"/>
      <c r="G76" s="46"/>
      <c r="H76" s="47"/>
    </row>
    <row r="77" spans="1:8">
      <c r="A77" s="128"/>
      <c r="B77" s="43"/>
      <c r="C77" s="43"/>
      <c r="D77" s="44"/>
      <c r="E77" s="45"/>
      <c r="F77" s="46"/>
      <c r="G77" s="46"/>
      <c r="H77" s="47"/>
    </row>
    <row r="78" spans="1:8">
      <c r="A78" s="128"/>
      <c r="B78" s="43"/>
      <c r="C78" s="43"/>
      <c r="D78" s="44"/>
      <c r="E78" s="45"/>
      <c r="F78" s="46"/>
      <c r="G78" s="46"/>
      <c r="H78" s="47"/>
    </row>
    <row r="79" spans="1:8">
      <c r="A79" s="128"/>
      <c r="B79" s="43"/>
      <c r="C79" s="43"/>
      <c r="D79" s="44"/>
      <c r="E79" s="45"/>
      <c r="F79" s="46"/>
      <c r="G79" s="46"/>
      <c r="H79" s="47"/>
    </row>
    <row r="80" spans="1:8">
      <c r="A80" s="128"/>
      <c r="B80" s="43"/>
      <c r="C80" s="43"/>
      <c r="D80" s="44"/>
      <c r="E80" s="45"/>
      <c r="F80" s="46"/>
      <c r="G80" s="46"/>
      <c r="H80" s="47"/>
    </row>
    <row r="81" spans="1:8">
      <c r="A81" s="128"/>
      <c r="B81" s="43"/>
      <c r="C81" s="43"/>
      <c r="D81" s="44"/>
      <c r="E81" s="45"/>
      <c r="F81" s="46"/>
      <c r="G81" s="46"/>
      <c r="H81" s="47"/>
    </row>
    <row r="82" spans="1:8">
      <c r="A82" s="128"/>
      <c r="B82" s="43"/>
      <c r="C82" s="43"/>
      <c r="D82" s="44"/>
      <c r="E82" s="45"/>
      <c r="F82" s="46"/>
      <c r="G82" s="46"/>
      <c r="H82" s="47"/>
    </row>
    <row r="83" spans="1:8">
      <c r="A83" s="128"/>
      <c r="B83" s="43"/>
      <c r="C83" s="43"/>
      <c r="D83" s="44"/>
      <c r="E83" s="45"/>
      <c r="F83" s="46"/>
      <c r="G83" s="46"/>
      <c r="H83" s="47"/>
    </row>
    <row r="84" spans="1:8">
      <c r="A84" s="128"/>
      <c r="B84" s="43"/>
      <c r="C84" s="43"/>
      <c r="D84" s="44"/>
      <c r="E84" s="45"/>
      <c r="F84" s="46"/>
      <c r="G84" s="46"/>
      <c r="H84" s="47"/>
    </row>
    <row r="85" spans="1:8">
      <c r="A85" s="128"/>
      <c r="B85" s="43"/>
      <c r="C85" s="43"/>
      <c r="D85" s="44"/>
      <c r="E85" s="45"/>
      <c r="F85" s="46"/>
      <c r="G85" s="46"/>
      <c r="H85" s="47"/>
    </row>
    <row r="86" spans="1:8">
      <c r="A86" s="128"/>
      <c r="B86" s="43"/>
      <c r="C86" s="43"/>
      <c r="D86" s="44"/>
      <c r="E86" s="45"/>
      <c r="F86" s="46"/>
      <c r="G86" s="46"/>
      <c r="H86" s="47"/>
    </row>
    <row r="87" spans="1:8">
      <c r="A87" s="128"/>
      <c r="B87" s="43"/>
      <c r="C87" s="43"/>
      <c r="D87" s="44"/>
      <c r="E87" s="45"/>
      <c r="F87" s="46"/>
      <c r="G87" s="46"/>
      <c r="H87" s="47"/>
    </row>
    <row r="88" spans="1:8">
      <c r="A88" s="128"/>
      <c r="B88" s="43"/>
      <c r="C88" s="43"/>
      <c r="D88" s="44"/>
      <c r="E88" s="45"/>
      <c r="F88" s="46"/>
      <c r="G88" s="46"/>
      <c r="H88" s="47"/>
    </row>
    <row r="89" spans="1:8">
      <c r="A89" s="128"/>
      <c r="B89" s="43"/>
      <c r="C89" s="43"/>
      <c r="D89" s="44"/>
      <c r="E89" s="45"/>
      <c r="F89" s="46"/>
      <c r="G89" s="46"/>
      <c r="H89" s="47"/>
    </row>
    <row r="90" spans="1:8">
      <c r="A90" s="128"/>
      <c r="B90" s="43"/>
      <c r="C90" s="43"/>
      <c r="D90" s="44"/>
      <c r="E90" s="45"/>
      <c r="F90" s="46"/>
      <c r="G90" s="46"/>
      <c r="H90" s="47"/>
    </row>
    <row r="91" spans="1:8">
      <c r="A91" s="128"/>
      <c r="B91" s="43"/>
      <c r="C91" s="43"/>
      <c r="D91" s="44"/>
      <c r="E91" s="45"/>
      <c r="F91" s="46"/>
      <c r="G91" s="46"/>
      <c r="H91" s="47"/>
    </row>
    <row r="92" spans="1:8">
      <c r="A92" s="128"/>
      <c r="B92" s="43"/>
      <c r="C92" s="43"/>
      <c r="D92" s="44"/>
      <c r="E92" s="45"/>
      <c r="F92" s="46"/>
      <c r="G92" s="46"/>
      <c r="H92" s="47"/>
    </row>
    <row r="93" spans="1:8">
      <c r="A93" s="128"/>
      <c r="B93" s="43"/>
      <c r="C93" s="43"/>
      <c r="D93" s="44"/>
      <c r="E93" s="45"/>
      <c r="F93" s="46"/>
      <c r="G93" s="46"/>
      <c r="H93" s="47"/>
    </row>
    <row r="94" spans="1:8">
      <c r="A94" s="128"/>
      <c r="B94" s="43"/>
      <c r="C94" s="43"/>
      <c r="D94" s="44"/>
      <c r="E94" s="45"/>
      <c r="F94" s="46"/>
      <c r="G94" s="46"/>
      <c r="H94" s="47"/>
    </row>
    <row r="95" spans="1:8">
      <c r="A95" s="128"/>
      <c r="B95" s="43"/>
      <c r="C95" s="43"/>
      <c r="D95" s="44"/>
      <c r="E95" s="45"/>
      <c r="F95" s="46"/>
      <c r="G95" s="46"/>
      <c r="H95" s="47"/>
    </row>
    <row r="96" spans="1:8">
      <c r="A96" s="128"/>
      <c r="B96" s="43"/>
      <c r="C96" s="43"/>
      <c r="D96" s="44"/>
      <c r="E96" s="45"/>
      <c r="F96" s="46"/>
      <c r="G96" s="46"/>
      <c r="H96" s="47"/>
    </row>
    <row r="97" spans="1:8">
      <c r="A97" s="128"/>
      <c r="B97" s="43"/>
      <c r="C97" s="43"/>
      <c r="D97" s="44"/>
      <c r="E97" s="45"/>
      <c r="F97" s="46"/>
      <c r="G97" s="46"/>
      <c r="H97" s="47"/>
    </row>
    <row r="98" spans="1:8">
      <c r="A98" s="128"/>
      <c r="B98" s="43"/>
      <c r="C98" s="43"/>
      <c r="D98" s="44"/>
      <c r="E98" s="45"/>
      <c r="F98" s="46"/>
      <c r="G98" s="46"/>
      <c r="H98" s="47"/>
    </row>
    <row r="99" spans="1:8">
      <c r="A99" s="128"/>
      <c r="B99" s="43"/>
      <c r="C99" s="43"/>
      <c r="D99" s="44"/>
      <c r="E99" s="45"/>
      <c r="F99" s="46"/>
      <c r="G99" s="46"/>
      <c r="H99" s="47"/>
    </row>
    <row r="100" spans="1:8">
      <c r="A100" s="128"/>
      <c r="B100" s="43"/>
      <c r="C100" s="43"/>
      <c r="D100" s="44"/>
      <c r="E100" s="45"/>
      <c r="F100" s="46"/>
      <c r="G100" s="46"/>
      <c r="H100" s="47"/>
    </row>
    <row r="101" spans="1:8">
      <c r="A101" s="128"/>
      <c r="B101" s="43"/>
      <c r="C101" s="43"/>
      <c r="D101" s="44"/>
      <c r="E101" s="45"/>
      <c r="F101" s="46"/>
      <c r="G101" s="46"/>
      <c r="H101" s="47"/>
    </row>
    <row r="102" spans="1:8">
      <c r="A102" s="128"/>
      <c r="B102" s="43"/>
      <c r="C102" s="43"/>
      <c r="D102" s="44"/>
      <c r="E102" s="45"/>
      <c r="F102" s="46"/>
      <c r="G102" s="46"/>
      <c r="H102" s="47"/>
    </row>
    <row r="103" spans="1:8">
      <c r="A103" s="128"/>
      <c r="B103" s="43"/>
      <c r="C103" s="43"/>
      <c r="D103" s="44"/>
      <c r="E103" s="45"/>
      <c r="F103" s="46"/>
      <c r="G103" s="46"/>
      <c r="H103" s="47"/>
    </row>
    <row r="104" spans="1:8">
      <c r="A104" s="128"/>
      <c r="B104" s="43"/>
      <c r="C104" s="43"/>
      <c r="D104" s="44"/>
      <c r="E104" s="45"/>
      <c r="F104" s="46"/>
      <c r="G104" s="46"/>
      <c r="H104" s="47"/>
    </row>
    <row r="105" spans="1:8">
      <c r="A105" s="128"/>
      <c r="B105" s="43"/>
      <c r="C105" s="43"/>
      <c r="D105" s="44"/>
      <c r="E105" s="45"/>
      <c r="F105" s="46"/>
      <c r="G105" s="46"/>
      <c r="H105" s="47"/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hyperlinks>
    <hyperlink ref="F13" location="'Add Room'!A1" display="Add Room" xr:uid="{F845DC64-6227-4BFB-B77D-E14EF5876EB8}"/>
    <hyperlink ref="F11" location="'Get All Room'!A1" display="Get All Room" xr:uid="{1F86C0B9-A4C9-4743-84CB-19D2D986BB8C}"/>
    <hyperlink ref="F12" location="'Get Room Detail'!A1" display="Get Room Detail" xr:uid="{FB36FB11-99A1-4924-9F7D-14F5062EE194}"/>
    <hyperlink ref="F14" location="'Update Room'!A1" display="Update Room" xr:uid="{67263CFF-D4C4-486A-B5F8-CCA845EAE5A7}"/>
    <hyperlink ref="F15" location="'Entry Excel To Room'!A1" display="Entry Excel To Room" xr:uid="{1656296A-F7DB-4025-8E7C-AD46068B62BC}"/>
    <hyperlink ref="F16" location="'Get All Roles'!A1" display="Get All Role" xr:uid="{4D77CF60-5A63-44EC-84B6-5CD271437892}"/>
    <hyperlink ref="F17" location="'Get Role Detail'!A1" display="Get Role Detail" xr:uid="{A5259BF3-17E9-4AA1-9317-2A31BF65B61F}"/>
    <hyperlink ref="F18" location="'Add New Role'!A1" display="Add New Role" xr:uid="{02FFBE9E-CCFC-434D-95FA-958BB359CB74}"/>
    <hyperlink ref="F19" location="'Update Role'!A1" display="Update Role" xr:uid="{D4466BA9-06F5-4030-BC63-301A9583023C}"/>
  </hyperlinks>
  <pageMargins left="0.65" right="0.65" top="0.75" bottom="0.75" header="0.5" footer="0.5"/>
  <pageSetup paperSize="9" firstPageNumber="0" orientation="landscape" horizontalDpi="300" verticalDpi="300" r:id="rId1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5D55-C937-4637-8AFA-4FA1003F4874}">
  <dimension ref="A1:I102"/>
  <sheetViews>
    <sheetView tabSelected="1" zoomScaleNormal="100" workbookViewId="0">
      <selection activeCell="B6" sqref="B6:C6"/>
    </sheetView>
  </sheetViews>
  <sheetFormatPr defaultColWidth="9" defaultRowHeight="12.5"/>
  <cols>
    <col min="1" max="1" width="15.453125" style="5" customWidth="1"/>
    <col min="2" max="2" width="26.54296875" style="5" customWidth="1"/>
    <col min="3" max="3" width="12.1796875" style="5" customWidth="1"/>
    <col min="4" max="4" width="9.54296875" style="5" customWidth="1"/>
    <col min="5" max="5" width="9.81640625" style="5" customWidth="1"/>
    <col min="6" max="8" width="5.1796875" style="5" customWidth="1"/>
    <col min="9" max="9" width="21" style="5" customWidth="1"/>
    <col min="10" max="10" width="33.1796875" style="5" customWidth="1"/>
    <col min="11" max="256" width="11" style="5" customWidth="1"/>
    <col min="257" max="16384" width="9" style="5"/>
  </cols>
  <sheetData>
    <row r="1" spans="1:9">
      <c r="A1" s="263"/>
      <c r="B1" s="263"/>
      <c r="C1" s="263"/>
      <c r="D1" s="263"/>
      <c r="E1" s="263"/>
      <c r="F1" s="263"/>
      <c r="G1" s="263"/>
      <c r="H1" s="263"/>
      <c r="I1" s="263"/>
    </row>
    <row r="2" spans="1:9" ht="25.5" customHeight="1">
      <c r="A2" s="304" t="s">
        <v>81</v>
      </c>
      <c r="B2" s="304"/>
      <c r="C2" s="304"/>
      <c r="D2" s="304"/>
      <c r="E2" s="304"/>
      <c r="F2" s="304"/>
      <c r="G2" s="304"/>
      <c r="H2" s="304"/>
      <c r="I2" s="304"/>
    </row>
    <row r="3" spans="1:9" ht="14.25" customHeight="1">
      <c r="A3" s="264"/>
      <c r="B3" s="265"/>
      <c r="C3" s="265"/>
      <c r="D3" s="265"/>
      <c r="E3" s="265"/>
      <c r="F3" s="265"/>
      <c r="G3" s="265"/>
      <c r="H3" s="265"/>
      <c r="I3" s="266"/>
    </row>
    <row r="4" spans="1:9" ht="13.5" customHeight="1">
      <c r="A4" s="154" t="s">
        <v>46</v>
      </c>
      <c r="B4" s="301" t="str">
        <f>Cover!B4</f>
        <v>Edu Resource Management</v>
      </c>
      <c r="C4" s="301"/>
      <c r="D4" s="302" t="s">
        <v>48</v>
      </c>
      <c r="E4" s="302"/>
      <c r="F4" s="305" t="s">
        <v>49</v>
      </c>
      <c r="G4" s="306"/>
      <c r="H4" s="306"/>
      <c r="I4" s="307"/>
    </row>
    <row r="5" spans="1:9" ht="13.5" customHeight="1">
      <c r="A5" s="154" t="s">
        <v>50</v>
      </c>
      <c r="B5" s="301" t="str">
        <f>Cover!B5</f>
        <v>ERM</v>
      </c>
      <c r="C5" s="301"/>
      <c r="D5" s="302" t="s">
        <v>52</v>
      </c>
      <c r="E5" s="302"/>
      <c r="F5" s="305" t="s">
        <v>49</v>
      </c>
      <c r="G5" s="306"/>
      <c r="H5" s="306"/>
      <c r="I5" s="307"/>
    </row>
    <row r="6" spans="1:9" ht="12.75" customHeight="1">
      <c r="A6" s="155" t="s">
        <v>54</v>
      </c>
      <c r="B6" s="301" t="str">
        <f>B5&amp;"_"&amp;"Test Report"&amp;"_"&amp;"v1.2"</f>
        <v>ERM_Test Report_v1.2</v>
      </c>
      <c r="C6" s="301"/>
      <c r="D6" s="302" t="s">
        <v>55</v>
      </c>
      <c r="E6" s="302"/>
      <c r="F6" s="298">
        <v>45695</v>
      </c>
      <c r="G6" s="299"/>
      <c r="H6" s="299"/>
      <c r="I6" s="300"/>
    </row>
    <row r="7" spans="1:9" ht="15.75" customHeight="1">
      <c r="A7" s="155" t="s">
        <v>82</v>
      </c>
      <c r="B7" s="303"/>
      <c r="C7" s="303"/>
      <c r="D7" s="303"/>
      <c r="E7" s="303"/>
      <c r="F7" s="303"/>
      <c r="G7" s="303"/>
      <c r="H7" s="303"/>
      <c r="I7" s="303"/>
    </row>
    <row r="8" spans="1:9" ht="14.25" customHeight="1">
      <c r="A8" s="51"/>
      <c r="B8" s="52"/>
      <c r="C8" s="49"/>
      <c r="D8" s="49"/>
      <c r="E8" s="49"/>
      <c r="F8" s="49"/>
      <c r="G8" s="49"/>
      <c r="H8" s="49"/>
      <c r="I8" s="50"/>
    </row>
    <row r="9" spans="1:9">
      <c r="A9" s="51"/>
      <c r="B9" s="52"/>
      <c r="C9" s="49"/>
      <c r="D9" s="49"/>
      <c r="E9" s="49"/>
      <c r="F9" s="49"/>
      <c r="G9" s="49"/>
      <c r="H9" s="49"/>
      <c r="I9" s="50"/>
    </row>
    <row r="11" spans="1:9" ht="14.25" customHeight="1">
      <c r="A11" s="53" t="s">
        <v>69</v>
      </c>
      <c r="B11" s="54" t="s">
        <v>83</v>
      </c>
      <c r="C11" s="55" t="s">
        <v>84</v>
      </c>
      <c r="D11" s="54" t="s">
        <v>85</v>
      </c>
      <c r="E11" s="56" t="s">
        <v>86</v>
      </c>
      <c r="F11" s="56" t="s">
        <v>87</v>
      </c>
      <c r="G11" s="56" t="s">
        <v>64</v>
      </c>
      <c r="H11" s="56" t="s">
        <v>88</v>
      </c>
      <c r="I11" s="57" t="s">
        <v>89</v>
      </c>
    </row>
    <row r="12" spans="1:9" ht="13">
      <c r="A12" s="277">
        <v>1</v>
      </c>
      <c r="B12" s="262" t="s">
        <v>142</v>
      </c>
      <c r="C12" s="59">
        <f>'Get All Room'!A7</f>
        <v>3</v>
      </c>
      <c r="D12" s="59">
        <f>'Get All Room'!C7</f>
        <v>0</v>
      </c>
      <c r="E12" s="59">
        <f>'Get All Room'!F7</f>
        <v>0</v>
      </c>
      <c r="F12" s="60">
        <f>'Get All Room'!L7</f>
        <v>2</v>
      </c>
      <c r="G12" s="59">
        <f>'Get All Room'!M7</f>
        <v>1</v>
      </c>
      <c r="H12" s="59">
        <f>'Get All Room'!N7</f>
        <v>0</v>
      </c>
      <c r="I12" s="59">
        <f>'Get All Room'!O7</f>
        <v>3</v>
      </c>
    </row>
    <row r="13" spans="1:9" ht="13">
      <c r="A13" s="277">
        <v>2</v>
      </c>
      <c r="B13" s="262" t="s">
        <v>143</v>
      </c>
      <c r="C13" s="59">
        <f>'Get Room Detail'!A7</f>
        <v>4</v>
      </c>
      <c r="D13" s="59">
        <f>'Get Room Detail'!C7</f>
        <v>0</v>
      </c>
      <c r="E13" s="59">
        <f>'Get Room Detail'!F7</f>
        <v>0</v>
      </c>
      <c r="F13" s="60">
        <f>'Get Room Detail'!L7</f>
        <v>3</v>
      </c>
      <c r="G13" s="59">
        <f>'Get Room Detail'!M7</f>
        <v>1</v>
      </c>
      <c r="H13" s="59">
        <f>'Get Room Detail'!N7</f>
        <v>0</v>
      </c>
      <c r="I13" s="59">
        <f>'Get Room Detail'!O7</f>
        <v>4</v>
      </c>
    </row>
    <row r="14" spans="1:9" ht="13">
      <c r="A14" s="277">
        <v>3</v>
      </c>
      <c r="B14" s="262" t="s">
        <v>144</v>
      </c>
      <c r="C14" s="59">
        <f>'Add Room'!A7</f>
        <v>6</v>
      </c>
      <c r="D14" s="59">
        <f>'Add Room'!C7</f>
        <v>0</v>
      </c>
      <c r="E14" s="59">
        <f>'Add Room'!F7</f>
        <v>0</v>
      </c>
      <c r="F14" s="60">
        <f>'Add Room'!L7</f>
        <v>1</v>
      </c>
      <c r="G14" s="59">
        <f>'Add Room'!M7</f>
        <v>5</v>
      </c>
      <c r="H14" s="59">
        <f>'Add Room'!N7</f>
        <v>0</v>
      </c>
      <c r="I14" s="59">
        <f>'Add Room'!O7</f>
        <v>6</v>
      </c>
    </row>
    <row r="15" spans="1:9" ht="13">
      <c r="A15" s="277">
        <v>4</v>
      </c>
      <c r="B15" s="262" t="s">
        <v>145</v>
      </c>
      <c r="C15" s="59">
        <f>'Update Room'!A7</f>
        <v>5</v>
      </c>
      <c r="D15" s="59">
        <f>'Update Room'!C7</f>
        <v>0</v>
      </c>
      <c r="E15" s="59">
        <f>'Update Room'!F7</f>
        <v>0</v>
      </c>
      <c r="F15" s="59">
        <f>'Update Room'!L7</f>
        <v>1</v>
      </c>
      <c r="G15" s="59">
        <f>'Update Room'!M7</f>
        <v>4</v>
      </c>
      <c r="H15" s="59">
        <f>'Update Room'!N7</f>
        <v>0</v>
      </c>
      <c r="I15" s="59">
        <f>'Update Room'!O7</f>
        <v>5</v>
      </c>
    </row>
    <row r="16" spans="1:9" ht="13">
      <c r="A16" s="277">
        <v>5</v>
      </c>
      <c r="B16" s="262" t="s">
        <v>178</v>
      </c>
      <c r="C16" s="59">
        <f>'Entry Excel To Room'!A7</f>
        <v>4</v>
      </c>
      <c r="D16" s="59">
        <f>'Entry Excel To Room'!B7</f>
        <v>0</v>
      </c>
      <c r="E16" s="59">
        <f>'Entry Excel To Room'!C7</f>
        <v>0</v>
      </c>
      <c r="F16" s="59">
        <f>'Entry Excel To Room'!L7</f>
        <v>1</v>
      </c>
      <c r="G16" s="59">
        <f>'Entry Excel To Room'!M7</f>
        <v>3</v>
      </c>
      <c r="H16" s="59">
        <f>'Entry Excel To Room'!N7</f>
        <v>0</v>
      </c>
      <c r="I16" s="59">
        <f>'Entry Excel To Room'!O7</f>
        <v>4</v>
      </c>
    </row>
    <row r="17" spans="1:9" ht="13">
      <c r="A17" s="277">
        <v>6</v>
      </c>
      <c r="B17" s="262" t="s">
        <v>194</v>
      </c>
      <c r="C17" s="59">
        <f>'Get All Roles'!A7</f>
        <v>3</v>
      </c>
      <c r="D17" s="59">
        <f>'Get All Roles'!B7</f>
        <v>0</v>
      </c>
      <c r="E17" s="59">
        <f>'Get All Roles'!C7</f>
        <v>0</v>
      </c>
      <c r="F17" s="59">
        <f>'Get All Roles'!L7</f>
        <v>1</v>
      </c>
      <c r="G17" s="59">
        <f>'Get All Roles'!M7</f>
        <v>2</v>
      </c>
      <c r="H17" s="59">
        <f>'Get All Roles'!N7</f>
        <v>0</v>
      </c>
      <c r="I17" s="59">
        <f>'Get All Roles'!O7</f>
        <v>3</v>
      </c>
    </row>
    <row r="18" spans="1:9" ht="13">
      <c r="A18" s="277">
        <v>7</v>
      </c>
      <c r="B18" s="262" t="s">
        <v>195</v>
      </c>
      <c r="C18" s="59">
        <f>'Get Role Detail'!A7</f>
        <v>4</v>
      </c>
      <c r="D18" s="59">
        <f>'Get Role Detail'!B7</f>
        <v>0</v>
      </c>
      <c r="E18" s="59">
        <f>'Get Role Detail'!C7</f>
        <v>0</v>
      </c>
      <c r="F18" s="59">
        <f>'Get Role Detail'!L7</f>
        <v>3</v>
      </c>
      <c r="G18" s="59">
        <f>'Get Role Detail'!M7</f>
        <v>1</v>
      </c>
      <c r="H18" s="59">
        <f>'Get Role Detail'!N7</f>
        <v>0</v>
      </c>
      <c r="I18" s="59">
        <f>'Get Role Detail'!O7</f>
        <v>4</v>
      </c>
    </row>
    <row r="19" spans="1:9" ht="13">
      <c r="A19" s="277">
        <v>8</v>
      </c>
      <c r="B19" s="262" t="s">
        <v>196</v>
      </c>
      <c r="C19" s="59">
        <f>'Add New Role'!A7</f>
        <v>11</v>
      </c>
      <c r="D19" s="59">
        <f>'Add New Role'!B7</f>
        <v>0</v>
      </c>
      <c r="E19" s="59">
        <f>'Add New Role'!C7</f>
        <v>0</v>
      </c>
      <c r="F19" s="59">
        <f>'Add New Role'!L7</f>
        <v>1</v>
      </c>
      <c r="G19" s="59">
        <f>'Add New Role'!M7</f>
        <v>6</v>
      </c>
      <c r="H19" s="59">
        <f>'Add New Role'!N7</f>
        <v>4</v>
      </c>
      <c r="I19" s="59">
        <f>'Add New Role'!O7</f>
        <v>11</v>
      </c>
    </row>
    <row r="20" spans="1:9" ht="13">
      <c r="A20" s="277">
        <v>9</v>
      </c>
      <c r="B20" s="262" t="s">
        <v>197</v>
      </c>
      <c r="C20" s="59">
        <f>'Update Role'!A7</f>
        <v>10</v>
      </c>
      <c r="D20" s="59">
        <f>'Update Role'!B7</f>
        <v>0</v>
      </c>
      <c r="E20" s="59">
        <f>'Update Role'!C7</f>
        <v>0</v>
      </c>
      <c r="F20" s="59">
        <f>'Update Role'!L7</f>
        <v>1</v>
      </c>
      <c r="G20" s="59">
        <f>'Update Role'!M7</f>
        <v>5</v>
      </c>
      <c r="H20" s="59">
        <f>'Update Role'!N7</f>
        <v>4</v>
      </c>
      <c r="I20" s="59">
        <f>'Update Role'!O7</f>
        <v>10</v>
      </c>
    </row>
    <row r="21" spans="1:9" ht="13.5">
      <c r="A21" s="277">
        <v>10</v>
      </c>
      <c r="B21" s="272"/>
      <c r="C21" s="59"/>
      <c r="D21" s="59"/>
      <c r="E21" s="59"/>
      <c r="F21" s="59"/>
      <c r="G21" s="59"/>
      <c r="H21" s="59"/>
      <c r="I21" s="59"/>
    </row>
    <row r="22" spans="1:9" ht="13.5">
      <c r="A22" s="277">
        <v>11</v>
      </c>
      <c r="B22" s="272"/>
      <c r="C22" s="59"/>
      <c r="D22" s="59"/>
      <c r="E22" s="59"/>
      <c r="F22" s="59"/>
      <c r="G22" s="59"/>
      <c r="H22" s="59"/>
      <c r="I22" s="59"/>
    </row>
    <row r="23" spans="1:9" ht="13.5">
      <c r="A23" s="277">
        <v>12</v>
      </c>
      <c r="B23" s="272"/>
      <c r="C23" s="59"/>
      <c r="D23" s="59"/>
      <c r="E23" s="59"/>
      <c r="F23" s="59"/>
      <c r="G23" s="59"/>
      <c r="H23" s="59"/>
      <c r="I23" s="59"/>
    </row>
    <row r="24" spans="1:9" ht="13.5">
      <c r="A24" s="277">
        <v>13</v>
      </c>
      <c r="B24" s="272"/>
      <c r="C24" s="59"/>
      <c r="D24" s="59"/>
      <c r="E24" s="59"/>
      <c r="F24" s="59"/>
      <c r="G24" s="59"/>
      <c r="H24" s="59"/>
      <c r="I24" s="59"/>
    </row>
    <row r="25" spans="1:9" ht="13.5">
      <c r="A25" s="277">
        <v>14</v>
      </c>
      <c r="B25" s="272"/>
      <c r="C25" s="59"/>
      <c r="D25" s="59"/>
      <c r="E25" s="59"/>
      <c r="F25" s="59"/>
      <c r="G25" s="59"/>
      <c r="H25" s="59"/>
      <c r="I25" s="59"/>
    </row>
    <row r="26" spans="1:9" ht="13.5">
      <c r="A26" s="277">
        <v>15</v>
      </c>
      <c r="B26" s="272"/>
      <c r="C26" s="59"/>
      <c r="D26" s="59"/>
      <c r="E26" s="59"/>
      <c r="F26" s="59"/>
      <c r="G26" s="59"/>
      <c r="H26" s="59"/>
      <c r="I26" s="59"/>
    </row>
    <row r="27" spans="1:9" ht="13.5">
      <c r="A27" s="277">
        <v>16</v>
      </c>
      <c r="B27" s="272"/>
      <c r="C27" s="59"/>
      <c r="D27" s="59"/>
      <c r="E27" s="59"/>
      <c r="F27" s="59"/>
      <c r="G27" s="59"/>
      <c r="H27" s="59"/>
      <c r="I27" s="59"/>
    </row>
    <row r="28" spans="1:9" ht="13.5">
      <c r="A28" s="277">
        <v>17</v>
      </c>
      <c r="B28" s="272"/>
      <c r="C28" s="59"/>
      <c r="D28" s="59"/>
      <c r="E28" s="59"/>
      <c r="F28" s="59"/>
      <c r="G28" s="59"/>
      <c r="H28" s="59"/>
      <c r="I28" s="59"/>
    </row>
    <row r="29" spans="1:9" ht="13.5">
      <c r="A29" s="277">
        <v>18</v>
      </c>
      <c r="B29" s="272"/>
      <c r="C29" s="59"/>
      <c r="D29" s="59"/>
      <c r="E29" s="59"/>
      <c r="F29" s="59"/>
      <c r="G29" s="59"/>
      <c r="H29" s="59"/>
      <c r="I29" s="59"/>
    </row>
    <row r="30" spans="1:9" ht="13.5">
      <c r="A30" s="277">
        <v>19</v>
      </c>
      <c r="B30" s="272"/>
      <c r="C30" s="59"/>
      <c r="D30" s="59"/>
      <c r="E30" s="59"/>
      <c r="F30" s="59"/>
      <c r="G30" s="59"/>
      <c r="H30" s="59"/>
      <c r="I30" s="59"/>
    </row>
    <row r="31" spans="1:9" ht="13.5">
      <c r="A31" s="277">
        <v>20</v>
      </c>
      <c r="B31" s="272"/>
      <c r="C31" s="59"/>
      <c r="D31" s="59"/>
      <c r="E31" s="59"/>
      <c r="F31" s="59"/>
      <c r="G31" s="59"/>
      <c r="H31" s="59"/>
      <c r="I31" s="59"/>
    </row>
    <row r="32" spans="1:9" ht="13.5">
      <c r="A32" s="277">
        <v>21</v>
      </c>
      <c r="B32" s="272"/>
      <c r="C32" s="59"/>
      <c r="D32" s="59"/>
      <c r="E32" s="59"/>
      <c r="F32" s="59"/>
      <c r="G32" s="59"/>
      <c r="H32" s="59"/>
      <c r="I32" s="59"/>
    </row>
    <row r="33" spans="1:9" ht="13.5">
      <c r="A33" s="277">
        <v>22</v>
      </c>
      <c r="B33" s="272"/>
      <c r="C33" s="59"/>
      <c r="D33" s="59"/>
      <c r="E33" s="59"/>
      <c r="F33" s="59"/>
      <c r="G33" s="59"/>
      <c r="H33" s="59"/>
      <c r="I33" s="59"/>
    </row>
    <row r="34" spans="1:9" ht="13.5">
      <c r="A34" s="277">
        <v>23</v>
      </c>
      <c r="B34" s="272"/>
      <c r="C34" s="59"/>
      <c r="D34" s="59"/>
      <c r="E34" s="59"/>
      <c r="F34" s="59"/>
      <c r="G34" s="59"/>
      <c r="H34" s="59"/>
      <c r="I34" s="59"/>
    </row>
    <row r="35" spans="1:9" ht="13.5">
      <c r="A35" s="277">
        <v>24</v>
      </c>
      <c r="B35" s="272"/>
      <c r="C35" s="59"/>
      <c r="D35" s="59"/>
      <c r="E35" s="59"/>
      <c r="F35" s="59"/>
      <c r="G35" s="59"/>
      <c r="H35" s="59"/>
      <c r="I35" s="59"/>
    </row>
    <row r="36" spans="1:9" ht="13.5">
      <c r="A36" s="277">
        <v>25</v>
      </c>
      <c r="B36" s="272"/>
      <c r="C36" s="59"/>
      <c r="D36" s="59"/>
      <c r="E36" s="59"/>
      <c r="F36" s="59"/>
      <c r="G36" s="59"/>
      <c r="H36" s="59"/>
      <c r="I36" s="59"/>
    </row>
    <row r="37" spans="1:9" ht="13.5">
      <c r="A37" s="277">
        <v>26</v>
      </c>
      <c r="B37" s="272"/>
      <c r="C37" s="59"/>
      <c r="D37" s="59"/>
      <c r="E37" s="59"/>
      <c r="F37" s="59"/>
      <c r="G37" s="59"/>
      <c r="H37" s="59"/>
      <c r="I37" s="59"/>
    </row>
    <row r="38" spans="1:9" ht="13.5">
      <c r="A38" s="277">
        <v>27</v>
      </c>
      <c r="B38" s="272"/>
      <c r="C38" s="59"/>
      <c r="D38" s="59"/>
      <c r="E38" s="59"/>
      <c r="F38" s="59"/>
      <c r="G38" s="59"/>
      <c r="H38" s="59"/>
      <c r="I38" s="59"/>
    </row>
    <row r="39" spans="1:9" ht="13.5">
      <c r="A39" s="277">
        <v>28</v>
      </c>
      <c r="B39" s="272"/>
      <c r="C39" s="59"/>
      <c r="D39" s="59"/>
      <c r="E39" s="59"/>
      <c r="F39" s="59"/>
      <c r="G39" s="59"/>
      <c r="H39" s="59"/>
      <c r="I39" s="59"/>
    </row>
    <row r="40" spans="1:9" ht="13.5">
      <c r="A40" s="277">
        <v>29</v>
      </c>
      <c r="B40" s="272"/>
      <c r="C40" s="59"/>
      <c r="D40" s="59"/>
      <c r="E40" s="59"/>
      <c r="F40" s="59"/>
      <c r="G40" s="59"/>
      <c r="H40" s="59"/>
      <c r="I40" s="59"/>
    </row>
    <row r="41" spans="1:9" ht="13.5">
      <c r="A41" s="277">
        <v>30</v>
      </c>
      <c r="B41" s="272"/>
      <c r="C41" s="59"/>
      <c r="D41" s="59"/>
      <c r="E41" s="59"/>
      <c r="F41" s="59"/>
      <c r="G41" s="59"/>
      <c r="H41" s="59"/>
      <c r="I41" s="59"/>
    </row>
    <row r="42" spans="1:9" ht="13.5">
      <c r="A42" s="277">
        <v>31</v>
      </c>
      <c r="B42" s="272"/>
      <c r="C42" s="59"/>
      <c r="D42" s="59"/>
      <c r="E42" s="59"/>
      <c r="F42" s="59"/>
      <c r="G42" s="59"/>
      <c r="H42" s="59"/>
      <c r="I42" s="59"/>
    </row>
    <row r="43" spans="1:9" ht="13.5">
      <c r="A43" s="277">
        <v>32</v>
      </c>
      <c r="B43" s="272"/>
      <c r="C43" s="59"/>
      <c r="D43" s="59"/>
      <c r="E43" s="59"/>
      <c r="F43" s="59"/>
      <c r="G43" s="59"/>
      <c r="H43" s="59"/>
      <c r="I43" s="59"/>
    </row>
    <row r="44" spans="1:9" ht="13.5">
      <c r="A44" s="277">
        <v>33</v>
      </c>
      <c r="B44" s="272"/>
      <c r="C44" s="59"/>
      <c r="D44" s="59"/>
      <c r="E44" s="59"/>
      <c r="F44" s="59"/>
      <c r="G44" s="59"/>
      <c r="H44" s="59"/>
      <c r="I44" s="59"/>
    </row>
    <row r="45" spans="1:9" ht="13.5">
      <c r="A45" s="277">
        <v>34</v>
      </c>
      <c r="B45" s="272"/>
      <c r="C45" s="59"/>
      <c r="D45" s="59"/>
      <c r="E45" s="59"/>
      <c r="F45" s="59"/>
      <c r="G45" s="59"/>
      <c r="H45" s="59"/>
      <c r="I45" s="59"/>
    </row>
    <row r="46" spans="1:9" ht="13.5">
      <c r="A46" s="277">
        <v>35</v>
      </c>
      <c r="B46" s="272"/>
      <c r="C46" s="59"/>
      <c r="D46" s="59"/>
      <c r="E46" s="59"/>
      <c r="F46" s="59"/>
      <c r="G46" s="59"/>
      <c r="H46" s="59"/>
      <c r="I46" s="59"/>
    </row>
    <row r="47" spans="1:9" ht="13.5">
      <c r="A47" s="277">
        <v>36</v>
      </c>
      <c r="B47" s="272"/>
      <c r="C47" s="59"/>
      <c r="D47" s="59"/>
      <c r="E47" s="59"/>
      <c r="F47" s="59"/>
      <c r="G47" s="59"/>
      <c r="H47" s="59"/>
      <c r="I47" s="59"/>
    </row>
    <row r="48" spans="1:9" ht="13.5">
      <c r="A48" s="277">
        <v>37</v>
      </c>
      <c r="B48" s="272"/>
      <c r="C48" s="59"/>
      <c r="D48" s="59"/>
      <c r="E48" s="59"/>
      <c r="F48" s="59"/>
      <c r="G48" s="59"/>
      <c r="H48" s="59"/>
      <c r="I48" s="59"/>
    </row>
    <row r="49" spans="1:9" ht="13.5">
      <c r="A49" s="277">
        <v>38</v>
      </c>
      <c r="B49" s="272"/>
      <c r="C49" s="59"/>
      <c r="D49" s="59"/>
      <c r="E49" s="59"/>
      <c r="F49" s="59"/>
      <c r="G49" s="59"/>
      <c r="H49" s="59"/>
      <c r="I49" s="59"/>
    </row>
    <row r="50" spans="1:9" ht="13.5">
      <c r="A50" s="277">
        <v>39</v>
      </c>
      <c r="B50" s="272"/>
      <c r="C50" s="59"/>
      <c r="D50" s="59"/>
      <c r="E50" s="59"/>
      <c r="F50" s="59"/>
      <c r="G50" s="59"/>
      <c r="H50" s="59"/>
      <c r="I50" s="59"/>
    </row>
    <row r="51" spans="1:9" ht="13.5">
      <c r="A51" s="277">
        <v>40</v>
      </c>
      <c r="B51" s="272"/>
      <c r="C51" s="59"/>
      <c r="D51" s="59"/>
      <c r="E51" s="59"/>
      <c r="F51" s="59"/>
      <c r="G51" s="59"/>
      <c r="H51" s="59"/>
      <c r="I51" s="59"/>
    </row>
    <row r="52" spans="1:9" ht="13.5">
      <c r="A52" s="277">
        <v>41</v>
      </c>
      <c r="B52" s="272"/>
      <c r="C52" s="59"/>
      <c r="D52" s="59"/>
      <c r="E52" s="59"/>
      <c r="F52" s="59"/>
      <c r="G52" s="59"/>
      <c r="H52" s="59"/>
      <c r="I52" s="59"/>
    </row>
    <row r="53" spans="1:9" ht="13.5">
      <c r="A53" s="277">
        <v>42</v>
      </c>
      <c r="B53" s="272"/>
      <c r="C53" s="59"/>
      <c r="D53" s="59"/>
      <c r="E53" s="59"/>
      <c r="F53" s="59"/>
      <c r="G53" s="59"/>
      <c r="H53" s="59"/>
      <c r="I53" s="59"/>
    </row>
    <row r="54" spans="1:9" ht="13.5">
      <c r="A54" s="277">
        <v>43</v>
      </c>
      <c r="B54" s="272"/>
      <c r="C54" s="59"/>
      <c r="D54" s="59"/>
      <c r="E54" s="59"/>
      <c r="F54" s="59"/>
      <c r="G54" s="59"/>
      <c r="H54" s="59"/>
      <c r="I54" s="59"/>
    </row>
    <row r="55" spans="1:9" ht="13.5">
      <c r="A55" s="277">
        <v>44</v>
      </c>
      <c r="B55" s="272"/>
      <c r="C55" s="59"/>
      <c r="D55" s="59"/>
      <c r="E55" s="59"/>
      <c r="F55" s="59"/>
      <c r="G55" s="59"/>
      <c r="H55" s="59"/>
      <c r="I55" s="59"/>
    </row>
    <row r="56" spans="1:9" ht="13.5">
      <c r="A56" s="277">
        <v>45</v>
      </c>
      <c r="B56" s="272"/>
      <c r="C56" s="59"/>
      <c r="D56" s="59"/>
      <c r="E56" s="59"/>
      <c r="F56" s="59"/>
      <c r="G56" s="59"/>
      <c r="H56" s="59"/>
      <c r="I56" s="59"/>
    </row>
    <row r="57" spans="1:9" ht="13.5">
      <c r="A57" s="277">
        <v>46</v>
      </c>
      <c r="B57" s="272"/>
      <c r="C57" s="59"/>
      <c r="D57" s="59"/>
      <c r="E57" s="59"/>
      <c r="F57" s="59"/>
      <c r="G57" s="59"/>
      <c r="H57" s="59"/>
      <c r="I57" s="59"/>
    </row>
    <row r="58" spans="1:9" ht="13.5">
      <c r="A58" s="277">
        <v>47</v>
      </c>
      <c r="B58" s="272"/>
      <c r="C58" s="59"/>
      <c r="D58" s="59"/>
      <c r="E58" s="59"/>
      <c r="F58" s="59"/>
      <c r="G58" s="59"/>
      <c r="H58" s="59"/>
      <c r="I58" s="59"/>
    </row>
    <row r="59" spans="1:9" ht="13.5">
      <c r="A59" s="277">
        <v>48</v>
      </c>
      <c r="B59" s="272"/>
      <c r="C59" s="59"/>
      <c r="D59" s="59"/>
      <c r="E59" s="59"/>
      <c r="F59" s="59"/>
      <c r="G59" s="59"/>
      <c r="H59" s="59"/>
      <c r="I59" s="59"/>
    </row>
    <row r="60" spans="1:9" ht="13.5">
      <c r="A60" s="277">
        <v>49</v>
      </c>
      <c r="B60" s="272"/>
      <c r="C60" s="59"/>
      <c r="D60" s="59"/>
      <c r="E60" s="59"/>
      <c r="F60" s="59"/>
      <c r="G60" s="59"/>
      <c r="H60" s="59"/>
      <c r="I60" s="59"/>
    </row>
    <row r="61" spans="1:9" ht="13.5">
      <c r="A61" s="277">
        <v>50</v>
      </c>
      <c r="B61" s="272"/>
      <c r="C61" s="59"/>
      <c r="D61" s="59"/>
      <c r="E61" s="59"/>
      <c r="F61" s="60"/>
      <c r="G61" s="59"/>
      <c r="H61" s="59"/>
      <c r="I61" s="59"/>
    </row>
    <row r="62" spans="1:9" ht="13.5">
      <c r="A62" s="277">
        <v>51</v>
      </c>
      <c r="B62" s="272"/>
      <c r="C62" s="59"/>
      <c r="D62" s="59"/>
      <c r="E62" s="59"/>
      <c r="F62" s="60"/>
      <c r="G62" s="59"/>
      <c r="H62" s="59"/>
      <c r="I62" s="59"/>
    </row>
    <row r="63" spans="1:9" ht="13.5">
      <c r="A63" s="277">
        <v>52</v>
      </c>
      <c r="B63" s="272"/>
      <c r="C63" s="59"/>
      <c r="D63" s="59"/>
      <c r="E63" s="59"/>
      <c r="F63" s="60"/>
      <c r="G63" s="59"/>
      <c r="H63" s="59"/>
      <c r="I63" s="59"/>
    </row>
    <row r="64" spans="1:9" ht="13.5">
      <c r="A64" s="277">
        <v>53</v>
      </c>
      <c r="B64" s="272"/>
      <c r="C64" s="59"/>
      <c r="D64" s="59"/>
      <c r="E64" s="59"/>
      <c r="F64" s="60"/>
      <c r="G64" s="59"/>
      <c r="H64" s="59"/>
      <c r="I64" s="59"/>
    </row>
    <row r="65" spans="1:9" ht="13.5">
      <c r="A65" s="277">
        <v>54</v>
      </c>
      <c r="B65" s="272"/>
      <c r="C65" s="59"/>
      <c r="D65" s="59"/>
      <c r="E65" s="59"/>
      <c r="F65" s="60"/>
      <c r="G65" s="59"/>
      <c r="H65" s="59"/>
      <c r="I65" s="59"/>
    </row>
    <row r="66" spans="1:9" ht="13.5">
      <c r="A66" s="277">
        <v>55</v>
      </c>
      <c r="B66" s="272"/>
      <c r="C66" s="59"/>
      <c r="D66" s="59"/>
      <c r="E66" s="59"/>
      <c r="F66" s="60"/>
      <c r="G66" s="59"/>
      <c r="H66" s="59"/>
      <c r="I66" s="59"/>
    </row>
    <row r="67" spans="1:9" ht="13.5">
      <c r="A67" s="277">
        <v>56</v>
      </c>
      <c r="B67" s="272"/>
      <c r="C67" s="59"/>
      <c r="D67" s="59"/>
      <c r="E67" s="59"/>
      <c r="F67" s="60"/>
      <c r="G67" s="59"/>
      <c r="H67" s="59"/>
      <c r="I67" s="59"/>
    </row>
    <row r="68" spans="1:9" ht="13.5">
      <c r="A68" s="277">
        <v>57</v>
      </c>
      <c r="B68" s="272"/>
      <c r="C68" s="59"/>
      <c r="D68" s="59"/>
      <c r="E68" s="59"/>
      <c r="F68" s="60"/>
      <c r="G68" s="59"/>
      <c r="H68" s="59"/>
      <c r="I68" s="59"/>
    </row>
    <row r="69" spans="1:9" ht="13.5">
      <c r="A69" s="277">
        <v>58</v>
      </c>
      <c r="B69" s="272"/>
      <c r="C69" s="59"/>
      <c r="D69" s="59"/>
      <c r="E69" s="59"/>
      <c r="F69" s="60"/>
      <c r="G69" s="59"/>
      <c r="H69" s="59"/>
      <c r="I69" s="59"/>
    </row>
    <row r="70" spans="1:9" ht="13.5">
      <c r="A70" s="278"/>
      <c r="B70" s="272"/>
      <c r="C70" s="59"/>
      <c r="D70" s="59"/>
      <c r="E70" s="59"/>
      <c r="F70" s="60"/>
      <c r="G70" s="59"/>
      <c r="H70" s="59"/>
      <c r="I70" s="59"/>
    </row>
    <row r="71" spans="1:9" ht="13.5">
      <c r="A71" s="278"/>
      <c r="B71" s="272"/>
      <c r="C71" s="59"/>
      <c r="D71" s="59"/>
      <c r="E71" s="59"/>
      <c r="F71" s="60"/>
      <c r="G71" s="59"/>
      <c r="H71" s="59"/>
      <c r="I71" s="59"/>
    </row>
    <row r="72" spans="1:9" ht="13.5">
      <c r="A72" s="278"/>
      <c r="B72" s="272"/>
      <c r="C72" s="59"/>
      <c r="D72" s="59"/>
      <c r="E72" s="59"/>
      <c r="F72" s="60"/>
      <c r="G72" s="59"/>
      <c r="H72" s="59"/>
      <c r="I72" s="59"/>
    </row>
    <row r="73" spans="1:9" ht="13.5">
      <c r="A73" s="278"/>
      <c r="B73" s="272"/>
      <c r="C73" s="59"/>
      <c r="D73" s="59"/>
      <c r="E73" s="59"/>
      <c r="F73" s="60"/>
      <c r="G73" s="59"/>
      <c r="H73" s="59"/>
      <c r="I73" s="59"/>
    </row>
    <row r="74" spans="1:9" ht="13.5">
      <c r="A74" s="278"/>
      <c r="B74" s="272"/>
      <c r="C74" s="59"/>
      <c r="D74" s="59"/>
      <c r="E74" s="59"/>
      <c r="F74" s="60"/>
      <c r="G74" s="59"/>
      <c r="H74" s="59"/>
      <c r="I74" s="59"/>
    </row>
    <row r="75" spans="1:9" ht="13.5">
      <c r="A75" s="278"/>
      <c r="B75" s="272"/>
      <c r="C75" s="59"/>
      <c r="D75" s="59"/>
      <c r="E75" s="59"/>
      <c r="F75" s="60"/>
      <c r="G75" s="59"/>
      <c r="H75" s="59"/>
      <c r="I75" s="59"/>
    </row>
    <row r="76" spans="1:9" ht="13.5">
      <c r="A76" s="278"/>
      <c r="B76" s="272"/>
      <c r="C76" s="59"/>
      <c r="D76" s="59"/>
      <c r="E76" s="59"/>
      <c r="F76" s="60"/>
      <c r="G76" s="59"/>
      <c r="H76" s="59"/>
      <c r="I76" s="59"/>
    </row>
    <row r="77" spans="1:9" ht="13.5">
      <c r="A77" s="278"/>
      <c r="B77" s="272"/>
      <c r="C77" s="59"/>
      <c r="D77" s="59"/>
      <c r="E77" s="59"/>
      <c r="F77" s="60"/>
      <c r="G77" s="59"/>
      <c r="H77" s="59"/>
      <c r="I77" s="59"/>
    </row>
    <row r="78" spans="1:9" ht="13.5">
      <c r="A78" s="278"/>
      <c r="B78" s="272"/>
      <c r="C78" s="59"/>
      <c r="D78" s="59"/>
      <c r="E78" s="59"/>
      <c r="F78" s="60"/>
      <c r="G78" s="59"/>
      <c r="H78" s="59"/>
      <c r="I78" s="59"/>
    </row>
    <row r="79" spans="1:9" ht="13.5">
      <c r="A79" s="278"/>
      <c r="B79" s="272"/>
      <c r="C79" s="59"/>
      <c r="D79" s="59"/>
      <c r="E79" s="59"/>
      <c r="F79" s="60"/>
      <c r="G79" s="59"/>
      <c r="H79" s="59"/>
      <c r="I79" s="59"/>
    </row>
    <row r="80" spans="1:9" ht="13.5">
      <c r="A80" s="278"/>
      <c r="B80" s="272"/>
      <c r="C80" s="59"/>
      <c r="D80" s="59"/>
      <c r="E80" s="59"/>
      <c r="F80" s="60"/>
      <c r="G80" s="59"/>
      <c r="H80" s="59"/>
      <c r="I80" s="59"/>
    </row>
    <row r="81" spans="1:9" ht="13.5">
      <c r="A81" s="278"/>
      <c r="B81" s="272"/>
      <c r="C81" s="59"/>
      <c r="D81" s="59"/>
      <c r="E81" s="59"/>
      <c r="F81" s="60"/>
      <c r="G81" s="59"/>
      <c r="H81" s="59"/>
      <c r="I81" s="59"/>
    </row>
    <row r="82" spans="1:9" ht="13.5">
      <c r="A82" s="278"/>
      <c r="B82" s="272"/>
      <c r="C82" s="59"/>
      <c r="D82" s="59"/>
      <c r="E82" s="59"/>
      <c r="F82" s="60"/>
      <c r="G82" s="59"/>
      <c r="H82" s="59"/>
      <c r="I82" s="59"/>
    </row>
    <row r="83" spans="1:9" ht="13.5">
      <c r="A83" s="278"/>
      <c r="B83" s="272"/>
      <c r="C83" s="59"/>
      <c r="D83" s="59"/>
      <c r="E83" s="59"/>
      <c r="F83" s="60"/>
      <c r="G83" s="59"/>
      <c r="H83" s="59"/>
      <c r="I83" s="59"/>
    </row>
    <row r="84" spans="1:9" ht="13.5">
      <c r="A84" s="278"/>
      <c r="B84" s="272"/>
      <c r="C84" s="59"/>
      <c r="D84" s="59"/>
      <c r="E84" s="59"/>
      <c r="F84" s="60"/>
      <c r="G84" s="59"/>
      <c r="H84" s="59"/>
      <c r="I84" s="59"/>
    </row>
    <row r="85" spans="1:9" ht="13.5">
      <c r="A85" s="278"/>
      <c r="B85" s="272"/>
      <c r="C85" s="59"/>
      <c r="D85" s="59"/>
      <c r="E85" s="59"/>
      <c r="F85" s="60"/>
      <c r="G85" s="59"/>
      <c r="H85" s="59"/>
      <c r="I85" s="59"/>
    </row>
    <row r="86" spans="1:9" ht="13.5">
      <c r="A86" s="278"/>
      <c r="B86" s="272"/>
      <c r="C86" s="59"/>
      <c r="D86" s="59"/>
      <c r="E86" s="59"/>
      <c r="F86" s="60"/>
      <c r="G86" s="59"/>
      <c r="H86" s="59"/>
      <c r="I86" s="59"/>
    </row>
    <row r="87" spans="1:9" ht="13.5">
      <c r="A87" s="278"/>
      <c r="B87" s="272"/>
      <c r="C87" s="59"/>
      <c r="D87" s="59"/>
      <c r="E87" s="59"/>
      <c r="F87" s="60"/>
      <c r="G87" s="59"/>
      <c r="H87" s="59"/>
      <c r="I87" s="59"/>
    </row>
    <row r="88" spans="1:9" ht="13.5">
      <c r="A88" s="278"/>
      <c r="B88" s="272"/>
      <c r="C88" s="59"/>
      <c r="D88" s="59"/>
      <c r="E88" s="59"/>
      <c r="F88" s="60"/>
      <c r="G88" s="59"/>
      <c r="H88" s="59"/>
      <c r="I88" s="59"/>
    </row>
    <row r="89" spans="1:9" ht="13.5">
      <c r="A89" s="278"/>
      <c r="B89" s="272"/>
      <c r="C89" s="59"/>
      <c r="D89" s="59"/>
      <c r="E89" s="59"/>
      <c r="F89" s="60"/>
      <c r="G89" s="59"/>
      <c r="H89" s="59"/>
      <c r="I89" s="59"/>
    </row>
    <row r="90" spans="1:9" ht="13.5">
      <c r="A90" s="278"/>
      <c r="B90" s="272"/>
      <c r="C90" s="59"/>
      <c r="D90" s="59"/>
      <c r="E90" s="59"/>
      <c r="F90" s="60"/>
      <c r="G90" s="59"/>
      <c r="H90" s="59"/>
      <c r="I90" s="59"/>
    </row>
    <row r="91" spans="1:9" ht="14">
      <c r="A91" s="278"/>
      <c r="B91" s="146"/>
      <c r="C91" s="59"/>
      <c r="D91" s="59"/>
      <c r="E91" s="59"/>
      <c r="F91" s="60"/>
      <c r="G91" s="59"/>
      <c r="H91" s="59"/>
      <c r="I91" s="59"/>
    </row>
    <row r="92" spans="1:9" ht="14">
      <c r="A92" s="278"/>
      <c r="B92" s="146"/>
      <c r="C92" s="59"/>
      <c r="D92" s="59"/>
      <c r="E92" s="59"/>
      <c r="F92" s="60"/>
      <c r="G92" s="59"/>
      <c r="H92" s="59"/>
      <c r="I92" s="59"/>
    </row>
    <row r="93" spans="1:9" ht="14">
      <c r="A93" s="58"/>
      <c r="B93" s="146"/>
      <c r="C93" s="59"/>
      <c r="D93" s="59"/>
      <c r="E93" s="59"/>
      <c r="F93" s="60"/>
      <c r="G93" s="59"/>
      <c r="H93" s="59"/>
      <c r="I93" s="59"/>
    </row>
    <row r="94" spans="1:9" ht="14">
      <c r="A94" s="58"/>
      <c r="B94" s="260"/>
      <c r="C94" s="58"/>
      <c r="D94" s="58"/>
      <c r="E94" s="58"/>
      <c r="F94" s="261"/>
      <c r="G94" s="58"/>
      <c r="H94" s="58"/>
      <c r="I94" s="58"/>
    </row>
    <row r="95" spans="1:9">
      <c r="A95" s="58"/>
      <c r="B95" s="58"/>
      <c r="C95" s="58"/>
      <c r="D95" s="58"/>
      <c r="E95" s="58"/>
      <c r="F95" s="58"/>
      <c r="G95" s="58"/>
      <c r="H95" s="58"/>
      <c r="I95" s="58"/>
    </row>
    <row r="96" spans="1:9" ht="14">
      <c r="A96" s="61"/>
      <c r="B96" s="147" t="s">
        <v>90</v>
      </c>
      <c r="C96" s="62">
        <f t="shared" ref="C96:I96" si="0">SUM(C10:C95)</f>
        <v>50</v>
      </c>
      <c r="D96" s="62">
        <f t="shared" si="0"/>
        <v>0</v>
      </c>
      <c r="E96" s="62">
        <f t="shared" si="0"/>
        <v>0</v>
      </c>
      <c r="F96" s="62">
        <f t="shared" si="0"/>
        <v>14</v>
      </c>
      <c r="G96" s="62">
        <f t="shared" si="0"/>
        <v>28</v>
      </c>
      <c r="H96" s="62">
        <f t="shared" si="0"/>
        <v>8</v>
      </c>
      <c r="I96" s="62">
        <f t="shared" si="0"/>
        <v>50</v>
      </c>
    </row>
    <row r="97" spans="1:9">
      <c r="A97" s="63"/>
      <c r="C97" s="64"/>
      <c r="D97" s="65"/>
      <c r="E97" s="65"/>
      <c r="F97" s="65"/>
      <c r="G97" s="65"/>
      <c r="H97" s="65"/>
      <c r="I97" s="65"/>
    </row>
    <row r="98" spans="1:9">
      <c r="B98" s="156" t="s">
        <v>91</v>
      </c>
      <c r="D98" s="157">
        <f>(C96+D96)*100/(I96)</f>
        <v>100</v>
      </c>
      <c r="E98" s="5" t="s">
        <v>92</v>
      </c>
      <c r="I98" s="66"/>
    </row>
    <row r="99" spans="1:9">
      <c r="B99" s="156" t="s">
        <v>93</v>
      </c>
      <c r="D99" s="157">
        <f>C96*100/(I96)</f>
        <v>100</v>
      </c>
      <c r="E99" s="5" t="s">
        <v>92</v>
      </c>
      <c r="I99" s="66"/>
    </row>
    <row r="100" spans="1:9">
      <c r="B100" s="156" t="s">
        <v>94</v>
      </c>
      <c r="D100" s="157">
        <f>F96*100/I96</f>
        <v>28</v>
      </c>
      <c r="E100" s="5" t="s">
        <v>92</v>
      </c>
    </row>
    <row r="101" spans="1:9">
      <c r="B101" s="156" t="s">
        <v>95</v>
      </c>
      <c r="D101" s="157">
        <f>G96*100/I96</f>
        <v>56</v>
      </c>
      <c r="E101" s="5" t="s">
        <v>92</v>
      </c>
    </row>
    <row r="102" spans="1:9">
      <c r="B102" s="156" t="s">
        <v>96</v>
      </c>
      <c r="D102" s="157">
        <f>H96*100/I96</f>
        <v>16</v>
      </c>
      <c r="E102" s="5" t="s">
        <v>92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'Get All Room'!A1" display="Room - 1" xr:uid="{775EB6B2-0D70-4B4B-ACF0-EF64FA9FD969}"/>
    <hyperlink ref="B13" location="'Get Room Detail'!A1" display="Room - 2" xr:uid="{C8588243-CAE4-4EF0-9180-C856B6665233}"/>
    <hyperlink ref="B14" location="'Add Room'!A1" display="Room - 3" xr:uid="{3B8D4C28-7F22-4239-A7BE-D809B8892879}"/>
    <hyperlink ref="B15" location="'Update Room'!A1" display="Room - 4" xr:uid="{0D724707-69C2-4792-A45A-EF8BC6C4D5DA}"/>
    <hyperlink ref="B16" location="'Entry Excel To Room'!A1" display="Room - 5" xr:uid="{31E4E278-ED91-42E2-B719-75212CFD1955}"/>
    <hyperlink ref="B17" location="'Get All Roles'!A1" display="Role - 1" xr:uid="{75EF372A-90DC-4B07-8EC4-535B331BBF47}"/>
    <hyperlink ref="B18" location="'Get Role Detail'!A1" display="Role - 2" xr:uid="{91CC5814-A70B-43C5-9F03-F9E2ED87FD23}"/>
    <hyperlink ref="B19" location="'Add New Role'!A1" display="Role - 3" xr:uid="{92A49F6C-1296-4C88-8BE6-D7601209D566}"/>
    <hyperlink ref="B20" location="'Update Role'!A1" display="Role - 4" xr:uid="{C21C30B3-A187-4E62-8A42-029812009B3E}"/>
    <hyperlink ref="B55" location="'GetReportFacility by Department'!A1" display="ReportFacility - 3" xr:uid="{9062560E-00FF-49DA-9C60-8A0B342A6F34}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970B-7F86-47A8-AACD-368CF7C53812}">
  <dimension ref="A1:V26"/>
  <sheetViews>
    <sheetView topLeftCell="A9" zoomScale="145" zoomScaleNormal="145" workbookViewId="0">
      <selection activeCell="X17" sqref="X17"/>
    </sheetView>
  </sheetViews>
  <sheetFormatPr defaultColWidth="9" defaultRowHeight="13.5" customHeight="1"/>
  <cols>
    <col min="1" max="1" width="8.1796875" style="69" customWidth="1"/>
    <col min="2" max="2" width="13.453125" style="73" customWidth="1"/>
    <col min="3" max="3" width="10.81640625" style="69" customWidth="1"/>
    <col min="4" max="4" width="11.453125" style="70" customWidth="1"/>
    <col min="5" max="5" width="1.81640625" style="69" hidden="1" customWidth="1"/>
    <col min="6" max="7" width="2.81640625" style="69" bestFit="1" customWidth="1"/>
    <col min="8" max="8" width="2.81640625" style="69" customWidth="1"/>
    <col min="9" max="10" width="2.81640625" style="69" bestFit="1" customWidth="1"/>
    <col min="11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str">
        <f>'Function List'!E11</f>
        <v>Room - 1</v>
      </c>
      <c r="D2" s="347"/>
      <c r="E2" s="348"/>
      <c r="F2" s="321" t="s">
        <v>72</v>
      </c>
      <c r="G2" s="322"/>
      <c r="H2" s="322"/>
      <c r="I2" s="322"/>
      <c r="J2" s="322"/>
      <c r="K2" s="323"/>
      <c r="L2" s="308" t="str">
        <f>'Function List'!D11</f>
        <v>Get All Room</v>
      </c>
      <c r="M2" s="309"/>
      <c r="N2" s="309"/>
      <c r="O2" s="309"/>
      <c r="P2" s="309"/>
      <c r="Q2" s="309"/>
      <c r="R2" s="309"/>
      <c r="S2" s="309"/>
      <c r="T2" s="310"/>
      <c r="V2" s="71"/>
    </row>
    <row r="3" spans="1:22" ht="13.5" customHeight="1">
      <c r="A3" s="332" t="s">
        <v>98</v>
      </c>
      <c r="B3" s="333"/>
      <c r="C3" s="327" t="s">
        <v>49</v>
      </c>
      <c r="D3" s="328"/>
      <c r="E3" s="329"/>
      <c r="F3" s="314" t="s">
        <v>99</v>
      </c>
      <c r="G3" s="315"/>
      <c r="H3" s="315"/>
      <c r="I3" s="315"/>
      <c r="J3" s="315"/>
      <c r="K3" s="316"/>
      <c r="L3" s="343" t="s">
        <v>49</v>
      </c>
      <c r="M3" s="344"/>
      <c r="N3" s="344"/>
      <c r="O3" s="344"/>
      <c r="P3" s="344"/>
      <c r="Q3" s="344"/>
      <c r="R3" s="344"/>
      <c r="S3" s="344"/>
      <c r="T3" s="345"/>
    </row>
    <row r="4" spans="1:22" ht="13.5" customHeight="1">
      <c r="A4" s="332" t="s">
        <v>100</v>
      </c>
      <c r="B4" s="333"/>
      <c r="C4" s="352">
        <v>100</v>
      </c>
      <c r="D4" s="353"/>
      <c r="E4" s="241"/>
      <c r="F4" s="314" t="s">
        <v>101</v>
      </c>
      <c r="G4" s="315"/>
      <c r="H4" s="315"/>
      <c r="I4" s="315"/>
      <c r="J4" s="315"/>
      <c r="K4" s="316"/>
      <c r="L4" s="317">
        <v>0</v>
      </c>
      <c r="M4" s="318"/>
      <c r="N4" s="318"/>
      <c r="O4" s="318"/>
      <c r="P4" s="318"/>
      <c r="Q4" s="318"/>
      <c r="R4" s="318"/>
      <c r="S4" s="318"/>
      <c r="T4" s="319"/>
      <c r="V4" s="71"/>
    </row>
    <row r="5" spans="1:22" ht="13.5" customHeight="1">
      <c r="A5" s="332" t="s">
        <v>102</v>
      </c>
      <c r="B5" s="333"/>
      <c r="C5" s="334" t="s">
        <v>103</v>
      </c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36" t="s">
        <v>104</v>
      </c>
      <c r="M6" s="312"/>
      <c r="N6" s="320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>
        <f>COUNTIF(F23:HQ23,"P")</f>
        <v>3</v>
      </c>
      <c r="B7" s="350"/>
      <c r="C7" s="341">
        <f>COUNTIF(F23:HQ23,"F")</f>
        <v>0</v>
      </c>
      <c r="D7" s="338"/>
      <c r="E7" s="350"/>
      <c r="F7" s="341">
        <f>SUM(O7,- A7,- C7)</f>
        <v>0</v>
      </c>
      <c r="G7" s="338"/>
      <c r="H7" s="338"/>
      <c r="I7" s="338"/>
      <c r="J7" s="338"/>
      <c r="K7" s="342"/>
      <c r="L7" s="152">
        <f>COUNTIF(E22:HQ22,"N")</f>
        <v>2</v>
      </c>
      <c r="M7" s="152">
        <f>COUNTIF(E22:HQ22,"A")</f>
        <v>1</v>
      </c>
      <c r="N7" s="152">
        <f>COUNTIF(E22:HQ22,"B")</f>
        <v>0</v>
      </c>
      <c r="O7" s="337">
        <f>COUNTA(E9:HT9)</f>
        <v>3</v>
      </c>
      <c r="P7" s="338"/>
      <c r="Q7" s="338"/>
      <c r="R7" s="338"/>
      <c r="S7" s="338"/>
      <c r="T7" s="339"/>
      <c r="U7" s="72"/>
    </row>
    <row r="8" spans="1:22" ht="10.5" thickBot="1"/>
    <row r="9" spans="1:22" ht="46.5" customHeight="1" thickTop="1" thickBot="1">
      <c r="A9" s="201"/>
      <c r="B9" s="202"/>
      <c r="C9" s="203"/>
      <c r="D9" s="204"/>
      <c r="E9" s="203"/>
      <c r="F9" s="238" t="s">
        <v>105</v>
      </c>
      <c r="G9" s="238" t="s">
        <v>106</v>
      </c>
      <c r="H9" s="238" t="s">
        <v>107</v>
      </c>
      <c r="I9" s="236"/>
      <c r="J9" s="236"/>
      <c r="K9" s="205"/>
      <c r="L9" s="205"/>
      <c r="M9" s="205"/>
      <c r="N9" s="205"/>
      <c r="O9" s="205"/>
      <c r="P9" s="205"/>
      <c r="Q9" s="205"/>
      <c r="R9" s="205"/>
      <c r="S9" s="205"/>
      <c r="T9" s="206"/>
      <c r="U9" s="74"/>
      <c r="V9" s="71"/>
    </row>
    <row r="10" spans="1:22" ht="13.5" customHeight="1">
      <c r="A10" s="183" t="s">
        <v>111</v>
      </c>
      <c r="B10" s="184" t="s">
        <v>112</v>
      </c>
      <c r="C10" s="185"/>
      <c r="D10" s="186"/>
      <c r="E10" s="80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72"/>
    </row>
    <row r="11" spans="1:22" ht="13.5" customHeight="1">
      <c r="A11" s="171"/>
      <c r="B11" s="75"/>
      <c r="C11" s="76"/>
      <c r="D11" s="77" t="s">
        <v>137</v>
      </c>
      <c r="E11" s="80"/>
      <c r="F11" s="148" t="s">
        <v>113</v>
      </c>
      <c r="G11" s="148" t="s">
        <v>113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s">
        <v>138</v>
      </c>
      <c r="E12" s="80"/>
      <c r="F12" s="148" t="s">
        <v>113</v>
      </c>
      <c r="G12" s="148" t="s">
        <v>113</v>
      </c>
      <c r="H12" s="148" t="s">
        <v>113</v>
      </c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s">
        <v>140</v>
      </c>
      <c r="E13" s="80"/>
      <c r="F13" s="148"/>
      <c r="G13" s="148" t="s">
        <v>113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 thickBot="1">
      <c r="A14" s="171"/>
      <c r="B14" s="75"/>
      <c r="C14" s="76"/>
      <c r="D14" s="77" t="s">
        <v>139</v>
      </c>
      <c r="E14" s="80"/>
      <c r="F14" s="148" t="s">
        <v>113</v>
      </c>
      <c r="G14" s="148"/>
      <c r="H14" s="148" t="s">
        <v>113</v>
      </c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70"/>
    </row>
    <row r="15" spans="1:22" ht="13.5" customHeight="1">
      <c r="A15" s="182" t="s">
        <v>115</v>
      </c>
      <c r="B15" s="83" t="s">
        <v>116</v>
      </c>
      <c r="C15" s="84"/>
      <c r="D15" s="85"/>
      <c r="E15" s="86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72"/>
    </row>
    <row r="16" spans="1:22" ht="13.5" customHeight="1">
      <c r="A16" s="181"/>
      <c r="B16" s="88"/>
      <c r="C16" s="89"/>
      <c r="D16" s="90" t="s">
        <v>141</v>
      </c>
      <c r="E16" s="91"/>
      <c r="F16" s="148" t="s">
        <v>113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70"/>
    </row>
    <row r="17" spans="1:20" ht="13.5" customHeight="1">
      <c r="A17" s="181"/>
      <c r="B17" s="88"/>
      <c r="C17" s="150"/>
      <c r="D17" s="90" t="s">
        <v>151</v>
      </c>
      <c r="E17" s="93"/>
      <c r="F17" s="148"/>
      <c r="G17" s="148" t="s">
        <v>113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70"/>
    </row>
    <row r="18" spans="1:20" ht="13.5" customHeight="1">
      <c r="A18" s="181"/>
      <c r="B18" s="88" t="s">
        <v>119</v>
      </c>
      <c r="C18" s="150"/>
      <c r="D18" s="90"/>
      <c r="E18" s="93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70"/>
    </row>
    <row r="19" spans="1:20" ht="13.5" customHeight="1">
      <c r="A19" s="181"/>
      <c r="B19" s="88"/>
      <c r="C19" s="150"/>
      <c r="D19" s="90" t="s">
        <v>152</v>
      </c>
      <c r="E19" s="93"/>
      <c r="F19" s="148"/>
      <c r="G19" s="148"/>
      <c r="H19" s="148" t="s">
        <v>113</v>
      </c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70"/>
    </row>
    <row r="20" spans="1:20" ht="13.5" customHeight="1">
      <c r="A20" s="181"/>
      <c r="B20" s="88" t="s">
        <v>119</v>
      </c>
      <c r="C20" s="150"/>
      <c r="D20" s="90"/>
      <c r="E20" s="93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70"/>
    </row>
    <row r="21" spans="1:20" ht="13.5" customHeight="1" thickBot="1">
      <c r="A21" s="181"/>
      <c r="B21" s="88"/>
      <c r="C21" s="150"/>
      <c r="D21" s="90" t="s">
        <v>154</v>
      </c>
      <c r="E21" s="93"/>
      <c r="F21" s="148"/>
      <c r="G21" s="148"/>
      <c r="H21" s="148" t="s">
        <v>113</v>
      </c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70"/>
    </row>
    <row r="22" spans="1:20" ht="13.5" customHeight="1" thickTop="1">
      <c r="A22" s="182" t="s">
        <v>120</v>
      </c>
      <c r="B22" s="326" t="s">
        <v>121</v>
      </c>
      <c r="C22" s="326"/>
      <c r="D22" s="326"/>
      <c r="E22" s="162"/>
      <c r="F22" s="163" t="s">
        <v>87</v>
      </c>
      <c r="G22" s="163" t="s">
        <v>87</v>
      </c>
      <c r="H22" s="163" t="s">
        <v>64</v>
      </c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73"/>
    </row>
    <row r="23" spans="1:20" ht="13.5" customHeight="1">
      <c r="A23" s="181"/>
      <c r="B23" s="349" t="s">
        <v>122</v>
      </c>
      <c r="C23" s="349"/>
      <c r="D23" s="349"/>
      <c r="E23" s="95"/>
      <c r="F23" s="151" t="s">
        <v>123</v>
      </c>
      <c r="G23" s="151" t="s">
        <v>123</v>
      </c>
      <c r="H23" s="151" t="s">
        <v>123</v>
      </c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75"/>
    </row>
    <row r="24" spans="1:20" ht="64.5" customHeight="1">
      <c r="A24" s="181"/>
      <c r="B24" s="324" t="s">
        <v>124</v>
      </c>
      <c r="C24" s="324"/>
      <c r="D24" s="324"/>
      <c r="E24" s="96"/>
      <c r="F24" s="97">
        <v>45700</v>
      </c>
      <c r="G24" s="97">
        <v>45700</v>
      </c>
      <c r="H24" s="97">
        <v>45700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176"/>
    </row>
    <row r="25" spans="1:20" ht="10.5" thickBot="1">
      <c r="A25" s="200"/>
      <c r="B25" s="325" t="s">
        <v>125</v>
      </c>
      <c r="C25" s="325"/>
      <c r="D25" s="325"/>
      <c r="E25" s="178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80"/>
    </row>
    <row r="26" spans="1:20" ht="10.5" thickTop="1">
      <c r="A26" s="164"/>
    </row>
  </sheetData>
  <mergeCells count="27">
    <mergeCell ref="A2:B2"/>
    <mergeCell ref="C2:E2"/>
    <mergeCell ref="B23:D23"/>
    <mergeCell ref="C7:E7"/>
    <mergeCell ref="A7:B7"/>
    <mergeCell ref="A3:B3"/>
    <mergeCell ref="A4:B4"/>
    <mergeCell ref="C4:D4"/>
    <mergeCell ref="B24:D24"/>
    <mergeCell ref="B25:D25"/>
    <mergeCell ref="B22:D22"/>
    <mergeCell ref="C3:E3"/>
    <mergeCell ref="A6:B6"/>
    <mergeCell ref="A5:B5"/>
    <mergeCell ref="C5:T5"/>
    <mergeCell ref="L6:N6"/>
    <mergeCell ref="O7:T7"/>
    <mergeCell ref="O6:T6"/>
    <mergeCell ref="F7:K7"/>
    <mergeCell ref="L3:T3"/>
    <mergeCell ref="L2:T2"/>
    <mergeCell ref="C6:E6"/>
    <mergeCell ref="F3:K3"/>
    <mergeCell ref="L4:T4"/>
    <mergeCell ref="F6:K6"/>
    <mergeCell ref="F4:K4"/>
    <mergeCell ref="F2:K2"/>
  </mergeCells>
  <phoneticPr fontId="33" type="noConversion"/>
  <dataValidations count="3">
    <dataValidation type="list" allowBlank="1" showInputMessage="1" showErrorMessage="1" sqref="F22:T22" xr:uid="{2028F52E-7021-404A-A000-4D8F117C5F89}">
      <formula1>"N,A,B, "</formula1>
    </dataValidation>
    <dataValidation type="list" allowBlank="1" showInputMessage="1" showErrorMessage="1" sqref="F23:T23" xr:uid="{D412C408-7759-48DA-AE96-0AB573F94351}">
      <formula1>"P,F, "</formula1>
    </dataValidation>
    <dataValidation type="list" allowBlank="1" showInputMessage="1" showErrorMessage="1" sqref="F10:T21" xr:uid="{AD46A2C8-87D0-4FFC-9CEF-D86EB3B005C2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990D-5131-4ABF-B257-CCFD762DDCAC}">
  <dimension ref="A1:V31"/>
  <sheetViews>
    <sheetView topLeftCell="A22" zoomScale="145" zoomScaleNormal="145" workbookViewId="0">
      <selection activeCell="W28" sqref="W28"/>
    </sheetView>
  </sheetViews>
  <sheetFormatPr defaultColWidth="9" defaultRowHeight="13.5" customHeight="1"/>
  <cols>
    <col min="1" max="1" width="8.1796875" style="69" customWidth="1"/>
    <col min="2" max="2" width="13.453125" style="73" customWidth="1"/>
    <col min="3" max="3" width="10.81640625" style="69" customWidth="1"/>
    <col min="4" max="4" width="11.453125" style="70" customWidth="1"/>
    <col min="5" max="5" width="1.81640625" style="69" hidden="1" customWidth="1"/>
    <col min="6" max="7" width="2.81640625" style="69" bestFit="1" customWidth="1"/>
    <col min="8" max="8" width="2.81640625" style="69" customWidth="1"/>
    <col min="9" max="10" width="2.81640625" style="69" bestFit="1" customWidth="1"/>
    <col min="11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22.5" customHeight="1" thickBot="1">
      <c r="D1" s="153"/>
    </row>
    <row r="2" spans="1:22" ht="15" customHeight="1">
      <c r="A2" s="358" t="s">
        <v>97</v>
      </c>
      <c r="B2" s="359"/>
      <c r="C2" s="360" t="str">
        <f>'Function List'!E12</f>
        <v>Room - 2</v>
      </c>
      <c r="D2" s="362"/>
      <c r="E2" s="267"/>
      <c r="F2" s="359" t="s">
        <v>72</v>
      </c>
      <c r="G2" s="359"/>
      <c r="H2" s="359"/>
      <c r="I2" s="359"/>
      <c r="J2" s="359"/>
      <c r="K2" s="359"/>
      <c r="L2" s="360" t="str">
        <f>'Function List'!D12</f>
        <v>Get Room Detail</v>
      </c>
      <c r="M2" s="360"/>
      <c r="N2" s="360"/>
      <c r="O2" s="360"/>
      <c r="P2" s="360"/>
      <c r="Q2" s="360"/>
      <c r="R2" s="360"/>
      <c r="S2" s="360"/>
      <c r="T2" s="361"/>
    </row>
    <row r="3" spans="1:22" ht="13.5" customHeight="1">
      <c r="A3" s="354" t="s">
        <v>98</v>
      </c>
      <c r="B3" s="355"/>
      <c r="C3" s="327" t="s">
        <v>49</v>
      </c>
      <c r="D3" s="328"/>
      <c r="E3" s="329"/>
      <c r="F3" s="363" t="s">
        <v>99</v>
      </c>
      <c r="G3" s="364"/>
      <c r="H3" s="364"/>
      <c r="I3" s="364"/>
      <c r="J3" s="364"/>
      <c r="K3" s="365"/>
      <c r="L3" s="356" t="s">
        <v>49</v>
      </c>
      <c r="M3" s="353"/>
      <c r="N3" s="353"/>
      <c r="O3" s="353"/>
      <c r="P3" s="353"/>
      <c r="Q3" s="353"/>
      <c r="R3" s="353"/>
      <c r="S3" s="353"/>
      <c r="T3" s="357"/>
    </row>
    <row r="4" spans="1:22" ht="13.5" customHeight="1">
      <c r="A4" s="332" t="s">
        <v>100</v>
      </c>
      <c r="B4" s="333"/>
      <c r="C4" s="352">
        <v>150</v>
      </c>
      <c r="D4" s="353"/>
      <c r="E4" s="241"/>
      <c r="F4" s="314" t="s">
        <v>101</v>
      </c>
      <c r="G4" s="315"/>
      <c r="H4" s="315"/>
      <c r="I4" s="315"/>
      <c r="J4" s="315"/>
      <c r="K4" s="316"/>
      <c r="L4" s="356">
        <f>U5</f>
        <v>0</v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 t="s">
        <v>158</v>
      </c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>
        <f>COUNTIF(F28:HQ28,"P")</f>
        <v>4</v>
      </c>
      <c r="B7" s="350"/>
      <c r="C7" s="341">
        <f>COUNTIF(F28:HQ28,"F")</f>
        <v>0</v>
      </c>
      <c r="D7" s="338"/>
      <c r="E7" s="350"/>
      <c r="F7" s="341">
        <f>SUM(O7,- A7,- C7)</f>
        <v>0</v>
      </c>
      <c r="G7" s="338"/>
      <c r="H7" s="338"/>
      <c r="I7" s="338"/>
      <c r="J7" s="338"/>
      <c r="K7" s="342"/>
      <c r="L7" s="152">
        <f>COUNTIF(E27:HQ27,"N")</f>
        <v>3</v>
      </c>
      <c r="M7" s="152">
        <f>COUNTIF(E27:HQ27,"A")</f>
        <v>1</v>
      </c>
      <c r="N7" s="152">
        <f>COUNTIF(E27:HQ27,"B")</f>
        <v>0</v>
      </c>
      <c r="O7" s="337">
        <f>COUNTA(E9:HT9)</f>
        <v>4</v>
      </c>
      <c r="P7" s="338"/>
      <c r="Q7" s="338"/>
      <c r="R7" s="338"/>
      <c r="S7" s="338"/>
      <c r="T7" s="339"/>
      <c r="U7" s="72"/>
    </row>
    <row r="8" spans="1:22" ht="10.5" thickBot="1"/>
    <row r="9" spans="1:22" ht="42" thickTop="1" thickBot="1">
      <c r="A9" s="189"/>
      <c r="B9" s="190"/>
      <c r="C9" s="191"/>
      <c r="D9" s="192"/>
      <c r="E9" s="191"/>
      <c r="F9" s="193" t="s">
        <v>105</v>
      </c>
      <c r="G9" s="193" t="s">
        <v>106</v>
      </c>
      <c r="H9" s="193" t="s">
        <v>107</v>
      </c>
      <c r="I9" s="193" t="s">
        <v>108</v>
      </c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4"/>
      <c r="U9" s="74"/>
      <c r="V9" s="71"/>
    </row>
    <row r="10" spans="1:22" ht="13.5" customHeight="1">
      <c r="A10" s="183" t="s">
        <v>111</v>
      </c>
      <c r="B10" s="75" t="s">
        <v>126</v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s">
        <v>137</v>
      </c>
      <c r="E11" s="80"/>
      <c r="F11" s="148" t="s">
        <v>113</v>
      </c>
      <c r="G11" s="148" t="s">
        <v>113</v>
      </c>
      <c r="H11" s="148" t="s">
        <v>113</v>
      </c>
      <c r="I11" s="148" t="s">
        <v>113</v>
      </c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s">
        <v>138</v>
      </c>
      <c r="E12" s="80"/>
      <c r="F12" s="148" t="s">
        <v>113</v>
      </c>
      <c r="G12" s="148" t="s">
        <v>113</v>
      </c>
      <c r="H12" s="148" t="s">
        <v>113</v>
      </c>
      <c r="I12" s="148" t="s">
        <v>113</v>
      </c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70"/>
      <c r="V12" s="71"/>
    </row>
    <row r="13" spans="1:22" ht="13.5" customHeight="1">
      <c r="A13" s="171"/>
      <c r="B13" s="75"/>
      <c r="C13" s="76"/>
      <c r="D13" s="77" t="s">
        <v>156</v>
      </c>
      <c r="E13" s="80"/>
      <c r="F13" s="148" t="s">
        <v>113</v>
      </c>
      <c r="G13" s="148" t="s">
        <v>113</v>
      </c>
      <c r="H13" s="148" t="s">
        <v>113</v>
      </c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s">
        <v>155</v>
      </c>
      <c r="E14" s="80"/>
      <c r="F14" s="148"/>
      <c r="G14" s="148"/>
      <c r="H14" s="148"/>
      <c r="I14" s="148" t="s">
        <v>113</v>
      </c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70"/>
    </row>
    <row r="15" spans="1:22" ht="13.5" customHeight="1">
      <c r="A15" s="171"/>
      <c r="B15" s="75" t="s">
        <v>147</v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s">
        <v>148</v>
      </c>
      <c r="E16" s="81"/>
      <c r="F16" s="148" t="s">
        <v>113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195"/>
    </row>
    <row r="17" spans="1:21" ht="13.5" customHeight="1">
      <c r="A17" s="171"/>
      <c r="B17" s="75"/>
      <c r="C17" s="76"/>
      <c r="D17" s="77" t="s">
        <v>114</v>
      </c>
      <c r="E17" s="81"/>
      <c r="F17" s="79"/>
      <c r="G17" s="148" t="s">
        <v>113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1" ht="13.5" customHeight="1">
      <c r="A18" s="171"/>
      <c r="B18" s="75"/>
      <c r="C18" s="76"/>
      <c r="D18" s="77" t="s">
        <v>149</v>
      </c>
      <c r="E18" s="81"/>
      <c r="F18" s="79"/>
      <c r="G18" s="148"/>
      <c r="H18" s="148" t="s">
        <v>113</v>
      </c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1" ht="13.5" customHeight="1" thickBot="1">
      <c r="A19" s="171"/>
      <c r="B19" s="75"/>
      <c r="C19" s="76"/>
      <c r="D19" s="77" t="s">
        <v>157</v>
      </c>
      <c r="E19" s="81"/>
      <c r="F19" s="79"/>
      <c r="G19" s="79"/>
      <c r="H19" s="148"/>
      <c r="I19" s="148" t="s">
        <v>113</v>
      </c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95"/>
      <c r="U19" s="82"/>
    </row>
    <row r="20" spans="1:21" ht="13.5" customHeight="1">
      <c r="A20" s="182" t="s">
        <v>115</v>
      </c>
      <c r="B20" s="83" t="s">
        <v>128</v>
      </c>
      <c r="C20" s="84"/>
      <c r="D20" s="85"/>
      <c r="E20" s="86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196"/>
    </row>
    <row r="21" spans="1:21" ht="13.5" customHeight="1">
      <c r="A21" s="181"/>
      <c r="B21" s="88"/>
      <c r="C21" s="89"/>
      <c r="D21" s="90" t="s">
        <v>150</v>
      </c>
      <c r="E21" s="91"/>
      <c r="F21" s="148" t="s">
        <v>113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1" ht="13.5" customHeight="1">
      <c r="A22" s="181"/>
      <c r="B22" s="88"/>
      <c r="C22" s="92"/>
      <c r="D22" s="90" t="s">
        <v>151</v>
      </c>
      <c r="E22" s="93"/>
      <c r="F22" s="79"/>
      <c r="G22" s="148" t="s">
        <v>113</v>
      </c>
      <c r="H22" s="79"/>
      <c r="I22" s="148" t="s">
        <v>113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1" ht="13.5" customHeight="1">
      <c r="A23" s="181"/>
      <c r="B23" s="88" t="s">
        <v>129</v>
      </c>
      <c r="C23" s="92"/>
      <c r="D23" s="90"/>
      <c r="E23" s="93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1" ht="13.5" customHeight="1">
      <c r="A24" s="181"/>
      <c r="B24" s="88"/>
      <c r="C24" s="92"/>
      <c r="D24" s="90" t="s">
        <v>152</v>
      </c>
      <c r="E24" s="93"/>
      <c r="F24" s="79"/>
      <c r="G24" s="79"/>
      <c r="H24" s="148" t="s">
        <v>113</v>
      </c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1" ht="13.5" customHeight="1">
      <c r="A25" s="181"/>
      <c r="B25" s="88" t="s">
        <v>153</v>
      </c>
      <c r="C25" s="92"/>
      <c r="D25" s="90"/>
      <c r="E25" s="93"/>
      <c r="F25" s="79"/>
      <c r="G25" s="79"/>
      <c r="H25" s="148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1" ht="13.5" customHeight="1" thickBot="1">
      <c r="A26" s="181"/>
      <c r="B26" s="88"/>
      <c r="C26" s="92"/>
      <c r="D26" s="90" t="s">
        <v>154</v>
      </c>
      <c r="E26" s="93"/>
      <c r="F26" s="79"/>
      <c r="G26" s="79"/>
      <c r="H26" s="148" t="s">
        <v>113</v>
      </c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1" ht="13.5" customHeight="1" thickTop="1">
      <c r="A27" s="182" t="s">
        <v>120</v>
      </c>
      <c r="B27" s="326" t="s">
        <v>121</v>
      </c>
      <c r="C27" s="326"/>
      <c r="D27" s="326"/>
      <c r="E27" s="162"/>
      <c r="F27" s="188" t="s">
        <v>87</v>
      </c>
      <c r="G27" s="188" t="s">
        <v>87</v>
      </c>
      <c r="H27" s="188" t="s">
        <v>64</v>
      </c>
      <c r="I27" s="188" t="s">
        <v>87</v>
      </c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98"/>
    </row>
    <row r="28" spans="1:21" ht="13.5" customHeight="1">
      <c r="A28" s="181"/>
      <c r="B28" s="349" t="s">
        <v>122</v>
      </c>
      <c r="C28" s="349"/>
      <c r="D28" s="349"/>
      <c r="E28" s="95"/>
      <c r="F28" s="94" t="s">
        <v>123</v>
      </c>
      <c r="G28" s="94" t="s">
        <v>123</v>
      </c>
      <c r="H28" s="94" t="s">
        <v>123</v>
      </c>
      <c r="I28" s="94" t="s">
        <v>123</v>
      </c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199"/>
    </row>
    <row r="29" spans="1:21" ht="69" customHeight="1">
      <c r="A29" s="181"/>
      <c r="B29" s="324" t="s">
        <v>124</v>
      </c>
      <c r="C29" s="324"/>
      <c r="D29" s="324"/>
      <c r="E29" s="96"/>
      <c r="F29" s="97">
        <v>45700</v>
      </c>
      <c r="G29" s="97">
        <v>45700</v>
      </c>
      <c r="H29" s="97">
        <v>45700</v>
      </c>
      <c r="I29" s="97">
        <v>45700</v>
      </c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176"/>
    </row>
    <row r="30" spans="1:21" ht="10.5" thickBot="1">
      <c r="A30" s="200"/>
      <c r="B30" s="325" t="s">
        <v>125</v>
      </c>
      <c r="C30" s="325"/>
      <c r="D30" s="325"/>
      <c r="E30" s="178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80"/>
    </row>
    <row r="31" spans="1:21" ht="10.5" thickTop="1">
      <c r="A31" s="73"/>
      <c r="B31" s="69"/>
      <c r="C31" s="70"/>
      <c r="D31" s="69"/>
    </row>
  </sheetData>
  <mergeCells count="27">
    <mergeCell ref="L3:T3"/>
    <mergeCell ref="A2:B2"/>
    <mergeCell ref="O7:T7"/>
    <mergeCell ref="F2:K2"/>
    <mergeCell ref="L2:T2"/>
    <mergeCell ref="C2:D2"/>
    <mergeCell ref="O6:T6"/>
    <mergeCell ref="C6:E6"/>
    <mergeCell ref="F3:K3"/>
    <mergeCell ref="L4:T4"/>
    <mergeCell ref="F6:K6"/>
    <mergeCell ref="F4:K4"/>
    <mergeCell ref="L6:N6"/>
    <mergeCell ref="F7:K7"/>
    <mergeCell ref="C7:E7"/>
    <mergeCell ref="C5:T5"/>
    <mergeCell ref="B29:D29"/>
    <mergeCell ref="A7:B7"/>
    <mergeCell ref="B30:D30"/>
    <mergeCell ref="B27:D27"/>
    <mergeCell ref="C3:E3"/>
    <mergeCell ref="A3:B3"/>
    <mergeCell ref="A4:B4"/>
    <mergeCell ref="C4:D4"/>
    <mergeCell ref="A6:B6"/>
    <mergeCell ref="B28:D28"/>
    <mergeCell ref="A5:B5"/>
  </mergeCells>
  <phoneticPr fontId="33" type="noConversion"/>
  <dataValidations disablePrompts="1" count="3">
    <dataValidation type="list" allowBlank="1" showInputMessage="1" showErrorMessage="1" sqref="F27:T27" xr:uid="{B5A2E569-B25A-4F68-913B-104A26D36838}">
      <formula1>"N,A,B, "</formula1>
    </dataValidation>
    <dataValidation type="list" allowBlank="1" showInputMessage="1" showErrorMessage="1" sqref="F28:T28" xr:uid="{F4ED0BEC-FDAE-4FB6-81F8-F95AC1108145}">
      <formula1>"P,F, "</formula1>
    </dataValidation>
    <dataValidation type="list" allowBlank="1" showInputMessage="1" showErrorMessage="1" sqref="F10:T26" xr:uid="{0A689056-F0AC-4AC5-BFA2-D93C9B57A79A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2D57-4F51-4CCF-8532-E03D3C089B12}">
  <dimension ref="A1:W41"/>
  <sheetViews>
    <sheetView zoomScale="130" zoomScaleNormal="130" workbookViewId="0">
      <selection activeCell="W36" sqref="W36"/>
    </sheetView>
  </sheetViews>
  <sheetFormatPr defaultColWidth="9" defaultRowHeight="13.5" customHeight="1"/>
  <cols>
    <col min="1" max="1" width="6.81640625" style="98" customWidth="1"/>
    <col min="2" max="2" width="13.453125" style="102" customWidth="1"/>
    <col min="3" max="3" width="10.81640625" style="98" customWidth="1"/>
    <col min="4" max="4" width="23.36328125" style="99" customWidth="1"/>
    <col min="5" max="5" width="1.81640625" style="98" hidden="1" customWidth="1"/>
    <col min="6" max="7" width="2.81640625" style="98" bestFit="1" customWidth="1"/>
    <col min="8" max="8" width="2.81640625" style="98" customWidth="1"/>
    <col min="9" max="10" width="2.81640625" style="98" bestFit="1" customWidth="1"/>
    <col min="11" max="19" width="2.81640625" style="98" customWidth="1"/>
    <col min="20" max="20" width="2.81640625" style="98" bestFit="1" customWidth="1"/>
    <col min="21" max="21" width="2.81640625" style="98" customWidth="1"/>
    <col min="22" max="256" width="11" style="98" customWidth="1"/>
    <col min="257" max="16384" width="9" style="98"/>
  </cols>
  <sheetData>
    <row r="1" spans="1:23" ht="13.5" customHeight="1" thickBot="1"/>
    <row r="2" spans="1:23" ht="13.5" customHeight="1">
      <c r="A2" s="358" t="s">
        <v>97</v>
      </c>
      <c r="B2" s="359"/>
      <c r="C2" s="360" t="str">
        <f>'Function List'!E13</f>
        <v>Room - 3</v>
      </c>
      <c r="D2" s="362"/>
      <c r="E2" s="268"/>
      <c r="F2" s="359" t="s">
        <v>72</v>
      </c>
      <c r="G2" s="359"/>
      <c r="H2" s="359"/>
      <c r="I2" s="359"/>
      <c r="J2" s="359"/>
      <c r="K2" s="359"/>
      <c r="L2" s="393" t="str">
        <f>'Function List'!D13</f>
        <v>Add Room</v>
      </c>
      <c r="M2" s="394"/>
      <c r="N2" s="394"/>
      <c r="O2" s="394"/>
      <c r="P2" s="394"/>
      <c r="Q2" s="394"/>
      <c r="R2" s="394"/>
      <c r="S2" s="394"/>
      <c r="T2" s="395"/>
    </row>
    <row r="3" spans="1:23" ht="13.5" customHeight="1">
      <c r="A3" s="374" t="s">
        <v>98</v>
      </c>
      <c r="B3" s="375"/>
      <c r="C3" s="368" t="s">
        <v>49</v>
      </c>
      <c r="D3" s="369"/>
      <c r="E3" s="370"/>
      <c r="F3" s="390" t="s">
        <v>99</v>
      </c>
      <c r="G3" s="391"/>
      <c r="H3" s="391"/>
      <c r="I3" s="391"/>
      <c r="J3" s="391"/>
      <c r="K3" s="392"/>
      <c r="L3" s="399" t="s">
        <v>49</v>
      </c>
      <c r="M3" s="400"/>
      <c r="N3" s="400"/>
      <c r="O3" s="400"/>
      <c r="P3" s="400"/>
      <c r="Q3" s="400"/>
      <c r="R3" s="400"/>
      <c r="S3" s="400"/>
      <c r="T3" s="401"/>
    </row>
    <row r="4" spans="1:23" ht="13.5" customHeight="1">
      <c r="A4" s="374" t="s">
        <v>100</v>
      </c>
      <c r="B4" s="375"/>
      <c r="C4" s="402">
        <v>160</v>
      </c>
      <c r="D4" s="400"/>
      <c r="E4" s="242"/>
      <c r="F4" s="390" t="s">
        <v>101</v>
      </c>
      <c r="G4" s="391"/>
      <c r="H4" s="391"/>
      <c r="I4" s="391"/>
      <c r="J4" s="391"/>
      <c r="K4" s="392"/>
      <c r="L4" s="399">
        <v>0</v>
      </c>
      <c r="M4" s="400"/>
      <c r="N4" s="400"/>
      <c r="O4" s="400"/>
      <c r="P4" s="400"/>
      <c r="Q4" s="400"/>
      <c r="R4" s="400"/>
      <c r="S4" s="400"/>
      <c r="T4" s="401"/>
      <c r="V4" s="100"/>
    </row>
    <row r="5" spans="1:23" ht="13.5" customHeight="1">
      <c r="A5" s="374" t="s">
        <v>102</v>
      </c>
      <c r="B5" s="375"/>
      <c r="C5" s="376"/>
      <c r="D5" s="376"/>
      <c r="E5" s="376"/>
      <c r="F5" s="377"/>
      <c r="G5" s="377"/>
      <c r="H5" s="377"/>
      <c r="I5" s="377"/>
      <c r="J5" s="377"/>
      <c r="K5" s="377"/>
      <c r="L5" s="376"/>
      <c r="M5" s="376"/>
      <c r="N5" s="376"/>
      <c r="O5" s="376"/>
      <c r="P5" s="376"/>
      <c r="Q5" s="376"/>
      <c r="R5" s="376"/>
      <c r="S5" s="376"/>
      <c r="T5" s="376"/>
    </row>
    <row r="6" spans="1:23" ht="13.5" customHeight="1">
      <c r="A6" s="372" t="s">
        <v>84</v>
      </c>
      <c r="B6" s="373"/>
      <c r="C6" s="388" t="s">
        <v>85</v>
      </c>
      <c r="D6" s="378"/>
      <c r="E6" s="389"/>
      <c r="F6" s="388" t="s">
        <v>86</v>
      </c>
      <c r="G6" s="378"/>
      <c r="H6" s="378"/>
      <c r="I6" s="378"/>
      <c r="J6" s="378"/>
      <c r="K6" s="396"/>
      <c r="L6" s="378" t="s">
        <v>104</v>
      </c>
      <c r="M6" s="378"/>
      <c r="N6" s="378"/>
      <c r="O6" s="397" t="s">
        <v>89</v>
      </c>
      <c r="P6" s="378"/>
      <c r="Q6" s="378"/>
      <c r="R6" s="378"/>
      <c r="S6" s="378"/>
      <c r="T6" s="398"/>
      <c r="V6" s="100"/>
    </row>
    <row r="7" spans="1:23" ht="13.5" customHeight="1" thickBot="1">
      <c r="A7" s="387">
        <f>COUNTIF(F38:HQ38,"P")</f>
        <v>6</v>
      </c>
      <c r="B7" s="386"/>
      <c r="C7" s="382">
        <f>COUNTIF(F38:HQ38,"F")</f>
        <v>0</v>
      </c>
      <c r="D7" s="380"/>
      <c r="E7" s="386"/>
      <c r="F7" s="382">
        <f>SUM(O7,- A7,- C7)</f>
        <v>0</v>
      </c>
      <c r="G7" s="380"/>
      <c r="H7" s="380"/>
      <c r="I7" s="380"/>
      <c r="J7" s="380"/>
      <c r="K7" s="383"/>
      <c r="L7" s="207">
        <f>COUNTIF(E37:HQ37,"N")</f>
        <v>1</v>
      </c>
      <c r="M7" s="207">
        <f>COUNTIF(E37:HQ37,"A")</f>
        <v>5</v>
      </c>
      <c r="N7" s="207">
        <f>COUNTIF(E37:HQ37,"B")</f>
        <v>0</v>
      </c>
      <c r="O7" s="379">
        <f>COUNTA(E9:HT9)</f>
        <v>6</v>
      </c>
      <c r="P7" s="380"/>
      <c r="Q7" s="380"/>
      <c r="R7" s="380"/>
      <c r="S7" s="380"/>
      <c r="T7" s="381"/>
      <c r="U7" s="101"/>
    </row>
    <row r="8" spans="1:23" ht="10.5" thickBot="1"/>
    <row r="9" spans="1:23" ht="46.5" customHeight="1" thickTop="1" thickBot="1">
      <c r="A9" s="215"/>
      <c r="B9" s="216"/>
      <c r="C9" s="217"/>
      <c r="D9" s="218"/>
      <c r="E9" s="217"/>
      <c r="F9" s="219" t="s">
        <v>105</v>
      </c>
      <c r="G9" s="219" t="s">
        <v>106</v>
      </c>
      <c r="H9" s="219" t="s">
        <v>107</v>
      </c>
      <c r="I9" s="219" t="s">
        <v>108</v>
      </c>
      <c r="J9" s="219" t="s">
        <v>109</v>
      </c>
      <c r="K9" s="219" t="s">
        <v>110</v>
      </c>
      <c r="L9" s="219"/>
      <c r="M9" s="219"/>
      <c r="N9" s="219"/>
      <c r="O9" s="219"/>
      <c r="P9" s="219"/>
      <c r="Q9" s="219"/>
      <c r="R9" s="219"/>
      <c r="S9" s="219"/>
      <c r="T9" s="220"/>
      <c r="U9" s="103"/>
      <c r="V9" s="100"/>
    </row>
    <row r="10" spans="1:23" ht="13.5" customHeight="1">
      <c r="A10" s="221" t="s">
        <v>111</v>
      </c>
      <c r="B10" s="104" t="s">
        <v>112</v>
      </c>
      <c r="C10" s="105"/>
      <c r="D10" s="106"/>
      <c r="E10" s="107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222"/>
    </row>
    <row r="11" spans="1:23" ht="13.5" customHeight="1">
      <c r="A11" s="223"/>
      <c r="B11" s="75"/>
      <c r="C11" s="76"/>
      <c r="D11" s="77" t="s">
        <v>137</v>
      </c>
      <c r="E11" s="80"/>
      <c r="F11" s="148" t="s">
        <v>113</v>
      </c>
      <c r="G11" s="148" t="s">
        <v>113</v>
      </c>
      <c r="H11" s="148" t="s">
        <v>113</v>
      </c>
      <c r="I11" s="148" t="s">
        <v>113</v>
      </c>
      <c r="J11" s="148" t="s">
        <v>113</v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100"/>
    </row>
    <row r="12" spans="1:23" ht="13.5" customHeight="1">
      <c r="A12" s="223"/>
      <c r="B12" s="75"/>
      <c r="C12" s="76"/>
      <c r="D12" s="77" t="s">
        <v>138</v>
      </c>
      <c r="E12" s="80"/>
      <c r="F12" s="148" t="s">
        <v>113</v>
      </c>
      <c r="G12" s="148" t="s">
        <v>113</v>
      </c>
      <c r="H12" s="148" t="s">
        <v>113</v>
      </c>
      <c r="I12" s="148" t="s">
        <v>113</v>
      </c>
      <c r="J12" s="148" t="s">
        <v>113</v>
      </c>
      <c r="K12" s="148" t="s">
        <v>113</v>
      </c>
      <c r="L12" s="148"/>
      <c r="M12" s="148"/>
      <c r="N12" s="148"/>
      <c r="O12" s="148"/>
      <c r="P12" s="148"/>
      <c r="Q12" s="148"/>
      <c r="R12" s="148"/>
      <c r="S12" s="148"/>
      <c r="T12" s="170"/>
    </row>
    <row r="13" spans="1:23" ht="13.5" customHeight="1">
      <c r="A13" s="223"/>
      <c r="B13" s="104" t="s">
        <v>159</v>
      </c>
      <c r="C13" s="105"/>
      <c r="D13" s="106"/>
      <c r="E13" s="109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222"/>
    </row>
    <row r="14" spans="1:23" ht="13.5" customHeight="1">
      <c r="A14" s="223"/>
      <c r="B14" s="104"/>
      <c r="C14" s="105"/>
      <c r="D14" s="106">
        <v>1</v>
      </c>
      <c r="E14" s="109"/>
      <c r="F14" s="148" t="s">
        <v>113</v>
      </c>
      <c r="G14" s="108"/>
      <c r="H14" s="148" t="s">
        <v>113</v>
      </c>
      <c r="I14" s="108"/>
      <c r="J14" s="148" t="s">
        <v>113</v>
      </c>
      <c r="K14" s="148" t="s">
        <v>113</v>
      </c>
      <c r="L14" s="108"/>
      <c r="M14" s="108"/>
      <c r="N14" s="108"/>
      <c r="O14" s="108"/>
      <c r="P14" s="108"/>
      <c r="Q14" s="108"/>
      <c r="R14" s="108"/>
      <c r="S14" s="108"/>
      <c r="T14" s="222"/>
      <c r="W14" s="100"/>
    </row>
    <row r="15" spans="1:23" ht="13.5" customHeight="1">
      <c r="A15" s="223"/>
      <c r="B15" s="104"/>
      <c r="C15" s="105"/>
      <c r="D15" s="106">
        <v>0</v>
      </c>
      <c r="E15" s="109"/>
      <c r="F15" s="108"/>
      <c r="G15" s="108"/>
      <c r="H15" s="108"/>
      <c r="I15" s="148" t="s">
        <v>113</v>
      </c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222"/>
    </row>
    <row r="16" spans="1:23" ht="13.5" customHeight="1">
      <c r="A16" s="223"/>
      <c r="B16" s="104"/>
      <c r="C16" s="105"/>
      <c r="D16" s="106" t="s">
        <v>127</v>
      </c>
      <c r="E16" s="109"/>
      <c r="F16" s="108"/>
      <c r="G16" s="148" t="s">
        <v>113</v>
      </c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222"/>
      <c r="U16" s="110"/>
    </row>
    <row r="17" spans="1:21" ht="13.5" customHeight="1">
      <c r="A17" s="223"/>
      <c r="B17" s="104" t="s">
        <v>147</v>
      </c>
      <c r="C17" s="105"/>
      <c r="D17" s="106"/>
      <c r="E17" s="109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222"/>
      <c r="U17" s="110"/>
    </row>
    <row r="18" spans="1:21" ht="13.5" customHeight="1">
      <c r="A18" s="223"/>
      <c r="B18" s="104"/>
      <c r="C18" s="105"/>
      <c r="D18" s="371" t="s">
        <v>148</v>
      </c>
      <c r="E18" s="371"/>
      <c r="F18" s="148" t="s">
        <v>113</v>
      </c>
      <c r="G18" s="108"/>
      <c r="H18" s="108"/>
      <c r="I18" s="108"/>
      <c r="J18" s="148" t="s">
        <v>113</v>
      </c>
      <c r="K18" s="148" t="s">
        <v>113</v>
      </c>
      <c r="L18" s="108"/>
      <c r="M18" s="108"/>
      <c r="N18" s="108"/>
      <c r="O18" s="108"/>
      <c r="P18" s="108"/>
      <c r="Q18" s="108"/>
      <c r="R18" s="108"/>
      <c r="S18" s="108"/>
      <c r="T18" s="222"/>
    </row>
    <row r="19" spans="1:21" ht="13.5" customHeight="1">
      <c r="A19" s="223"/>
      <c r="B19" s="104"/>
      <c r="C19" s="105"/>
      <c r="D19" s="106" t="s">
        <v>160</v>
      </c>
      <c r="E19" s="109"/>
      <c r="F19" s="108"/>
      <c r="G19" s="108"/>
      <c r="H19" s="108"/>
      <c r="I19" s="148" t="s">
        <v>113</v>
      </c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222"/>
    </row>
    <row r="20" spans="1:21" ht="13.5" customHeight="1">
      <c r="A20" s="223"/>
      <c r="B20" s="104"/>
      <c r="C20" s="105"/>
      <c r="D20" s="106" t="s">
        <v>114</v>
      </c>
      <c r="E20" s="109"/>
      <c r="F20" s="108"/>
      <c r="G20" s="148" t="s">
        <v>113</v>
      </c>
      <c r="H20" s="148" t="s">
        <v>113</v>
      </c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222"/>
    </row>
    <row r="21" spans="1:21" ht="13.5" customHeight="1">
      <c r="A21" s="223"/>
      <c r="B21" s="104" t="s">
        <v>75</v>
      </c>
      <c r="C21" s="105"/>
      <c r="D21" s="106"/>
      <c r="E21" s="109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222"/>
    </row>
    <row r="22" spans="1:21" ht="13.5" customHeight="1">
      <c r="A22" s="223"/>
      <c r="B22" s="104"/>
      <c r="C22" s="105"/>
      <c r="D22" s="106" t="s">
        <v>161</v>
      </c>
      <c r="E22" s="109"/>
      <c r="F22" s="148" t="s">
        <v>113</v>
      </c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222"/>
    </row>
    <row r="23" spans="1:21" ht="13.5" customHeight="1">
      <c r="A23" s="223"/>
      <c r="B23" s="104"/>
      <c r="C23" s="105"/>
      <c r="D23" s="106" t="s">
        <v>162</v>
      </c>
      <c r="E23" s="109"/>
      <c r="F23" s="108"/>
      <c r="G23" s="108"/>
      <c r="H23" s="148" t="s">
        <v>113</v>
      </c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222"/>
    </row>
    <row r="24" spans="1:21" ht="13.5" customHeight="1">
      <c r="A24" s="223"/>
      <c r="B24" s="104"/>
      <c r="C24" s="105"/>
      <c r="D24" s="106" t="s">
        <v>163</v>
      </c>
      <c r="E24" s="109"/>
      <c r="F24" s="108"/>
      <c r="G24" s="108"/>
      <c r="H24" s="108"/>
      <c r="I24" s="148" t="s">
        <v>113</v>
      </c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222"/>
    </row>
    <row r="25" spans="1:21" ht="13.5" customHeight="1">
      <c r="A25" s="223"/>
      <c r="B25" s="104"/>
      <c r="C25" s="105"/>
      <c r="D25" s="106" t="s">
        <v>164</v>
      </c>
      <c r="E25" s="109"/>
      <c r="F25" s="108"/>
      <c r="G25" s="108"/>
      <c r="H25" s="108"/>
      <c r="I25" s="108"/>
      <c r="J25" s="108"/>
      <c r="K25" s="148" t="s">
        <v>113</v>
      </c>
      <c r="L25" s="108"/>
      <c r="M25" s="108"/>
      <c r="N25" s="108"/>
      <c r="O25" s="108"/>
      <c r="P25" s="108"/>
      <c r="Q25" s="108"/>
      <c r="R25" s="108"/>
      <c r="S25" s="108"/>
      <c r="T25" s="222"/>
    </row>
    <row r="26" spans="1:21" ht="13.5" customHeight="1" thickBot="1">
      <c r="A26" s="223"/>
      <c r="B26" s="104"/>
      <c r="C26" s="105"/>
      <c r="D26" s="106" t="s">
        <v>127</v>
      </c>
      <c r="E26" s="109"/>
      <c r="F26" s="108"/>
      <c r="G26" s="148" t="s">
        <v>113</v>
      </c>
      <c r="H26" s="108"/>
      <c r="I26" s="108"/>
      <c r="J26" s="148" t="s">
        <v>113</v>
      </c>
      <c r="K26" s="108"/>
      <c r="L26" s="108"/>
      <c r="M26" s="108"/>
      <c r="N26" s="108"/>
      <c r="O26" s="108"/>
      <c r="P26" s="108"/>
      <c r="Q26" s="108"/>
      <c r="R26" s="108"/>
      <c r="S26" s="108"/>
      <c r="T26" s="222"/>
    </row>
    <row r="27" spans="1:21" ht="13.5" customHeight="1">
      <c r="A27" s="224" t="s">
        <v>115</v>
      </c>
      <c r="B27" s="111" t="s">
        <v>116</v>
      </c>
      <c r="C27" s="112"/>
      <c r="D27" s="113"/>
      <c r="E27" s="114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225"/>
    </row>
    <row r="28" spans="1:21" ht="13.5" customHeight="1">
      <c r="A28" s="226"/>
      <c r="B28" s="116"/>
      <c r="C28" s="117"/>
      <c r="D28" s="118" t="s">
        <v>117</v>
      </c>
      <c r="E28" s="119"/>
      <c r="F28" s="148" t="s">
        <v>113</v>
      </c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222"/>
    </row>
    <row r="29" spans="1:21" ht="13.5" customHeight="1">
      <c r="A29" s="226"/>
      <c r="B29" s="116"/>
      <c r="C29" s="120"/>
      <c r="D29" s="118" t="s">
        <v>118</v>
      </c>
      <c r="E29" s="121"/>
      <c r="F29" s="108"/>
      <c r="G29" s="148" t="s">
        <v>113</v>
      </c>
      <c r="H29" s="148" t="s">
        <v>113</v>
      </c>
      <c r="I29" s="148" t="s">
        <v>113</v>
      </c>
      <c r="J29" s="148" t="s">
        <v>113</v>
      </c>
      <c r="K29" s="108"/>
      <c r="L29" s="108"/>
      <c r="M29" s="108"/>
      <c r="N29" s="108"/>
      <c r="O29" s="108"/>
      <c r="P29" s="108"/>
      <c r="Q29" s="108"/>
      <c r="R29" s="108"/>
      <c r="S29" s="108"/>
      <c r="T29" s="222"/>
    </row>
    <row r="30" spans="1:21" ht="13.5" customHeight="1">
      <c r="A30" s="226"/>
      <c r="B30" s="116" t="s">
        <v>119</v>
      </c>
      <c r="C30" s="120"/>
      <c r="D30" s="118"/>
      <c r="E30" s="121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222"/>
    </row>
    <row r="31" spans="1:21" ht="13.5" customHeight="1">
      <c r="A31" s="226"/>
      <c r="B31" s="116"/>
      <c r="C31" s="120"/>
      <c r="D31" s="118" t="s">
        <v>152</v>
      </c>
      <c r="E31" s="121"/>
      <c r="F31" s="108"/>
      <c r="G31" s="108"/>
      <c r="H31" s="108"/>
      <c r="I31" s="108"/>
      <c r="J31" s="108"/>
      <c r="K31" s="148" t="s">
        <v>113</v>
      </c>
      <c r="L31" s="108"/>
      <c r="M31" s="108"/>
      <c r="N31" s="108"/>
      <c r="O31" s="108"/>
      <c r="P31" s="108"/>
      <c r="Q31" s="108"/>
      <c r="R31" s="108"/>
      <c r="S31" s="108"/>
      <c r="T31" s="222"/>
    </row>
    <row r="32" spans="1:21" ht="13.5" customHeight="1">
      <c r="A32" s="226"/>
      <c r="B32" s="116" t="s">
        <v>131</v>
      </c>
      <c r="C32" s="120"/>
      <c r="D32" s="118"/>
      <c r="E32" s="121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222"/>
    </row>
    <row r="33" spans="1:20" ht="13.5" customHeight="1">
      <c r="A33" s="226"/>
      <c r="B33" s="116"/>
      <c r="C33" s="120"/>
      <c r="D33" s="118" t="s">
        <v>165</v>
      </c>
      <c r="E33" s="121"/>
      <c r="F33" s="108"/>
      <c r="G33" s="108"/>
      <c r="H33" s="148" t="s">
        <v>113</v>
      </c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222"/>
    </row>
    <row r="34" spans="1:20" ht="13.5" customHeight="1">
      <c r="A34" s="226"/>
      <c r="B34" s="208"/>
      <c r="C34" s="239"/>
      <c r="D34" s="210" t="s">
        <v>166</v>
      </c>
      <c r="E34" s="240"/>
      <c r="F34" s="212"/>
      <c r="G34" s="212"/>
      <c r="H34" s="212"/>
      <c r="I34" s="148" t="s">
        <v>113</v>
      </c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27"/>
    </row>
    <row r="35" spans="1:20" ht="13.5" customHeight="1">
      <c r="A35" s="226"/>
      <c r="B35" s="208"/>
      <c r="C35" s="239"/>
      <c r="D35" s="210" t="s">
        <v>167</v>
      </c>
      <c r="E35" s="240"/>
      <c r="F35" s="212"/>
      <c r="G35" s="212"/>
      <c r="H35" s="212"/>
      <c r="I35" s="212"/>
      <c r="J35" s="148" t="s">
        <v>113</v>
      </c>
      <c r="K35" s="212"/>
      <c r="L35" s="212"/>
      <c r="M35" s="212"/>
      <c r="N35" s="212"/>
      <c r="O35" s="212"/>
      <c r="P35" s="212"/>
      <c r="Q35" s="212"/>
      <c r="R35" s="212"/>
      <c r="S35" s="212"/>
      <c r="T35" s="227"/>
    </row>
    <row r="36" spans="1:20" ht="13.5" customHeight="1" thickBot="1">
      <c r="A36" s="226"/>
      <c r="B36" s="208"/>
      <c r="C36" s="209"/>
      <c r="D36" s="210" t="s">
        <v>168</v>
      </c>
      <c r="E36" s="211"/>
      <c r="F36" s="212"/>
      <c r="G36" s="212"/>
      <c r="H36" s="212"/>
      <c r="I36" s="212"/>
      <c r="J36" s="212"/>
      <c r="K36" s="148" t="s">
        <v>113</v>
      </c>
      <c r="L36" s="212"/>
      <c r="M36" s="212"/>
      <c r="N36" s="212"/>
      <c r="O36" s="212"/>
      <c r="P36" s="212"/>
      <c r="Q36" s="212"/>
      <c r="R36" s="212"/>
      <c r="S36" s="212"/>
      <c r="T36" s="227"/>
    </row>
    <row r="37" spans="1:20" ht="13.5" customHeight="1" thickTop="1">
      <c r="A37" s="224" t="s">
        <v>120</v>
      </c>
      <c r="B37" s="367" t="s">
        <v>121</v>
      </c>
      <c r="C37" s="367"/>
      <c r="D37" s="367"/>
      <c r="E37" s="213"/>
      <c r="F37" s="214" t="s">
        <v>87</v>
      </c>
      <c r="G37" s="214" t="s">
        <v>64</v>
      </c>
      <c r="H37" s="214" t="s">
        <v>64</v>
      </c>
      <c r="I37" s="214" t="s">
        <v>64</v>
      </c>
      <c r="J37" s="214" t="s">
        <v>64</v>
      </c>
      <c r="K37" s="214" t="s">
        <v>64</v>
      </c>
      <c r="L37" s="214"/>
      <c r="M37" s="214"/>
      <c r="N37" s="214"/>
      <c r="O37" s="214"/>
      <c r="P37" s="214"/>
      <c r="Q37" s="214"/>
      <c r="R37" s="214"/>
      <c r="S37" s="214"/>
      <c r="T37" s="228"/>
    </row>
    <row r="38" spans="1:20" ht="13.5" customHeight="1">
      <c r="A38" s="229"/>
      <c r="B38" s="384" t="s">
        <v>122</v>
      </c>
      <c r="C38" s="384"/>
      <c r="D38" s="384"/>
      <c r="E38" s="123"/>
      <c r="F38" s="122" t="s">
        <v>123</v>
      </c>
      <c r="G38" s="122" t="s">
        <v>123</v>
      </c>
      <c r="H38" s="122" t="s">
        <v>123</v>
      </c>
      <c r="I38" s="122" t="s">
        <v>123</v>
      </c>
      <c r="J38" s="122" t="s">
        <v>123</v>
      </c>
      <c r="K38" s="122" t="s">
        <v>123</v>
      </c>
      <c r="L38" s="122"/>
      <c r="M38" s="122"/>
      <c r="N38" s="122"/>
      <c r="O38" s="122"/>
      <c r="P38" s="122"/>
      <c r="Q38" s="122"/>
      <c r="R38" s="122"/>
      <c r="S38" s="122"/>
      <c r="T38" s="230"/>
    </row>
    <row r="39" spans="1:20" ht="73" customHeight="1">
      <c r="A39" s="229"/>
      <c r="B39" s="385" t="s">
        <v>124</v>
      </c>
      <c r="C39" s="385"/>
      <c r="D39" s="385"/>
      <c r="E39" s="124"/>
      <c r="F39" s="97">
        <v>45700</v>
      </c>
      <c r="G39" s="97">
        <v>45700</v>
      </c>
      <c r="H39" s="97">
        <v>45700</v>
      </c>
      <c r="I39" s="97">
        <v>45700</v>
      </c>
      <c r="J39" s="97">
        <v>45700</v>
      </c>
      <c r="K39" s="97">
        <v>45700</v>
      </c>
      <c r="L39" s="125"/>
      <c r="M39" s="125"/>
      <c r="N39" s="125"/>
      <c r="O39" s="125"/>
      <c r="P39" s="125"/>
      <c r="Q39" s="125"/>
      <c r="R39" s="125"/>
      <c r="S39" s="125"/>
      <c r="T39" s="231"/>
    </row>
    <row r="40" spans="1:20" ht="10.5" thickBot="1">
      <c r="A40" s="232"/>
      <c r="B40" s="366" t="s">
        <v>125</v>
      </c>
      <c r="C40" s="366"/>
      <c r="D40" s="366"/>
      <c r="E40" s="233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5"/>
    </row>
    <row r="41" spans="1:20" ht="10.5" thickTop="1">
      <c r="A41" s="102"/>
      <c r="B41" s="98"/>
      <c r="C41" s="99"/>
      <c r="D41" s="98"/>
    </row>
  </sheetData>
  <mergeCells count="28">
    <mergeCell ref="L2:T2"/>
    <mergeCell ref="C2:D2"/>
    <mergeCell ref="F6:K6"/>
    <mergeCell ref="F4:K4"/>
    <mergeCell ref="O6:T6"/>
    <mergeCell ref="L4:T4"/>
    <mergeCell ref="C4:D4"/>
    <mergeCell ref="L3:T3"/>
    <mergeCell ref="A2:B2"/>
    <mergeCell ref="F2:K2"/>
    <mergeCell ref="B38:D38"/>
    <mergeCell ref="B39:D39"/>
    <mergeCell ref="C7:E7"/>
    <mergeCell ref="A7:B7"/>
    <mergeCell ref="C6:E6"/>
    <mergeCell ref="F3:K3"/>
    <mergeCell ref="A3:B3"/>
    <mergeCell ref="A4:B4"/>
    <mergeCell ref="B40:D40"/>
    <mergeCell ref="B37:D37"/>
    <mergeCell ref="C3:E3"/>
    <mergeCell ref="D18:E18"/>
    <mergeCell ref="A6:B6"/>
    <mergeCell ref="A5:B5"/>
    <mergeCell ref="C5:T5"/>
    <mergeCell ref="L6:N6"/>
    <mergeCell ref="O7:T7"/>
    <mergeCell ref="F7:K7"/>
  </mergeCells>
  <phoneticPr fontId="33" type="noConversion"/>
  <dataValidations count="3">
    <dataValidation type="list" allowBlank="1" showInputMessage="1" showErrorMessage="1" sqref="F37:T37" xr:uid="{177E759D-0218-4976-AE29-E8277D2E09E5}">
      <formula1>"N,A,B, "</formula1>
    </dataValidation>
    <dataValidation type="list" allowBlank="1" showInputMessage="1" showErrorMessage="1" sqref="F38:T38" xr:uid="{E37F6CD6-A703-4161-B70C-DD927309851C}">
      <formula1>"P,F, "</formula1>
    </dataValidation>
    <dataValidation type="list" allowBlank="1" showInputMessage="1" showErrorMessage="1" sqref="F10:T36" xr:uid="{AB01383B-0132-4373-8599-F205035785DA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77CE-A074-455F-B99A-5AD27F591D55}">
  <dimension ref="A1:V39"/>
  <sheetViews>
    <sheetView zoomScale="145" zoomScaleNormal="145" workbookViewId="0">
      <selection activeCell="V34" sqref="V34"/>
    </sheetView>
  </sheetViews>
  <sheetFormatPr defaultColWidth="9" defaultRowHeight="13.5" customHeight="1"/>
  <cols>
    <col min="1" max="1" width="8.1796875" style="69" customWidth="1"/>
    <col min="2" max="2" width="13.453125" style="73" customWidth="1"/>
    <col min="3" max="3" width="10.81640625" style="69" customWidth="1"/>
    <col min="4" max="4" width="26.632812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s">
        <v>145</v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s">
        <v>80</v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s">
        <v>49</v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s">
        <v>49</v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>
        <v>200</v>
      </c>
      <c r="D4" s="353"/>
      <c r="E4" s="241"/>
      <c r="F4" s="314" t="s">
        <v>101</v>
      </c>
      <c r="G4" s="315"/>
      <c r="H4" s="315"/>
      <c r="I4" s="315"/>
      <c r="J4" s="315"/>
      <c r="K4" s="316"/>
      <c r="L4" s="356">
        <v>0</v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>
        <f>COUNTIF(F36:HQ36,"P")</f>
        <v>5</v>
      </c>
      <c r="B7" s="350"/>
      <c r="C7" s="341">
        <f>COUNTIF(F37:HQ37,"F")</f>
        <v>0</v>
      </c>
      <c r="D7" s="338"/>
      <c r="E7" s="350"/>
      <c r="F7" s="341">
        <f>SUM(O7,- A7,- C7)</f>
        <v>0</v>
      </c>
      <c r="G7" s="338"/>
      <c r="H7" s="338"/>
      <c r="I7" s="338"/>
      <c r="J7" s="338"/>
      <c r="K7" s="342"/>
      <c r="L7" s="152">
        <f>COUNTIF(E35:HQ35,"N")</f>
        <v>1</v>
      </c>
      <c r="M7" s="152">
        <f>COUNTIF(E35:HQ35,"A")</f>
        <v>4</v>
      </c>
      <c r="N7" s="152">
        <f>COUNTIF(E35:HQ35,"B")</f>
        <v>0</v>
      </c>
      <c r="O7" s="337">
        <f>COUNTA(E9:HT9)</f>
        <v>5</v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s">
        <v>105</v>
      </c>
      <c r="G9" s="168" t="s">
        <v>106</v>
      </c>
      <c r="H9" s="168" t="s">
        <v>107</v>
      </c>
      <c r="I9" s="168" t="s">
        <v>108</v>
      </c>
      <c r="J9" s="168" t="s">
        <v>109</v>
      </c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s">
        <v>111</v>
      </c>
      <c r="B10" s="75" t="s">
        <v>126</v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s">
        <v>137</v>
      </c>
      <c r="E11" s="80"/>
      <c r="F11" s="148" t="s">
        <v>113</v>
      </c>
      <c r="G11" s="148" t="s">
        <v>113</v>
      </c>
      <c r="H11" s="148" t="s">
        <v>113</v>
      </c>
      <c r="I11" s="148" t="s">
        <v>113</v>
      </c>
      <c r="J11" s="148" t="s">
        <v>113</v>
      </c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s">
        <v>138</v>
      </c>
      <c r="E12" s="80"/>
      <c r="F12" s="148" t="s">
        <v>113</v>
      </c>
      <c r="G12" s="148" t="s">
        <v>113</v>
      </c>
      <c r="H12" s="148" t="s">
        <v>113</v>
      </c>
      <c r="I12" s="148" t="s">
        <v>113</v>
      </c>
      <c r="J12" s="148" t="s">
        <v>113</v>
      </c>
      <c r="K12" s="148"/>
      <c r="L12" s="148"/>
      <c r="M12" s="148"/>
      <c r="N12" s="148"/>
      <c r="O12" s="148"/>
      <c r="P12" s="148"/>
      <c r="Q12" s="148"/>
      <c r="R12" s="148"/>
      <c r="S12" s="148"/>
      <c r="T12" s="170"/>
    </row>
    <row r="13" spans="1:22" ht="13.5" customHeight="1">
      <c r="A13" s="171"/>
      <c r="B13" s="75" t="s">
        <v>169</v>
      </c>
      <c r="C13" s="76"/>
      <c r="D13" s="77"/>
      <c r="E13" s="81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195"/>
    </row>
    <row r="14" spans="1:22" ht="13.5" customHeight="1">
      <c r="A14" s="171"/>
      <c r="B14" s="75"/>
      <c r="C14" s="76"/>
      <c r="D14" s="77" t="s">
        <v>171</v>
      </c>
      <c r="E14" s="81"/>
      <c r="F14" s="148" t="s">
        <v>113</v>
      </c>
      <c r="G14" s="79"/>
      <c r="H14" s="148" t="s">
        <v>113</v>
      </c>
      <c r="I14" s="148" t="s">
        <v>113</v>
      </c>
      <c r="J14" s="148" t="s">
        <v>113</v>
      </c>
      <c r="K14" s="148"/>
      <c r="L14" s="79"/>
      <c r="M14" s="79"/>
      <c r="N14" s="79"/>
      <c r="O14" s="79"/>
      <c r="P14" s="79"/>
      <c r="Q14" s="79"/>
      <c r="R14" s="79"/>
      <c r="S14" s="79"/>
      <c r="T14" s="195"/>
    </row>
    <row r="15" spans="1:22" ht="13.5" customHeight="1">
      <c r="A15" s="171"/>
      <c r="B15" s="75"/>
      <c r="C15" s="76"/>
      <c r="D15" s="77" t="s">
        <v>127</v>
      </c>
      <c r="E15" s="81"/>
      <c r="F15" s="79"/>
      <c r="G15" s="148" t="s">
        <v>113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 t="s">
        <v>170</v>
      </c>
      <c r="C16" s="76"/>
      <c r="D16" s="77"/>
      <c r="E16" s="81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195"/>
      <c r="U16" s="82"/>
    </row>
    <row r="17" spans="1:20" ht="13.5" customHeight="1">
      <c r="A17" s="171"/>
      <c r="B17" s="75"/>
      <c r="C17" s="76"/>
      <c r="D17" s="403">
        <v>1</v>
      </c>
      <c r="E17" s="403"/>
      <c r="F17" s="148" t="s">
        <v>113</v>
      </c>
      <c r="G17" s="79"/>
      <c r="H17" s="79"/>
      <c r="I17" s="148" t="s">
        <v>113</v>
      </c>
      <c r="J17" s="148" t="s">
        <v>113</v>
      </c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71"/>
      <c r="B18" s="75"/>
      <c r="C18" s="76"/>
      <c r="D18" s="77">
        <v>-1</v>
      </c>
      <c r="E18" s="70"/>
      <c r="F18" s="79"/>
      <c r="G18" s="79"/>
      <c r="H18" s="148" t="s">
        <v>113</v>
      </c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71"/>
      <c r="B19" s="75"/>
      <c r="C19" s="76"/>
      <c r="D19" s="77" t="s">
        <v>127</v>
      </c>
      <c r="E19" s="81"/>
      <c r="F19" s="79"/>
      <c r="G19" s="148" t="s">
        <v>113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71"/>
      <c r="B20" s="75" t="s">
        <v>75</v>
      </c>
      <c r="C20" s="76"/>
      <c r="D20" s="77"/>
      <c r="E20" s="81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71"/>
      <c r="B21" s="75"/>
      <c r="C21" s="76"/>
      <c r="D21" s="77" t="s">
        <v>172</v>
      </c>
      <c r="E21" s="81"/>
      <c r="F21" s="148" t="s">
        <v>113</v>
      </c>
      <c r="G21" s="79"/>
      <c r="H21" s="148" t="s">
        <v>113</v>
      </c>
      <c r="I21" s="79"/>
      <c r="J21" s="148" t="s">
        <v>113</v>
      </c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 thickBot="1">
      <c r="A22" s="171"/>
      <c r="B22" s="75"/>
      <c r="C22" s="76"/>
      <c r="D22" s="77" t="s">
        <v>127</v>
      </c>
      <c r="E22" s="81"/>
      <c r="F22" s="79"/>
      <c r="G22" s="148" t="s">
        <v>113</v>
      </c>
      <c r="H22" s="79"/>
      <c r="I22" s="148" t="s">
        <v>113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2" t="s">
        <v>115</v>
      </c>
      <c r="B23" s="208" t="s">
        <v>116</v>
      </c>
      <c r="C23" s="239"/>
      <c r="D23" s="210"/>
      <c r="E23" s="86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196"/>
    </row>
    <row r="24" spans="1:20" ht="13.5" customHeight="1">
      <c r="A24" s="181"/>
      <c r="B24" s="208"/>
      <c r="C24" s="209"/>
      <c r="D24" s="210" t="s">
        <v>117</v>
      </c>
      <c r="E24" s="91"/>
      <c r="F24" s="148" t="s">
        <v>113</v>
      </c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81"/>
      <c r="B25" s="126"/>
      <c r="C25" s="89"/>
      <c r="D25" s="90" t="s">
        <v>118</v>
      </c>
      <c r="E25" s="91"/>
      <c r="F25" s="79"/>
      <c r="G25" s="148" t="s">
        <v>113</v>
      </c>
      <c r="H25" s="148" t="s">
        <v>113</v>
      </c>
      <c r="I25" s="148" t="s">
        <v>113</v>
      </c>
      <c r="J25" s="148" t="s">
        <v>113</v>
      </c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>
      <c r="A26" s="181"/>
      <c r="B26" s="116" t="s">
        <v>119</v>
      </c>
      <c r="C26" s="120"/>
      <c r="D26" s="118"/>
      <c r="E26" s="91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>
      <c r="A27" s="181"/>
      <c r="B27" s="116"/>
      <c r="C27" s="120"/>
      <c r="D27" s="118" t="s">
        <v>152</v>
      </c>
      <c r="E27" s="91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95"/>
    </row>
    <row r="28" spans="1:20" ht="13.5" customHeight="1">
      <c r="A28" s="181"/>
      <c r="B28" s="88" t="s">
        <v>130</v>
      </c>
      <c r="C28" s="89"/>
      <c r="D28" s="90"/>
      <c r="E28" s="91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95"/>
    </row>
    <row r="29" spans="1:20" ht="13.5" customHeight="1">
      <c r="A29" s="181"/>
      <c r="B29" s="88"/>
      <c r="C29" s="92"/>
      <c r="D29" s="90" t="s">
        <v>173</v>
      </c>
      <c r="E29" s="93"/>
      <c r="F29" s="148" t="s">
        <v>113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95"/>
    </row>
    <row r="30" spans="1:20" ht="13.5" customHeight="1">
      <c r="A30" s="181"/>
      <c r="B30" s="88"/>
      <c r="C30" s="92"/>
      <c r="D30" s="90" t="s">
        <v>174</v>
      </c>
      <c r="E30" s="93"/>
      <c r="F30" s="79"/>
      <c r="G30" s="148" t="s">
        <v>113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>
      <c r="A31" s="181"/>
      <c r="B31" s="88"/>
      <c r="C31" s="92"/>
      <c r="D31" s="90" t="s">
        <v>175</v>
      </c>
      <c r="E31" s="93"/>
      <c r="F31" s="79"/>
      <c r="G31" s="79"/>
      <c r="H31" s="148" t="s">
        <v>113</v>
      </c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195"/>
    </row>
    <row r="32" spans="1:20" ht="13.5" customHeight="1">
      <c r="A32" s="181"/>
      <c r="B32" s="88"/>
      <c r="C32" s="92"/>
      <c r="D32" s="90" t="s">
        <v>176</v>
      </c>
      <c r="E32" s="93"/>
      <c r="F32" s="79"/>
      <c r="G32" s="79"/>
      <c r="H32" s="79"/>
      <c r="I32" s="148" t="s">
        <v>113</v>
      </c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195"/>
    </row>
    <row r="33" spans="1:20" ht="13.5" customHeight="1">
      <c r="A33" s="181"/>
      <c r="B33" s="88"/>
      <c r="C33" s="92"/>
      <c r="D33" s="90" t="s">
        <v>154</v>
      </c>
      <c r="E33" s="93"/>
      <c r="F33" s="79"/>
      <c r="G33" s="79"/>
      <c r="H33" s="79"/>
      <c r="I33" s="79"/>
      <c r="J33" s="148" t="s">
        <v>113</v>
      </c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0" ht="13.5" customHeight="1" thickBot="1">
      <c r="A34" s="181"/>
      <c r="B34" s="158"/>
      <c r="C34" s="159"/>
      <c r="D34" s="160"/>
      <c r="E34" s="161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97"/>
    </row>
    <row r="35" spans="1:20" ht="13.5" customHeight="1" thickTop="1">
      <c r="A35" s="182" t="s">
        <v>120</v>
      </c>
      <c r="B35" s="326" t="s">
        <v>121</v>
      </c>
      <c r="C35" s="326"/>
      <c r="D35" s="326"/>
      <c r="E35" s="162"/>
      <c r="F35" s="188" t="s">
        <v>87</v>
      </c>
      <c r="G35" s="188" t="s">
        <v>64</v>
      </c>
      <c r="H35" s="188" t="s">
        <v>64</v>
      </c>
      <c r="I35" s="188" t="s">
        <v>64</v>
      </c>
      <c r="J35" s="188" t="s">
        <v>64</v>
      </c>
      <c r="K35" s="188"/>
      <c r="L35" s="188"/>
      <c r="M35" s="188"/>
      <c r="N35" s="188"/>
      <c r="O35" s="188"/>
      <c r="P35" s="188"/>
      <c r="Q35" s="188"/>
      <c r="R35" s="188"/>
      <c r="S35" s="188"/>
      <c r="T35" s="198"/>
    </row>
    <row r="36" spans="1:20" ht="13.5" customHeight="1">
      <c r="A36" s="174"/>
      <c r="B36" s="349" t="s">
        <v>122</v>
      </c>
      <c r="C36" s="349"/>
      <c r="D36" s="349"/>
      <c r="E36" s="95"/>
      <c r="F36" s="94" t="s">
        <v>123</v>
      </c>
      <c r="G36" s="94" t="s">
        <v>123</v>
      </c>
      <c r="H36" s="94" t="s">
        <v>123</v>
      </c>
      <c r="I36" s="94" t="s">
        <v>123</v>
      </c>
      <c r="J36" s="94" t="s">
        <v>123</v>
      </c>
      <c r="K36" s="94"/>
      <c r="L36" s="94"/>
      <c r="M36" s="94"/>
      <c r="N36" s="94"/>
      <c r="O36" s="94"/>
      <c r="P36" s="94"/>
      <c r="Q36" s="94"/>
      <c r="R36" s="94"/>
      <c r="S36" s="94"/>
      <c r="T36" s="199"/>
    </row>
    <row r="37" spans="1:20" ht="71.5" customHeight="1">
      <c r="A37" s="174"/>
      <c r="B37" s="324" t="s">
        <v>124</v>
      </c>
      <c r="C37" s="324"/>
      <c r="D37" s="324"/>
      <c r="E37" s="96"/>
      <c r="F37" s="97">
        <v>45700</v>
      </c>
      <c r="G37" s="97">
        <v>45700</v>
      </c>
      <c r="H37" s="97">
        <v>45700</v>
      </c>
      <c r="I37" s="97">
        <v>45700</v>
      </c>
      <c r="J37" s="97">
        <v>45700</v>
      </c>
      <c r="K37" s="97"/>
      <c r="L37" s="97"/>
      <c r="M37" s="97"/>
      <c r="N37" s="97"/>
      <c r="O37" s="97"/>
      <c r="P37" s="97"/>
      <c r="Q37" s="97"/>
      <c r="R37" s="97"/>
      <c r="S37" s="97"/>
      <c r="T37" s="176"/>
    </row>
    <row r="38" spans="1:20" ht="10.5" thickBot="1">
      <c r="A38" s="177"/>
      <c r="B38" s="325" t="s">
        <v>125</v>
      </c>
      <c r="C38" s="325"/>
      <c r="D38" s="325"/>
      <c r="E38" s="178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80"/>
    </row>
    <row r="39" spans="1:20" ht="10.5" thickTop="1">
      <c r="A39" s="73"/>
      <c r="B39" s="69"/>
      <c r="C39" s="70"/>
      <c r="D39" s="69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T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8:D38"/>
    <mergeCell ref="D17:E17"/>
    <mergeCell ref="B35:D35"/>
    <mergeCell ref="B36:D36"/>
    <mergeCell ref="B37:D37"/>
  </mergeCells>
  <phoneticPr fontId="42"/>
  <dataValidations count="3">
    <dataValidation type="list" allowBlank="1" showInputMessage="1" showErrorMessage="1" sqref="F36:T36" xr:uid="{8A1C815C-BF5F-4F8D-B756-CAC1A70EF892}">
      <formula1>"P,F, "</formula1>
    </dataValidation>
    <dataValidation type="list" allowBlank="1" showInputMessage="1" showErrorMessage="1" sqref="F35:T35" xr:uid="{971AD4BC-E76F-497A-8D46-6EDB923968AA}">
      <formula1>"N,A,B, "</formula1>
    </dataValidation>
    <dataValidation type="list" allowBlank="1" showInputMessage="1" showErrorMessage="1" sqref="F10:T34" xr:uid="{F79146E5-8BFB-4843-BF70-0ED08BBC1B7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AC37-1927-486B-9776-8BA448332C36}">
  <dimension ref="A1:V31"/>
  <sheetViews>
    <sheetView topLeftCell="A22" zoomScale="145" zoomScaleNormal="145" workbookViewId="0">
      <selection activeCell="W29" sqref="W29"/>
    </sheetView>
  </sheetViews>
  <sheetFormatPr defaultColWidth="9" defaultRowHeight="13.5" customHeight="1"/>
  <cols>
    <col min="1" max="1" width="8.1796875" style="69" customWidth="1"/>
    <col min="2" max="2" width="13.453125" style="73" customWidth="1"/>
    <col min="3" max="3" width="10.81640625" style="69" customWidth="1"/>
    <col min="4" max="4" width="26.632812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s">
        <v>145</v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s">
        <v>187</v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s">
        <v>49</v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s">
        <v>49</v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>
        <v>100</v>
      </c>
      <c r="D4" s="353"/>
      <c r="E4" s="241"/>
      <c r="F4" s="314" t="s">
        <v>101</v>
      </c>
      <c r="G4" s="315"/>
      <c r="H4" s="315"/>
      <c r="I4" s="315"/>
      <c r="J4" s="315"/>
      <c r="K4" s="316"/>
      <c r="L4" s="356">
        <v>0</v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>
        <f>COUNTIF(F28:HQ28,"P")</f>
        <v>4</v>
      </c>
      <c r="B7" s="350"/>
      <c r="C7" s="341">
        <f>COUNTIF(F29:HQ29,"F")</f>
        <v>0</v>
      </c>
      <c r="D7" s="338"/>
      <c r="E7" s="350"/>
      <c r="F7" s="341">
        <f>SUM(O7,- A7,- C7)</f>
        <v>0</v>
      </c>
      <c r="G7" s="338"/>
      <c r="H7" s="338"/>
      <c r="I7" s="338"/>
      <c r="J7" s="338"/>
      <c r="K7" s="342"/>
      <c r="L7" s="152">
        <f>COUNTIF(E27:HQ27,"N")</f>
        <v>1</v>
      </c>
      <c r="M7" s="152">
        <f>COUNTIF(E27:HQ27,"A")</f>
        <v>3</v>
      </c>
      <c r="N7" s="152">
        <f>COUNTIF(E27:HQ27,"B")</f>
        <v>0</v>
      </c>
      <c r="O7" s="337">
        <f>COUNTA(E9:HT9)</f>
        <v>4</v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s">
        <v>105</v>
      </c>
      <c r="G9" s="168" t="s">
        <v>106</v>
      </c>
      <c r="H9" s="168" t="s">
        <v>107</v>
      </c>
      <c r="I9" s="168" t="s">
        <v>108</v>
      </c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s">
        <v>111</v>
      </c>
      <c r="B10" s="75" t="s">
        <v>126</v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s">
        <v>137</v>
      </c>
      <c r="E11" s="80"/>
      <c r="F11" s="148" t="s">
        <v>113</v>
      </c>
      <c r="G11" s="148" t="s">
        <v>113</v>
      </c>
      <c r="H11" s="148" t="s">
        <v>113</v>
      </c>
      <c r="I11" s="148" t="s">
        <v>113</v>
      </c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s">
        <v>138</v>
      </c>
      <c r="E12" s="80"/>
      <c r="F12" s="148" t="s">
        <v>113</v>
      </c>
      <c r="G12" s="148" t="s">
        <v>113</v>
      </c>
      <c r="H12" s="148" t="s">
        <v>113</v>
      </c>
      <c r="I12" s="148" t="s">
        <v>113</v>
      </c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70"/>
    </row>
    <row r="13" spans="1:22" ht="13.5" customHeight="1">
      <c r="A13" s="171"/>
      <c r="B13" s="75" t="s">
        <v>179</v>
      </c>
      <c r="C13" s="76"/>
      <c r="D13" s="77"/>
      <c r="E13" s="81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195"/>
    </row>
    <row r="14" spans="1:22" ht="13.5" customHeight="1">
      <c r="A14" s="171"/>
      <c r="B14" s="75"/>
      <c r="C14" s="76"/>
      <c r="D14" s="77" t="s">
        <v>180</v>
      </c>
      <c r="E14" s="81"/>
      <c r="F14" s="148" t="s">
        <v>113</v>
      </c>
      <c r="G14" s="79"/>
      <c r="H14" s="148"/>
      <c r="I14" s="148" t="s">
        <v>113</v>
      </c>
      <c r="J14" s="148"/>
      <c r="K14" s="148"/>
      <c r="L14" s="79"/>
      <c r="M14" s="79"/>
      <c r="N14" s="79"/>
      <c r="O14" s="79"/>
      <c r="P14" s="79"/>
      <c r="Q14" s="79"/>
      <c r="R14" s="79"/>
      <c r="S14" s="79"/>
      <c r="T14" s="195"/>
    </row>
    <row r="15" spans="1:22" ht="13.5" customHeight="1">
      <c r="A15" s="171"/>
      <c r="B15" s="75"/>
      <c r="C15" s="76"/>
      <c r="D15" s="77" t="s">
        <v>181</v>
      </c>
      <c r="E15" s="81"/>
      <c r="F15" s="148"/>
      <c r="G15" s="79"/>
      <c r="H15" s="148" t="s">
        <v>113</v>
      </c>
      <c r="I15" s="148"/>
      <c r="J15" s="148"/>
      <c r="K15" s="148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 thickBot="1">
      <c r="A16" s="171"/>
      <c r="B16" s="75"/>
      <c r="C16" s="76"/>
      <c r="D16" s="77" t="s">
        <v>127</v>
      </c>
      <c r="E16" s="81"/>
      <c r="F16" s="79"/>
      <c r="G16" s="148" t="s">
        <v>113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195"/>
    </row>
    <row r="17" spans="1:20" ht="13.5" customHeight="1">
      <c r="A17" s="182" t="s">
        <v>115</v>
      </c>
      <c r="B17" s="208" t="s">
        <v>116</v>
      </c>
      <c r="C17" s="239"/>
      <c r="D17" s="210"/>
      <c r="E17" s="86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196"/>
    </row>
    <row r="18" spans="1:20" ht="13.5" customHeight="1">
      <c r="A18" s="181"/>
      <c r="B18" s="208"/>
      <c r="C18" s="209"/>
      <c r="D18" s="210" t="s">
        <v>117</v>
      </c>
      <c r="E18" s="91"/>
      <c r="F18" s="148" t="s">
        <v>113</v>
      </c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1"/>
      <c r="B19" s="126"/>
      <c r="C19" s="89"/>
      <c r="D19" s="90" t="s">
        <v>118</v>
      </c>
      <c r="E19" s="91"/>
      <c r="F19" s="79"/>
      <c r="G19" s="148" t="s">
        <v>113</v>
      </c>
      <c r="H19" s="148" t="s">
        <v>113</v>
      </c>
      <c r="I19" s="148" t="s">
        <v>113</v>
      </c>
      <c r="J19" s="148"/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81"/>
      <c r="B20" s="116" t="s">
        <v>119</v>
      </c>
      <c r="C20" s="120"/>
      <c r="D20" s="118"/>
      <c r="E20" s="91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116"/>
      <c r="C21" s="120"/>
      <c r="D21" s="118" t="s">
        <v>186</v>
      </c>
      <c r="E21" s="91"/>
      <c r="F21" s="79"/>
      <c r="G21" s="79"/>
      <c r="H21" s="79"/>
      <c r="I21" s="148" t="s">
        <v>113</v>
      </c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88" t="s">
        <v>130</v>
      </c>
      <c r="C22" s="89"/>
      <c r="D22" s="90"/>
      <c r="E22" s="9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88"/>
      <c r="C23" s="92"/>
      <c r="D23" s="90" t="s">
        <v>182</v>
      </c>
      <c r="E23" s="93"/>
      <c r="F23" s="148" t="s">
        <v>113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88"/>
      <c r="C24" s="92"/>
      <c r="D24" s="90" t="s">
        <v>183</v>
      </c>
      <c r="E24" s="93"/>
      <c r="F24" s="79"/>
      <c r="G24" s="148" t="s">
        <v>113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81"/>
      <c r="B25" s="88"/>
      <c r="C25" s="92"/>
      <c r="D25" s="90" t="s">
        <v>184</v>
      </c>
      <c r="E25" s="93"/>
      <c r="F25" s="79"/>
      <c r="G25" s="79"/>
      <c r="H25" s="148" t="s">
        <v>113</v>
      </c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 thickBot="1">
      <c r="A26" s="181"/>
      <c r="B26" s="88"/>
      <c r="C26" s="92"/>
      <c r="D26" s="90" t="s">
        <v>185</v>
      </c>
      <c r="E26" s="93"/>
      <c r="F26" s="79"/>
      <c r="G26" s="79"/>
      <c r="H26" s="79"/>
      <c r="I26" s="148" t="s">
        <v>113</v>
      </c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 thickTop="1">
      <c r="A27" s="182" t="s">
        <v>120</v>
      </c>
      <c r="B27" s="326" t="s">
        <v>121</v>
      </c>
      <c r="C27" s="326"/>
      <c r="D27" s="326"/>
      <c r="E27" s="162"/>
      <c r="F27" s="188" t="s">
        <v>87</v>
      </c>
      <c r="G27" s="188" t="s">
        <v>64</v>
      </c>
      <c r="H27" s="188" t="s">
        <v>64</v>
      </c>
      <c r="I27" s="188" t="s">
        <v>64</v>
      </c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98"/>
    </row>
    <row r="28" spans="1:20" ht="13.5" customHeight="1">
      <c r="A28" s="174"/>
      <c r="B28" s="349" t="s">
        <v>122</v>
      </c>
      <c r="C28" s="349"/>
      <c r="D28" s="349"/>
      <c r="E28" s="95"/>
      <c r="F28" s="94" t="s">
        <v>123</v>
      </c>
      <c r="G28" s="94" t="s">
        <v>123</v>
      </c>
      <c r="H28" s="94" t="s">
        <v>123</v>
      </c>
      <c r="I28" s="94" t="s">
        <v>123</v>
      </c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199"/>
    </row>
    <row r="29" spans="1:20" ht="71.5" customHeight="1">
      <c r="A29" s="174"/>
      <c r="B29" s="324" t="s">
        <v>124</v>
      </c>
      <c r="C29" s="324"/>
      <c r="D29" s="324"/>
      <c r="E29" s="96"/>
      <c r="F29" s="97">
        <v>45700</v>
      </c>
      <c r="G29" s="97">
        <v>45700</v>
      </c>
      <c r="H29" s="97">
        <v>45700</v>
      </c>
      <c r="I29" s="97">
        <v>45700</v>
      </c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176"/>
    </row>
    <row r="30" spans="1:20" ht="10.5" thickBot="1">
      <c r="A30" s="177"/>
      <c r="B30" s="325" t="s">
        <v>125</v>
      </c>
      <c r="C30" s="325"/>
      <c r="D30" s="325"/>
      <c r="E30" s="178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80"/>
    </row>
    <row r="31" spans="1:20" ht="10.5" thickTop="1">
      <c r="A31" s="73"/>
      <c r="B31" s="69"/>
      <c r="C31" s="70"/>
      <c r="D31" s="69"/>
    </row>
  </sheetData>
  <mergeCells count="27">
    <mergeCell ref="B27:D27"/>
    <mergeCell ref="B28:D28"/>
    <mergeCell ref="B29:D29"/>
    <mergeCell ref="B30:D30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T3"/>
  </mergeCells>
  <dataValidations count="3">
    <dataValidation type="list" allowBlank="1" showInputMessage="1" showErrorMessage="1" sqref="F27:T27" xr:uid="{9B57FCCF-CD22-421B-B981-EB1759DDC7C3}">
      <formula1>"N,A,B, "</formula1>
    </dataValidation>
    <dataValidation type="list" allowBlank="1" showInputMessage="1" showErrorMessage="1" sqref="F28:T28" xr:uid="{A2F3586B-3818-4E4B-A8B5-D7A3717A27A6}">
      <formula1>"P,F, "</formula1>
    </dataValidation>
    <dataValidation type="list" allowBlank="1" showInputMessage="1" showErrorMessage="1" sqref="F10:T26" xr:uid="{7C7D1DBA-7FCA-4555-887D-5A8C5A4E99A5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C891-2D11-4CD7-9CA9-C33900B607DE}">
  <dimension ref="A1:V26"/>
  <sheetViews>
    <sheetView zoomScale="130" zoomScaleNormal="130" workbookViewId="0">
      <selection activeCell="Y9" sqref="Y9"/>
    </sheetView>
  </sheetViews>
  <sheetFormatPr defaultColWidth="9" defaultRowHeight="13.5" customHeight="1"/>
  <cols>
    <col min="1" max="1" width="8.1796875" style="69" customWidth="1"/>
    <col min="2" max="2" width="13.453125" style="73" customWidth="1"/>
    <col min="3" max="3" width="10.81640625" style="69" customWidth="1"/>
    <col min="4" max="4" width="26.632812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s">
        <v>194</v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s">
        <v>190</v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s">
        <v>53</v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s">
        <v>53</v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>
        <v>100</v>
      </c>
      <c r="D4" s="353"/>
      <c r="E4" s="241"/>
      <c r="F4" s="314" t="s">
        <v>101</v>
      </c>
      <c r="G4" s="315"/>
      <c r="H4" s="315"/>
      <c r="I4" s="315"/>
      <c r="J4" s="315"/>
      <c r="K4" s="316"/>
      <c r="L4" s="356">
        <v>0</v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>
        <f>COUNTIF(F23:HQ23,"P")</f>
        <v>3</v>
      </c>
      <c r="B7" s="350"/>
      <c r="C7" s="341">
        <f>COUNTIF(F24:HQ24,"F")</f>
        <v>0</v>
      </c>
      <c r="D7" s="338"/>
      <c r="E7" s="350"/>
      <c r="F7" s="341">
        <f>SUM(O7,- A7,- C7)</f>
        <v>0</v>
      </c>
      <c r="G7" s="338"/>
      <c r="H7" s="338"/>
      <c r="I7" s="338"/>
      <c r="J7" s="338"/>
      <c r="K7" s="342"/>
      <c r="L7" s="152">
        <f>COUNTIF(E22:HQ22,"N")</f>
        <v>1</v>
      </c>
      <c r="M7" s="152">
        <f>COUNTIF(E22:HQ22,"A")</f>
        <v>2</v>
      </c>
      <c r="N7" s="152">
        <f>COUNTIF(E22:HQ22,"B")</f>
        <v>0</v>
      </c>
      <c r="O7" s="337">
        <f>COUNTA(E9:HT9)</f>
        <v>3</v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s">
        <v>105</v>
      </c>
      <c r="G9" s="168" t="s">
        <v>106</v>
      </c>
      <c r="H9" s="168" t="s">
        <v>107</v>
      </c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s">
        <v>111</v>
      </c>
      <c r="B10" s="75" t="s">
        <v>126</v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s">
        <v>137</v>
      </c>
      <c r="E11" s="80"/>
      <c r="F11" s="148" t="s">
        <v>113</v>
      </c>
      <c r="G11" s="148" t="s">
        <v>113</v>
      </c>
      <c r="H11" s="148"/>
      <c r="I11" s="148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195"/>
    </row>
    <row r="12" spans="1:22" ht="13.5" customHeight="1">
      <c r="A12" s="171"/>
      <c r="B12" s="75"/>
      <c r="C12" s="76"/>
      <c r="D12" s="77" t="s">
        <v>138</v>
      </c>
      <c r="E12" s="80"/>
      <c r="F12" s="148" t="s">
        <v>113</v>
      </c>
      <c r="G12" s="148" t="s">
        <v>113</v>
      </c>
      <c r="H12" s="148" t="s">
        <v>113</v>
      </c>
      <c r="I12" s="148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s">
        <v>201</v>
      </c>
      <c r="E13" s="80"/>
      <c r="F13" s="148" t="s">
        <v>113</v>
      </c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 thickBot="1">
      <c r="A14" s="171"/>
      <c r="B14" s="75"/>
      <c r="C14" s="76"/>
      <c r="D14" s="77" t="s">
        <v>202</v>
      </c>
      <c r="E14" s="80"/>
      <c r="F14" s="148"/>
      <c r="G14" s="148" t="s">
        <v>113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70"/>
    </row>
    <row r="15" spans="1:22" ht="13.5" customHeight="1">
      <c r="A15" s="182" t="s">
        <v>115</v>
      </c>
      <c r="B15" s="208" t="s">
        <v>116</v>
      </c>
      <c r="C15" s="239"/>
      <c r="D15" s="210"/>
      <c r="E15" s="86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196"/>
    </row>
    <row r="16" spans="1:22" ht="13.5" customHeight="1">
      <c r="A16" s="181"/>
      <c r="B16" s="208"/>
      <c r="C16" s="209"/>
      <c r="D16" s="210" t="s">
        <v>203</v>
      </c>
      <c r="E16" s="91"/>
      <c r="F16" s="148" t="s">
        <v>113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195"/>
    </row>
    <row r="17" spans="1:20" ht="13.5" customHeight="1">
      <c r="A17" s="181"/>
      <c r="B17" s="126"/>
      <c r="C17" s="89"/>
      <c r="D17" s="90" t="s">
        <v>151</v>
      </c>
      <c r="E17" s="91"/>
      <c r="F17" s="79"/>
      <c r="G17" s="148" t="s">
        <v>113</v>
      </c>
      <c r="H17" s="148"/>
      <c r="I17" s="148"/>
      <c r="J17" s="148"/>
      <c r="K17" s="79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81"/>
      <c r="B18" s="116" t="s">
        <v>119</v>
      </c>
      <c r="C18" s="120"/>
      <c r="D18" s="118"/>
      <c r="E18" s="9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1"/>
      <c r="B19" s="116"/>
      <c r="C19" s="120"/>
      <c r="D19" s="118" t="s">
        <v>152</v>
      </c>
      <c r="E19" s="91"/>
      <c r="F19" s="79"/>
      <c r="G19" s="79"/>
      <c r="H19" s="148" t="s">
        <v>113</v>
      </c>
      <c r="I19" s="148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95"/>
    </row>
    <row r="20" spans="1:20" ht="13.5" customHeight="1">
      <c r="A20" s="181"/>
      <c r="B20" s="88" t="s">
        <v>130</v>
      </c>
      <c r="C20" s="89"/>
      <c r="D20" s="90"/>
      <c r="E20" s="91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 thickBot="1">
      <c r="A21" s="181"/>
      <c r="B21" s="88"/>
      <c r="C21" s="92"/>
      <c r="D21" s="90" t="s">
        <v>204</v>
      </c>
      <c r="E21" s="93"/>
      <c r="F21" s="148"/>
      <c r="G21" s="79"/>
      <c r="H21" s="148" t="s">
        <v>113</v>
      </c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 thickTop="1">
      <c r="A22" s="182" t="s">
        <v>120</v>
      </c>
      <c r="B22" s="326" t="s">
        <v>121</v>
      </c>
      <c r="C22" s="326"/>
      <c r="D22" s="326"/>
      <c r="E22" s="162"/>
      <c r="F22" s="188" t="s">
        <v>87</v>
      </c>
      <c r="G22" s="188" t="s">
        <v>64</v>
      </c>
      <c r="H22" s="188" t="s">
        <v>64</v>
      </c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98"/>
    </row>
    <row r="23" spans="1:20" ht="13.5" customHeight="1">
      <c r="A23" s="174"/>
      <c r="B23" s="349" t="s">
        <v>122</v>
      </c>
      <c r="C23" s="349"/>
      <c r="D23" s="349"/>
      <c r="E23" s="95"/>
      <c r="F23" s="94" t="s">
        <v>123</v>
      </c>
      <c r="G23" s="94" t="s">
        <v>123</v>
      </c>
      <c r="H23" s="94" t="s">
        <v>123</v>
      </c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199"/>
    </row>
    <row r="24" spans="1:20" ht="71.5" customHeight="1">
      <c r="A24" s="174"/>
      <c r="B24" s="324" t="s">
        <v>124</v>
      </c>
      <c r="C24" s="324"/>
      <c r="D24" s="324"/>
      <c r="E24" s="96"/>
      <c r="F24" s="97">
        <v>45695</v>
      </c>
      <c r="G24" s="97">
        <v>45695</v>
      </c>
      <c r="H24" s="97">
        <v>45695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176"/>
    </row>
    <row r="25" spans="1:20" ht="10.5" thickBot="1">
      <c r="A25" s="177"/>
      <c r="B25" s="325" t="s">
        <v>125</v>
      </c>
      <c r="C25" s="325"/>
      <c r="D25" s="325"/>
      <c r="E25" s="178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80"/>
    </row>
    <row r="26" spans="1:20" ht="10.5" thickTop="1">
      <c r="A26" s="73"/>
      <c r="B26" s="69"/>
      <c r="C26" s="70"/>
      <c r="D26" s="69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F6:K6"/>
    <mergeCell ref="L6:N6"/>
    <mergeCell ref="O6:T6"/>
    <mergeCell ref="A7:B7"/>
    <mergeCell ref="C7:E7"/>
    <mergeCell ref="F7:K7"/>
    <mergeCell ref="O7:T7"/>
    <mergeCell ref="B22:D22"/>
    <mergeCell ref="B23:D23"/>
    <mergeCell ref="B24:D24"/>
    <mergeCell ref="B25:D25"/>
    <mergeCell ref="A6:B6"/>
    <mergeCell ref="C6:E6"/>
  </mergeCells>
  <dataValidations count="3">
    <dataValidation type="list" allowBlank="1" showInputMessage="1" showErrorMessage="1" sqref="F23:T23" xr:uid="{5FF36152-161E-4F2A-B77E-0E7172A9D591}">
      <formula1>"P,F, "</formula1>
    </dataValidation>
    <dataValidation type="list" allowBlank="1" showInputMessage="1" showErrorMessage="1" sqref="F22:T22" xr:uid="{3C9D4DAD-463C-4F7C-A6B8-AA879F50CBE0}">
      <formula1>"N,A,B, "</formula1>
    </dataValidation>
    <dataValidation type="list" allowBlank="1" showInputMessage="1" showErrorMessage="1" sqref="F10:T21" xr:uid="{F0758C43-474E-4D96-B789-CA05F5D4A93B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EB2E-1DAB-45EE-A031-7F486B81011E}">
  <dimension ref="A1:V30"/>
  <sheetViews>
    <sheetView zoomScale="145" zoomScaleNormal="145" workbookViewId="0">
      <selection activeCell="X7" sqref="X7"/>
    </sheetView>
  </sheetViews>
  <sheetFormatPr defaultColWidth="9" defaultRowHeight="13.5" customHeight="1"/>
  <cols>
    <col min="1" max="1" width="8.1796875" style="69" customWidth="1"/>
    <col min="2" max="2" width="13.453125" style="73" customWidth="1"/>
    <col min="3" max="3" width="10.81640625" style="69" customWidth="1"/>
    <col min="4" max="4" width="26.632812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s">
        <v>195</v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s">
        <v>191</v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s">
        <v>53</v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s">
        <v>53</v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>
        <v>100</v>
      </c>
      <c r="D4" s="353"/>
      <c r="E4" s="241"/>
      <c r="F4" s="314" t="s">
        <v>101</v>
      </c>
      <c r="G4" s="315"/>
      <c r="H4" s="315"/>
      <c r="I4" s="315"/>
      <c r="J4" s="315"/>
      <c r="K4" s="316"/>
      <c r="L4" s="356">
        <v>0</v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>
        <f>COUNTIF(F27:HQ27,"P")</f>
        <v>4</v>
      </c>
      <c r="B7" s="350"/>
      <c r="C7" s="341">
        <f>COUNTIF(F28:HQ28,"F")</f>
        <v>0</v>
      </c>
      <c r="D7" s="338"/>
      <c r="E7" s="350"/>
      <c r="F7" s="341">
        <f>SUM(O7,- A7,- C7)</f>
        <v>0</v>
      </c>
      <c r="G7" s="338"/>
      <c r="H7" s="338"/>
      <c r="I7" s="338"/>
      <c r="J7" s="338"/>
      <c r="K7" s="342"/>
      <c r="L7" s="152">
        <f>COUNTIF(E26:HQ276,"N")</f>
        <v>3</v>
      </c>
      <c r="M7" s="152">
        <f>COUNTIF(E26:HQ26,"A")</f>
        <v>1</v>
      </c>
      <c r="N7" s="152">
        <f>COUNTIF(E26:HQ26,"B")</f>
        <v>0</v>
      </c>
      <c r="O7" s="337">
        <f>COUNTA(E9:HT9)</f>
        <v>4</v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s">
        <v>105</v>
      </c>
      <c r="G9" s="168" t="s">
        <v>106</v>
      </c>
      <c r="H9" s="168" t="s">
        <v>107</v>
      </c>
      <c r="I9" s="168" t="s">
        <v>108</v>
      </c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9"/>
      <c r="U9" s="74"/>
      <c r="V9" s="71"/>
    </row>
    <row r="10" spans="1:22" ht="13.5" customHeight="1">
      <c r="A10" s="183" t="s">
        <v>111</v>
      </c>
      <c r="B10" s="75" t="s">
        <v>126</v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s">
        <v>137</v>
      </c>
      <c r="E11" s="80"/>
      <c r="F11" s="148" t="s">
        <v>113</v>
      </c>
      <c r="G11" s="148"/>
      <c r="H11" s="148" t="s">
        <v>113</v>
      </c>
      <c r="I11" s="148" t="s">
        <v>113</v>
      </c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195"/>
    </row>
    <row r="12" spans="1:22" ht="13.5" customHeight="1">
      <c r="A12" s="171"/>
      <c r="B12" s="75"/>
      <c r="C12" s="76"/>
      <c r="D12" s="77" t="s">
        <v>138</v>
      </c>
      <c r="E12" s="80"/>
      <c r="F12" s="148" t="s">
        <v>113</v>
      </c>
      <c r="G12" s="148" t="s">
        <v>113</v>
      </c>
      <c r="H12" s="148" t="s">
        <v>113</v>
      </c>
      <c r="I12" s="148" t="s">
        <v>113</v>
      </c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95"/>
    </row>
    <row r="13" spans="1:22" ht="13.5" customHeight="1">
      <c r="A13" s="171"/>
      <c r="B13" s="75"/>
      <c r="C13" s="76"/>
      <c r="D13" s="77" t="s">
        <v>201</v>
      </c>
      <c r="E13" s="80"/>
      <c r="F13" s="148" t="s">
        <v>113</v>
      </c>
      <c r="G13" s="148"/>
      <c r="H13" s="148"/>
      <c r="I13" s="148" t="s">
        <v>113</v>
      </c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70"/>
      <c r="V13" s="71"/>
    </row>
    <row r="14" spans="1:22" ht="13.5" customHeight="1">
      <c r="A14" s="171"/>
      <c r="B14" s="75"/>
      <c r="C14" s="76"/>
      <c r="D14" s="77" t="s">
        <v>202</v>
      </c>
      <c r="E14" s="80"/>
      <c r="F14" s="148"/>
      <c r="G14" s="148"/>
      <c r="H14" s="148" t="s">
        <v>113</v>
      </c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70"/>
    </row>
    <row r="15" spans="1:22" ht="13.5" customHeight="1">
      <c r="A15" s="171"/>
      <c r="B15" s="75" t="s">
        <v>205</v>
      </c>
      <c r="C15" s="76"/>
      <c r="D15" s="77"/>
      <c r="E15" s="8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>
        <v>1</v>
      </c>
      <c r="E16" s="81"/>
      <c r="F16" s="148" t="s">
        <v>113</v>
      </c>
      <c r="G16" s="148" t="s">
        <v>113</v>
      </c>
      <c r="H16" s="148"/>
      <c r="I16" s="148"/>
      <c r="J16" s="148"/>
      <c r="K16" s="148"/>
      <c r="L16" s="79"/>
      <c r="M16" s="79"/>
      <c r="N16" s="79"/>
      <c r="O16" s="79"/>
      <c r="P16" s="79"/>
      <c r="Q16" s="79"/>
      <c r="R16" s="79"/>
      <c r="S16" s="79"/>
      <c r="T16" s="195"/>
    </row>
    <row r="17" spans="1:20" ht="13.5" customHeight="1">
      <c r="A17" s="171"/>
      <c r="B17" s="75"/>
      <c r="C17" s="76"/>
      <c r="D17" s="77">
        <v>9999</v>
      </c>
      <c r="E17" s="81"/>
      <c r="F17" s="148"/>
      <c r="G17" s="79"/>
      <c r="H17" s="148" t="s">
        <v>113</v>
      </c>
      <c r="I17" s="148"/>
      <c r="J17" s="148"/>
      <c r="K17" s="148"/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 thickBot="1">
      <c r="A18" s="171"/>
      <c r="B18" s="75"/>
      <c r="C18" s="76"/>
      <c r="D18" s="77">
        <v>0</v>
      </c>
      <c r="E18" s="81"/>
      <c r="F18" s="79"/>
      <c r="G18" s="148"/>
      <c r="H18" s="79"/>
      <c r="I18" s="148" t="s">
        <v>113</v>
      </c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82" t="s">
        <v>115</v>
      </c>
      <c r="B19" s="208" t="s">
        <v>116</v>
      </c>
      <c r="C19" s="239"/>
      <c r="D19" s="210"/>
      <c r="E19" s="86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196"/>
    </row>
    <row r="20" spans="1:20" ht="13.5" customHeight="1">
      <c r="A20" s="181"/>
      <c r="B20" s="208"/>
      <c r="C20" s="209"/>
      <c r="D20" s="210" t="s">
        <v>206</v>
      </c>
      <c r="E20" s="91"/>
      <c r="F20" s="148" t="s">
        <v>113</v>
      </c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95"/>
    </row>
    <row r="21" spans="1:20" ht="13.5" customHeight="1">
      <c r="A21" s="181"/>
      <c r="B21" s="126"/>
      <c r="C21" s="89"/>
      <c r="D21" s="90" t="s">
        <v>151</v>
      </c>
      <c r="E21" s="91"/>
      <c r="F21" s="79"/>
      <c r="G21" s="148"/>
      <c r="H21" s="148" t="s">
        <v>113</v>
      </c>
      <c r="I21" s="148" t="s">
        <v>113</v>
      </c>
      <c r="J21" s="148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81"/>
      <c r="B22" s="116" t="s">
        <v>119</v>
      </c>
      <c r="C22" s="120"/>
      <c r="D22" s="118"/>
      <c r="E22" s="9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95"/>
    </row>
    <row r="23" spans="1:20" ht="13.5" customHeight="1">
      <c r="A23" s="181"/>
      <c r="B23" s="116"/>
      <c r="C23" s="120"/>
      <c r="D23" s="118" t="s">
        <v>152</v>
      </c>
      <c r="E23" s="91"/>
      <c r="F23" s="79"/>
      <c r="G23" s="148" t="s">
        <v>113</v>
      </c>
      <c r="H23" s="79"/>
      <c r="I23" s="148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81"/>
      <c r="B24" s="88" t="s">
        <v>130</v>
      </c>
      <c r="C24" s="89"/>
      <c r="D24" s="90"/>
      <c r="E24" s="91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 thickBot="1">
      <c r="A25" s="181"/>
      <c r="B25" s="88"/>
      <c r="C25" s="92"/>
      <c r="D25" s="90" t="s">
        <v>154</v>
      </c>
      <c r="E25" s="93"/>
      <c r="F25" s="148"/>
      <c r="G25" s="148" t="s">
        <v>113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 thickTop="1">
      <c r="A26" s="182" t="s">
        <v>120</v>
      </c>
      <c r="B26" s="407" t="s">
        <v>121</v>
      </c>
      <c r="C26" s="408"/>
      <c r="D26" s="409"/>
      <c r="E26" s="162"/>
      <c r="F26" s="188" t="s">
        <v>87</v>
      </c>
      <c r="G26" s="188" t="s">
        <v>64</v>
      </c>
      <c r="H26" s="188" t="s">
        <v>87</v>
      </c>
      <c r="I26" s="188" t="s">
        <v>87</v>
      </c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98"/>
    </row>
    <row r="27" spans="1:20" ht="13.5" customHeight="1">
      <c r="A27" s="174"/>
      <c r="B27" s="410" t="s">
        <v>122</v>
      </c>
      <c r="C27" s="411"/>
      <c r="D27" s="412"/>
      <c r="E27" s="95"/>
      <c r="F27" s="94" t="s">
        <v>123</v>
      </c>
      <c r="G27" s="94" t="s">
        <v>123</v>
      </c>
      <c r="H27" s="94" t="s">
        <v>123</v>
      </c>
      <c r="I27" s="94" t="s">
        <v>123</v>
      </c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199"/>
    </row>
    <row r="28" spans="1:20" ht="71.5" customHeight="1">
      <c r="A28" s="174"/>
      <c r="B28" s="413" t="s">
        <v>124</v>
      </c>
      <c r="C28" s="414"/>
      <c r="D28" s="415"/>
      <c r="E28" s="96"/>
      <c r="F28" s="97">
        <v>45695</v>
      </c>
      <c r="G28" s="97">
        <v>45695</v>
      </c>
      <c r="H28" s="97">
        <v>45695</v>
      </c>
      <c r="I28" s="97">
        <v>45695</v>
      </c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176"/>
    </row>
    <row r="29" spans="1:20" ht="10.5" thickBot="1">
      <c r="A29" s="177"/>
      <c r="B29" s="416" t="s">
        <v>125</v>
      </c>
      <c r="C29" s="417"/>
      <c r="D29" s="418"/>
      <c r="E29" s="178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80"/>
    </row>
    <row r="30" spans="1:20" ht="10.5" thickTop="1">
      <c r="A30" s="73"/>
      <c r="B30" s="69"/>
      <c r="C30" s="70"/>
      <c r="D30" s="69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F6:K6"/>
    <mergeCell ref="L6:N6"/>
    <mergeCell ref="O6:T6"/>
    <mergeCell ref="A7:B7"/>
    <mergeCell ref="C7:E7"/>
    <mergeCell ref="F7:K7"/>
    <mergeCell ref="O7:T7"/>
    <mergeCell ref="B26:D26"/>
    <mergeCell ref="B27:D27"/>
    <mergeCell ref="B28:D28"/>
    <mergeCell ref="B29:D29"/>
    <mergeCell ref="A6:B6"/>
    <mergeCell ref="C6:E6"/>
  </mergeCells>
  <dataValidations count="3">
    <dataValidation type="list" allowBlank="1" showInputMessage="1" showErrorMessage="1" sqref="F27:T27" xr:uid="{E502FA2F-BE96-40A3-A730-1FEAB4606F9E}">
      <formula1>"P,F, "</formula1>
    </dataValidation>
    <dataValidation type="list" allowBlank="1" showInputMessage="1" showErrorMessage="1" sqref="F26:T26" xr:uid="{51F00D41-F9DF-4162-8FC5-B4A3A572E71C}">
      <formula1>"N,A,B, "</formula1>
    </dataValidation>
    <dataValidation type="list" allowBlank="1" showInputMessage="1" showErrorMessage="1" sqref="F10:T13 F14:H14 J14:T14 F15:T25" xr:uid="{51E95300-7CAB-4328-BFB1-8BA88014ABB4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F147-4CBD-474D-B050-65A93CFB7A0F}">
  <dimension ref="A1:V54"/>
  <sheetViews>
    <sheetView topLeftCell="A29" zoomScale="115" zoomScaleNormal="115" workbookViewId="0">
      <selection activeCell="W43" sqref="W43"/>
    </sheetView>
  </sheetViews>
  <sheetFormatPr defaultColWidth="9" defaultRowHeight="13.5" customHeight="1"/>
  <cols>
    <col min="1" max="1" width="8.1796875" style="69" customWidth="1"/>
    <col min="2" max="2" width="13.453125" style="73" customWidth="1"/>
    <col min="3" max="3" width="10.81640625" style="69" customWidth="1"/>
    <col min="4" max="4" width="26.632812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s">
        <v>196</v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s">
        <v>193</v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s">
        <v>53</v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s">
        <v>53</v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>
        <v>100</v>
      </c>
      <c r="D4" s="353"/>
      <c r="E4" s="241"/>
      <c r="F4" s="314" t="s">
        <v>101</v>
      </c>
      <c r="G4" s="315"/>
      <c r="H4" s="315"/>
      <c r="I4" s="315"/>
      <c r="J4" s="315"/>
      <c r="K4" s="316"/>
      <c r="L4" s="356">
        <v>0</v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>
        <f>COUNTIF(F51:HQ51,"P")</f>
        <v>11</v>
      </c>
      <c r="B7" s="350"/>
      <c r="C7" s="341">
        <f>COUNTIF(F52:HQ52,"F")</f>
        <v>0</v>
      </c>
      <c r="D7" s="338"/>
      <c r="E7" s="350"/>
      <c r="F7" s="341">
        <f>SUM(O7,- A7,- C7)</f>
        <v>0</v>
      </c>
      <c r="G7" s="338"/>
      <c r="H7" s="338"/>
      <c r="I7" s="338"/>
      <c r="J7" s="338"/>
      <c r="K7" s="342"/>
      <c r="L7" s="152">
        <f>COUNTIF(E50:HQ50,"N")</f>
        <v>1</v>
      </c>
      <c r="M7" s="152">
        <f>COUNTIF(E50:HQ50,"A")</f>
        <v>6</v>
      </c>
      <c r="N7" s="152">
        <f>COUNTIF(E50:HQ50,"B")</f>
        <v>4</v>
      </c>
      <c r="O7" s="337">
        <f>COUNTA(E9:HT9)</f>
        <v>11</v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s">
        <v>105</v>
      </c>
      <c r="G9" s="168" t="s">
        <v>106</v>
      </c>
      <c r="H9" s="168" t="s">
        <v>107</v>
      </c>
      <c r="I9" s="168" t="s">
        <v>108</v>
      </c>
      <c r="J9" s="168" t="s">
        <v>109</v>
      </c>
      <c r="K9" s="168" t="s">
        <v>110</v>
      </c>
      <c r="L9" s="168" t="s">
        <v>230</v>
      </c>
      <c r="M9" s="168" t="s">
        <v>251</v>
      </c>
      <c r="N9" s="168" t="s">
        <v>252</v>
      </c>
      <c r="O9" s="168" t="s">
        <v>253</v>
      </c>
      <c r="P9" s="168" t="s">
        <v>254</v>
      </c>
      <c r="Q9" s="168"/>
      <c r="R9" s="168"/>
      <c r="S9" s="168"/>
      <c r="T9" s="169"/>
      <c r="U9" s="74"/>
      <c r="V9" s="71"/>
    </row>
    <row r="10" spans="1:22" ht="13.5" customHeight="1">
      <c r="A10" s="183" t="s">
        <v>111</v>
      </c>
      <c r="B10" s="75" t="s">
        <v>126</v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s">
        <v>137</v>
      </c>
      <c r="E11" s="80"/>
      <c r="F11" s="148" t="s">
        <v>113</v>
      </c>
      <c r="G11" s="148" t="s">
        <v>113</v>
      </c>
      <c r="H11" s="148" t="s">
        <v>113</v>
      </c>
      <c r="I11" s="148" t="s">
        <v>113</v>
      </c>
      <c r="J11" s="148" t="s">
        <v>113</v>
      </c>
      <c r="K11" s="148"/>
      <c r="L11" s="148" t="s">
        <v>113</v>
      </c>
      <c r="M11" s="148" t="s">
        <v>113</v>
      </c>
      <c r="N11" s="148" t="s">
        <v>113</v>
      </c>
      <c r="O11" s="148"/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s">
        <v>138</v>
      </c>
      <c r="E12" s="80"/>
      <c r="F12" s="148" t="s">
        <v>113</v>
      </c>
      <c r="G12" s="148" t="s">
        <v>113</v>
      </c>
      <c r="H12" s="148" t="s">
        <v>113</v>
      </c>
      <c r="I12" s="148" t="s">
        <v>113</v>
      </c>
      <c r="J12" s="148" t="s">
        <v>113</v>
      </c>
      <c r="K12" s="148" t="s">
        <v>113</v>
      </c>
      <c r="L12" s="148" t="s">
        <v>113</v>
      </c>
      <c r="M12" s="148" t="s">
        <v>113</v>
      </c>
      <c r="N12" s="148" t="s">
        <v>113</v>
      </c>
      <c r="O12" s="148"/>
      <c r="P12" s="148"/>
      <c r="Q12" s="148"/>
      <c r="R12" s="148"/>
      <c r="S12" s="148"/>
      <c r="T12" s="170"/>
    </row>
    <row r="13" spans="1:22" ht="13.5" customHeight="1">
      <c r="A13" s="171"/>
      <c r="B13" s="75" t="s">
        <v>207</v>
      </c>
      <c r="C13" s="76"/>
      <c r="D13" s="77"/>
      <c r="E13" s="81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195"/>
    </row>
    <row r="14" spans="1:22" ht="13.5" customHeight="1">
      <c r="A14" s="171"/>
      <c r="B14" s="75"/>
      <c r="C14" s="76"/>
      <c r="D14" s="77" t="s">
        <v>208</v>
      </c>
      <c r="E14" s="81"/>
      <c r="F14" s="148" t="s">
        <v>113</v>
      </c>
      <c r="G14" s="79"/>
      <c r="H14" s="79"/>
      <c r="I14" s="148" t="s">
        <v>113</v>
      </c>
      <c r="J14" s="79"/>
      <c r="K14" s="79"/>
      <c r="L14" s="79"/>
      <c r="M14" s="79"/>
      <c r="N14" s="79"/>
      <c r="O14" s="148" t="s">
        <v>113</v>
      </c>
      <c r="P14" s="148" t="s">
        <v>113</v>
      </c>
      <c r="Q14" s="79"/>
      <c r="R14" s="79"/>
      <c r="S14" s="79"/>
      <c r="T14" s="195"/>
    </row>
    <row r="15" spans="1:22" ht="13.5" customHeight="1">
      <c r="A15" s="171"/>
      <c r="B15" s="75"/>
      <c r="C15" s="76"/>
      <c r="D15" s="77" t="s">
        <v>127</v>
      </c>
      <c r="E15" s="81"/>
      <c r="F15" s="79"/>
      <c r="G15" s="148" t="s">
        <v>113</v>
      </c>
      <c r="H15" s="148" t="s">
        <v>113</v>
      </c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95"/>
    </row>
    <row r="16" spans="1:22" ht="13.5" customHeight="1">
      <c r="A16" s="171"/>
      <c r="B16" s="75"/>
      <c r="C16" s="76"/>
      <c r="D16" s="77" t="s">
        <v>209</v>
      </c>
      <c r="E16" s="81"/>
      <c r="F16" s="79"/>
      <c r="G16" s="79"/>
      <c r="H16" s="79"/>
      <c r="I16" s="79"/>
      <c r="J16" s="148" t="s">
        <v>113</v>
      </c>
      <c r="K16" s="79"/>
      <c r="L16" s="79"/>
      <c r="M16" s="79"/>
      <c r="N16" s="79"/>
      <c r="O16" s="79"/>
      <c r="P16" s="79"/>
      <c r="Q16" s="79"/>
      <c r="R16" s="79"/>
      <c r="S16" s="79"/>
      <c r="T16" s="195"/>
    </row>
    <row r="17" spans="1:20" ht="13.5" customHeight="1">
      <c r="A17" s="171"/>
      <c r="B17" s="75"/>
      <c r="C17" s="76"/>
      <c r="D17" s="77" t="s">
        <v>210</v>
      </c>
      <c r="E17" s="81"/>
      <c r="F17" s="79"/>
      <c r="G17" s="79"/>
      <c r="H17" s="79"/>
      <c r="I17" s="79"/>
      <c r="J17" s="79"/>
      <c r="K17" s="148" t="s">
        <v>113</v>
      </c>
      <c r="L17" s="79"/>
      <c r="M17" s="79"/>
      <c r="N17" s="79"/>
      <c r="O17" s="79"/>
      <c r="P17" s="79"/>
      <c r="Q17" s="79"/>
      <c r="R17" s="79"/>
      <c r="S17" s="79"/>
      <c r="T17" s="195"/>
    </row>
    <row r="18" spans="1:20" ht="13.5" customHeight="1">
      <c r="A18" s="171"/>
      <c r="B18" s="75"/>
      <c r="C18" s="76"/>
      <c r="D18" s="77" t="s">
        <v>211</v>
      </c>
      <c r="E18" s="81"/>
      <c r="F18" s="79"/>
      <c r="G18" s="79"/>
      <c r="H18" s="79"/>
      <c r="I18" s="79"/>
      <c r="J18" s="79"/>
      <c r="K18" s="148"/>
      <c r="L18" s="148" t="s">
        <v>113</v>
      </c>
      <c r="M18" s="79"/>
      <c r="N18" s="79"/>
      <c r="O18" s="79"/>
      <c r="P18" s="79"/>
      <c r="Q18" s="79"/>
      <c r="R18" s="79"/>
      <c r="S18" s="79"/>
      <c r="T18" s="195"/>
    </row>
    <row r="19" spans="1:20" ht="13.5" customHeight="1">
      <c r="A19" s="171"/>
      <c r="B19" s="75"/>
      <c r="C19" s="76"/>
      <c r="D19" s="77" t="s">
        <v>247</v>
      </c>
      <c r="E19" s="81"/>
      <c r="F19" s="79"/>
      <c r="G19" s="79"/>
      <c r="H19" s="79"/>
      <c r="I19" s="79"/>
      <c r="J19" s="79"/>
      <c r="K19" s="148"/>
      <c r="L19" s="79"/>
      <c r="M19" s="148" t="s">
        <v>113</v>
      </c>
      <c r="N19" s="79"/>
      <c r="O19" s="79"/>
      <c r="P19" s="79"/>
      <c r="Q19" s="79"/>
      <c r="R19" s="79"/>
      <c r="S19" s="79"/>
      <c r="T19" s="195"/>
    </row>
    <row r="20" spans="1:20" ht="13.5" customHeight="1">
      <c r="A20" s="171"/>
      <c r="B20" s="75"/>
      <c r="C20" s="76"/>
      <c r="D20" s="77" t="s">
        <v>248</v>
      </c>
      <c r="E20" s="81"/>
      <c r="F20" s="79"/>
      <c r="G20" s="79"/>
      <c r="H20" s="79"/>
      <c r="I20" s="79"/>
      <c r="J20" s="79"/>
      <c r="K20" s="79"/>
      <c r="L20" s="148"/>
      <c r="M20" s="79"/>
      <c r="N20" s="148" t="s">
        <v>113</v>
      </c>
      <c r="O20" s="79"/>
      <c r="P20" s="79"/>
      <c r="Q20" s="79"/>
      <c r="R20" s="79"/>
      <c r="S20" s="79"/>
      <c r="T20" s="195"/>
    </row>
    <row r="21" spans="1:20" ht="13.5" customHeight="1">
      <c r="A21" s="171"/>
      <c r="B21" s="75" t="s">
        <v>212</v>
      </c>
      <c r="C21" s="76"/>
      <c r="D21" s="77"/>
      <c r="E21" s="8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95"/>
    </row>
    <row r="22" spans="1:20" ht="13.5" customHeight="1">
      <c r="A22" s="171"/>
      <c r="B22" s="75"/>
      <c r="C22" s="76"/>
      <c r="D22" s="77" t="s">
        <v>213</v>
      </c>
      <c r="E22" s="81"/>
      <c r="F22" s="148" t="s">
        <v>113</v>
      </c>
      <c r="G22" s="79"/>
      <c r="H22" s="79"/>
      <c r="I22" s="79"/>
      <c r="J22" s="79"/>
      <c r="K22" s="79"/>
      <c r="L22" s="79"/>
      <c r="M22" s="148" t="s">
        <v>113</v>
      </c>
      <c r="N22" s="148" t="s">
        <v>113</v>
      </c>
      <c r="O22" s="79"/>
      <c r="P22" s="79"/>
      <c r="Q22" s="79"/>
      <c r="R22" s="79"/>
      <c r="S22" s="79"/>
      <c r="T22" s="195"/>
    </row>
    <row r="23" spans="1:20" ht="13.5" customHeight="1">
      <c r="A23" s="171"/>
      <c r="B23" s="75"/>
      <c r="C23" s="76"/>
      <c r="D23" s="77" t="s">
        <v>127</v>
      </c>
      <c r="E23" s="81"/>
      <c r="F23" s="79"/>
      <c r="G23" s="148" t="s">
        <v>113</v>
      </c>
      <c r="H23" s="79"/>
      <c r="I23" s="148" t="s">
        <v>113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95"/>
    </row>
    <row r="24" spans="1:20" ht="13.5" customHeight="1">
      <c r="A24" s="171"/>
      <c r="B24" s="75"/>
      <c r="C24" s="76"/>
      <c r="D24" s="77" t="s">
        <v>214</v>
      </c>
      <c r="E24" s="81"/>
      <c r="F24" s="79"/>
      <c r="G24" s="79"/>
      <c r="H24" s="148" t="s">
        <v>113</v>
      </c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95"/>
    </row>
    <row r="25" spans="1:20" ht="13.5" customHeight="1">
      <c r="A25" s="171"/>
      <c r="B25" s="75"/>
      <c r="C25" s="76"/>
      <c r="D25" s="77" t="s">
        <v>215</v>
      </c>
      <c r="E25" s="81"/>
      <c r="F25" s="79"/>
      <c r="G25" s="79"/>
      <c r="H25" s="79"/>
      <c r="I25" s="79"/>
      <c r="J25" s="148" t="s">
        <v>113</v>
      </c>
      <c r="K25" s="79"/>
      <c r="L25" s="79"/>
      <c r="M25" s="79"/>
      <c r="N25" s="79"/>
      <c r="O25" s="79"/>
      <c r="P25" s="79"/>
      <c r="Q25" s="79"/>
      <c r="R25" s="79"/>
      <c r="S25" s="79"/>
      <c r="T25" s="195"/>
    </row>
    <row r="26" spans="1:20" ht="13.5" customHeight="1">
      <c r="A26" s="171"/>
      <c r="B26" s="75"/>
      <c r="C26" s="76"/>
      <c r="D26" s="77" t="s">
        <v>216</v>
      </c>
      <c r="E26" s="81"/>
      <c r="F26" s="79"/>
      <c r="G26" s="79"/>
      <c r="H26" s="79"/>
      <c r="I26" s="79"/>
      <c r="J26" s="79"/>
      <c r="K26" s="148" t="s">
        <v>113</v>
      </c>
      <c r="L26" s="79"/>
      <c r="M26" s="79"/>
      <c r="N26" s="79"/>
      <c r="O26" s="79"/>
      <c r="P26" s="79"/>
      <c r="Q26" s="79"/>
      <c r="R26" s="79"/>
      <c r="S26" s="79"/>
      <c r="T26" s="195"/>
    </row>
    <row r="27" spans="1:20" ht="13.5" customHeight="1">
      <c r="A27" s="171"/>
      <c r="B27" s="75"/>
      <c r="C27" s="76"/>
      <c r="D27" s="77" t="s">
        <v>217</v>
      </c>
      <c r="E27" s="81"/>
      <c r="F27" s="79"/>
      <c r="G27" s="79"/>
      <c r="H27" s="79"/>
      <c r="I27" s="79"/>
      <c r="J27" s="79"/>
      <c r="K27" s="79"/>
      <c r="L27" s="148" t="s">
        <v>113</v>
      </c>
      <c r="M27" s="79"/>
      <c r="N27" s="79"/>
      <c r="O27" s="79"/>
      <c r="P27" s="79"/>
      <c r="Q27" s="79"/>
      <c r="R27" s="79"/>
      <c r="S27" s="79"/>
      <c r="T27" s="195"/>
    </row>
    <row r="28" spans="1:20" ht="13.5" customHeight="1">
      <c r="A28" s="171"/>
      <c r="B28" s="75"/>
      <c r="C28" s="76"/>
      <c r="D28" s="77" t="s">
        <v>249</v>
      </c>
      <c r="E28" s="81"/>
      <c r="F28" s="79"/>
      <c r="G28" s="79"/>
      <c r="H28" s="79"/>
      <c r="I28" s="79"/>
      <c r="J28" s="79"/>
      <c r="K28" s="148"/>
      <c r="L28" s="79"/>
      <c r="M28" s="79"/>
      <c r="N28" s="79"/>
      <c r="O28" s="148" t="s">
        <v>113</v>
      </c>
      <c r="P28" s="79"/>
      <c r="Q28" s="79"/>
      <c r="R28" s="79"/>
      <c r="S28" s="79"/>
      <c r="T28" s="195"/>
    </row>
    <row r="29" spans="1:20" ht="13.5" customHeight="1">
      <c r="A29" s="171"/>
      <c r="B29" s="75"/>
      <c r="C29" s="76"/>
      <c r="D29" s="77" t="s">
        <v>250</v>
      </c>
      <c r="E29" s="81"/>
      <c r="F29" s="79"/>
      <c r="G29" s="79"/>
      <c r="H29" s="79"/>
      <c r="I29" s="79"/>
      <c r="J29" s="79"/>
      <c r="K29" s="79"/>
      <c r="L29" s="148"/>
      <c r="M29" s="79"/>
      <c r="N29" s="79"/>
      <c r="O29" s="79"/>
      <c r="P29" s="148" t="s">
        <v>113</v>
      </c>
      <c r="Q29" s="79"/>
      <c r="R29" s="79"/>
      <c r="S29" s="79"/>
      <c r="T29" s="195"/>
    </row>
    <row r="30" spans="1:20" ht="13.5" customHeight="1">
      <c r="A30" s="171"/>
      <c r="B30" s="75" t="s">
        <v>218</v>
      </c>
      <c r="C30" s="76"/>
      <c r="D30" s="77"/>
      <c r="E30" s="81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95"/>
    </row>
    <row r="31" spans="1:20" ht="13.5" customHeight="1">
      <c r="A31" s="171"/>
      <c r="B31" s="75"/>
      <c r="C31" s="76"/>
      <c r="D31" s="77" t="s">
        <v>219</v>
      </c>
      <c r="E31" s="81"/>
      <c r="F31" s="148" t="s">
        <v>113</v>
      </c>
      <c r="G31" s="79"/>
      <c r="H31" s="79"/>
      <c r="I31" s="79"/>
      <c r="J31" s="79"/>
      <c r="K31" s="79"/>
      <c r="L31" s="79"/>
      <c r="M31" s="148" t="s">
        <v>113</v>
      </c>
      <c r="N31" s="148" t="s">
        <v>113</v>
      </c>
      <c r="O31" s="148" t="s">
        <v>113</v>
      </c>
      <c r="P31" s="148" t="s">
        <v>113</v>
      </c>
      <c r="Q31" s="79"/>
      <c r="R31" s="79"/>
      <c r="S31" s="79"/>
      <c r="T31" s="195"/>
    </row>
    <row r="32" spans="1:20" ht="13.5" customHeight="1">
      <c r="A32" s="171"/>
      <c r="B32" s="75"/>
      <c r="C32" s="76"/>
      <c r="D32" s="77" t="s">
        <v>127</v>
      </c>
      <c r="E32" s="81"/>
      <c r="F32" s="79"/>
      <c r="G32" s="148" t="s">
        <v>113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195"/>
    </row>
    <row r="33" spans="1:20" ht="13.5" customHeight="1">
      <c r="A33" s="171"/>
      <c r="B33" s="75"/>
      <c r="C33" s="76"/>
      <c r="D33" s="77" t="s">
        <v>220</v>
      </c>
      <c r="E33" s="81"/>
      <c r="F33" s="79"/>
      <c r="G33" s="79"/>
      <c r="H33" s="148" t="s">
        <v>113</v>
      </c>
      <c r="I33" s="148" t="s">
        <v>113</v>
      </c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195"/>
    </row>
    <row r="34" spans="1:20" ht="13.5" customHeight="1">
      <c r="A34" s="171"/>
      <c r="B34" s="75"/>
      <c r="C34" s="76"/>
      <c r="D34" s="77" t="s">
        <v>221</v>
      </c>
      <c r="E34" s="81"/>
      <c r="F34" s="79"/>
      <c r="G34" s="79"/>
      <c r="H34" s="79"/>
      <c r="I34" s="79"/>
      <c r="J34" s="148" t="s">
        <v>113</v>
      </c>
      <c r="K34" s="79"/>
      <c r="L34" s="79"/>
      <c r="M34" s="79"/>
      <c r="N34" s="79"/>
      <c r="O34" s="79"/>
      <c r="P34" s="79"/>
      <c r="Q34" s="79"/>
      <c r="R34" s="79"/>
      <c r="S34" s="79"/>
      <c r="T34" s="195"/>
    </row>
    <row r="35" spans="1:20" ht="13.5" customHeight="1">
      <c r="A35" s="171"/>
      <c r="B35" s="75"/>
      <c r="C35" s="76"/>
      <c r="D35" s="77" t="s">
        <v>222</v>
      </c>
      <c r="E35" s="81"/>
      <c r="F35" s="79"/>
      <c r="G35" s="79"/>
      <c r="H35" s="79"/>
      <c r="I35" s="79"/>
      <c r="J35" s="79"/>
      <c r="K35" s="148" t="s">
        <v>113</v>
      </c>
      <c r="L35" s="79"/>
      <c r="M35" s="79"/>
      <c r="N35" s="79"/>
      <c r="O35" s="79"/>
      <c r="P35" s="79"/>
      <c r="Q35" s="79"/>
      <c r="R35" s="79"/>
      <c r="S35" s="79"/>
      <c r="T35" s="195"/>
    </row>
    <row r="36" spans="1:20" ht="13.5" customHeight="1" thickBot="1">
      <c r="A36" s="171"/>
      <c r="B36" s="75"/>
      <c r="C36" s="76"/>
      <c r="D36" s="77" t="s">
        <v>223</v>
      </c>
      <c r="E36" s="81"/>
      <c r="F36" s="79"/>
      <c r="G36" s="79"/>
      <c r="H36" s="79"/>
      <c r="I36" s="79"/>
      <c r="J36" s="79"/>
      <c r="K36" s="79"/>
      <c r="L36" s="148" t="s">
        <v>113</v>
      </c>
      <c r="M36" s="79"/>
      <c r="N36" s="79"/>
      <c r="O36" s="79"/>
      <c r="P36" s="79"/>
      <c r="Q36" s="79"/>
      <c r="R36" s="79"/>
      <c r="S36" s="79"/>
      <c r="T36" s="195"/>
    </row>
    <row r="37" spans="1:20" ht="13.5" customHeight="1">
      <c r="A37" s="182" t="s">
        <v>115</v>
      </c>
      <c r="B37" s="208" t="s">
        <v>116</v>
      </c>
      <c r="C37" s="239"/>
      <c r="D37" s="210"/>
      <c r="E37" s="86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196"/>
    </row>
    <row r="38" spans="1:20" ht="13.5" customHeight="1">
      <c r="A38" s="181"/>
      <c r="B38" s="208"/>
      <c r="C38" s="209"/>
      <c r="D38" s="210" t="s">
        <v>117</v>
      </c>
      <c r="E38" s="91"/>
      <c r="F38" s="148" t="s">
        <v>113</v>
      </c>
      <c r="G38" s="79"/>
      <c r="H38" s="79"/>
      <c r="I38" s="79"/>
      <c r="J38" s="79"/>
      <c r="K38" s="79"/>
      <c r="L38" s="79"/>
      <c r="M38" s="148" t="s">
        <v>113</v>
      </c>
      <c r="N38" s="79"/>
      <c r="O38" s="148" t="s">
        <v>113</v>
      </c>
      <c r="P38" s="79"/>
      <c r="Q38" s="79"/>
      <c r="R38" s="79"/>
      <c r="S38" s="79"/>
      <c r="T38" s="195"/>
    </row>
    <row r="39" spans="1:20" ht="13.5" customHeight="1">
      <c r="A39" s="181"/>
      <c r="B39" s="126"/>
      <c r="C39" s="89"/>
      <c r="D39" s="90" t="s">
        <v>118</v>
      </c>
      <c r="E39" s="91"/>
      <c r="F39" s="79"/>
      <c r="G39" s="148" t="s">
        <v>113</v>
      </c>
      <c r="H39" s="148" t="s">
        <v>113</v>
      </c>
      <c r="I39" s="148" t="s">
        <v>113</v>
      </c>
      <c r="J39" s="148" t="s">
        <v>113</v>
      </c>
      <c r="K39" s="79"/>
      <c r="L39" s="148" t="s">
        <v>113</v>
      </c>
      <c r="M39" s="79"/>
      <c r="N39" s="148" t="s">
        <v>113</v>
      </c>
      <c r="O39" s="79"/>
      <c r="P39" s="148" t="s">
        <v>113</v>
      </c>
      <c r="Q39" s="79"/>
      <c r="R39" s="79"/>
      <c r="S39" s="79"/>
      <c r="T39" s="195"/>
    </row>
    <row r="40" spans="1:20" ht="13.5" customHeight="1">
      <c r="A40" s="181"/>
      <c r="B40" s="116" t="s">
        <v>119</v>
      </c>
      <c r="C40" s="120"/>
      <c r="D40" s="118"/>
      <c r="E40" s="91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195"/>
    </row>
    <row r="41" spans="1:20" ht="13.5" customHeight="1">
      <c r="A41" s="181"/>
      <c r="B41" s="116"/>
      <c r="C41" s="120"/>
      <c r="D41" s="118" t="s">
        <v>152</v>
      </c>
      <c r="E41" s="91"/>
      <c r="F41" s="79"/>
      <c r="G41" s="79"/>
      <c r="H41" s="79"/>
      <c r="I41" s="148"/>
      <c r="J41" s="79"/>
      <c r="K41" s="148" t="s">
        <v>113</v>
      </c>
      <c r="L41" s="79"/>
      <c r="M41" s="79"/>
      <c r="N41" s="79"/>
      <c r="O41" s="79"/>
      <c r="P41" s="79"/>
      <c r="Q41" s="79"/>
      <c r="R41" s="79"/>
      <c r="S41" s="79"/>
      <c r="T41" s="195"/>
    </row>
    <row r="42" spans="1:20" ht="13.5" customHeight="1">
      <c r="A42" s="181"/>
      <c r="B42" s="88" t="s">
        <v>130</v>
      </c>
      <c r="C42" s="89"/>
      <c r="D42" s="90"/>
      <c r="E42" s="91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195"/>
    </row>
    <row r="43" spans="1:20" ht="13.5" customHeight="1">
      <c r="A43" s="181"/>
      <c r="B43" s="88"/>
      <c r="C43" s="89"/>
      <c r="D43" s="90" t="s">
        <v>224</v>
      </c>
      <c r="E43" s="91"/>
      <c r="F43" s="148" t="s">
        <v>113</v>
      </c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195"/>
    </row>
    <row r="44" spans="1:20" ht="13.5" customHeight="1">
      <c r="A44" s="181"/>
      <c r="B44" s="88"/>
      <c r="C44" s="89"/>
      <c r="D44" s="90" t="s">
        <v>225</v>
      </c>
      <c r="E44" s="91"/>
      <c r="F44" s="79"/>
      <c r="G44" s="148" t="s">
        <v>113</v>
      </c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195"/>
    </row>
    <row r="45" spans="1:20" ht="13.5" customHeight="1">
      <c r="A45" s="181"/>
      <c r="B45" s="88"/>
      <c r="C45" s="89"/>
      <c r="D45" s="90" t="s">
        <v>226</v>
      </c>
      <c r="E45" s="91"/>
      <c r="F45" s="79"/>
      <c r="G45" s="79"/>
      <c r="H45" s="148" t="s">
        <v>113</v>
      </c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195"/>
    </row>
    <row r="46" spans="1:20" ht="13.5" customHeight="1">
      <c r="A46" s="181"/>
      <c r="B46" s="88"/>
      <c r="C46" s="89"/>
      <c r="D46" s="90" t="s">
        <v>231</v>
      </c>
      <c r="E46" s="91"/>
      <c r="F46" s="79"/>
      <c r="G46" s="79"/>
      <c r="H46" s="79"/>
      <c r="I46" s="148" t="s">
        <v>113</v>
      </c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195"/>
    </row>
    <row r="47" spans="1:20" ht="13.5" customHeight="1">
      <c r="A47" s="181"/>
      <c r="B47" s="88"/>
      <c r="C47" s="92"/>
      <c r="D47" s="90" t="s">
        <v>227</v>
      </c>
      <c r="E47" s="93"/>
      <c r="F47" s="148"/>
      <c r="G47" s="79"/>
      <c r="H47" s="79"/>
      <c r="I47" s="79"/>
      <c r="J47" s="148" t="s">
        <v>113</v>
      </c>
      <c r="K47" s="79"/>
      <c r="L47" s="79"/>
      <c r="M47" s="79"/>
      <c r="N47" s="79"/>
      <c r="O47" s="79"/>
      <c r="P47" s="79"/>
      <c r="Q47" s="79"/>
      <c r="R47" s="79"/>
      <c r="S47" s="79"/>
      <c r="T47" s="195"/>
    </row>
    <row r="48" spans="1:20" ht="13.5" customHeight="1">
      <c r="A48" s="181"/>
      <c r="B48" s="88"/>
      <c r="C48" s="92"/>
      <c r="D48" s="90" t="s">
        <v>228</v>
      </c>
      <c r="E48" s="93"/>
      <c r="F48" s="79"/>
      <c r="G48" s="148"/>
      <c r="H48" s="79"/>
      <c r="I48" s="79"/>
      <c r="J48" s="79"/>
      <c r="K48" s="148" t="s">
        <v>113</v>
      </c>
      <c r="L48" s="79"/>
      <c r="M48" s="79"/>
      <c r="N48" s="79"/>
      <c r="O48" s="79"/>
      <c r="P48" s="79"/>
      <c r="Q48" s="79"/>
      <c r="R48" s="79"/>
      <c r="S48" s="79"/>
      <c r="T48" s="195"/>
    </row>
    <row r="49" spans="1:20" ht="13.5" customHeight="1" thickBot="1">
      <c r="A49" s="181"/>
      <c r="B49" s="88"/>
      <c r="C49" s="92"/>
      <c r="D49" s="90" t="s">
        <v>229</v>
      </c>
      <c r="E49" s="93"/>
      <c r="F49" s="79"/>
      <c r="G49" s="79"/>
      <c r="H49" s="148"/>
      <c r="I49" s="79"/>
      <c r="J49" s="79"/>
      <c r="K49" s="79"/>
      <c r="L49" s="148" t="s">
        <v>113</v>
      </c>
      <c r="M49" s="79"/>
      <c r="N49" s="79"/>
      <c r="O49" s="79"/>
      <c r="P49" s="79"/>
      <c r="Q49" s="79"/>
      <c r="R49" s="79"/>
      <c r="S49" s="79"/>
      <c r="T49" s="195"/>
    </row>
    <row r="50" spans="1:20" ht="13.5" customHeight="1" thickTop="1">
      <c r="A50" s="182" t="s">
        <v>120</v>
      </c>
      <c r="B50" s="326" t="s">
        <v>121</v>
      </c>
      <c r="C50" s="326"/>
      <c r="D50" s="326"/>
      <c r="E50" s="162"/>
      <c r="F50" s="188" t="s">
        <v>87</v>
      </c>
      <c r="G50" s="188" t="s">
        <v>64</v>
      </c>
      <c r="H50" s="188" t="s">
        <v>64</v>
      </c>
      <c r="I50" s="188" t="s">
        <v>64</v>
      </c>
      <c r="J50" s="188" t="s">
        <v>64</v>
      </c>
      <c r="K50" s="188" t="s">
        <v>64</v>
      </c>
      <c r="L50" s="188" t="s">
        <v>64</v>
      </c>
      <c r="M50" s="188" t="s">
        <v>88</v>
      </c>
      <c r="N50" s="188" t="s">
        <v>88</v>
      </c>
      <c r="O50" s="188" t="s">
        <v>88</v>
      </c>
      <c r="P50" s="188" t="s">
        <v>88</v>
      </c>
      <c r="Q50" s="188"/>
      <c r="R50" s="188"/>
      <c r="S50" s="188"/>
      <c r="T50" s="198"/>
    </row>
    <row r="51" spans="1:20" ht="13.5" customHeight="1">
      <c r="A51" s="174"/>
      <c r="B51" s="349" t="s">
        <v>122</v>
      </c>
      <c r="C51" s="349"/>
      <c r="D51" s="349"/>
      <c r="E51" s="95"/>
      <c r="F51" s="94" t="s">
        <v>123</v>
      </c>
      <c r="G51" s="94" t="s">
        <v>123</v>
      </c>
      <c r="H51" s="94" t="s">
        <v>123</v>
      </c>
      <c r="I51" s="94" t="s">
        <v>123</v>
      </c>
      <c r="J51" s="94" t="s">
        <v>123</v>
      </c>
      <c r="K51" s="94" t="s">
        <v>123</v>
      </c>
      <c r="L51" s="94" t="s">
        <v>123</v>
      </c>
      <c r="M51" s="94" t="s">
        <v>123</v>
      </c>
      <c r="N51" s="94" t="s">
        <v>123</v>
      </c>
      <c r="O51" s="94" t="s">
        <v>123</v>
      </c>
      <c r="P51" s="94" t="s">
        <v>123</v>
      </c>
      <c r="Q51" s="94"/>
      <c r="R51" s="94"/>
      <c r="S51" s="94"/>
      <c r="T51" s="199"/>
    </row>
    <row r="52" spans="1:20" ht="71.5" customHeight="1">
      <c r="A52" s="174"/>
      <c r="B52" s="324" t="s">
        <v>124</v>
      </c>
      <c r="C52" s="324"/>
      <c r="D52" s="324"/>
      <c r="E52" s="96"/>
      <c r="F52" s="97">
        <v>45695</v>
      </c>
      <c r="G52" s="97">
        <v>45695</v>
      </c>
      <c r="H52" s="97">
        <v>45695</v>
      </c>
      <c r="I52" s="97">
        <v>45695</v>
      </c>
      <c r="J52" s="97">
        <v>45695</v>
      </c>
      <c r="K52" s="97">
        <v>45695</v>
      </c>
      <c r="L52" s="97">
        <v>45695</v>
      </c>
      <c r="M52" s="97">
        <v>45695</v>
      </c>
      <c r="N52" s="97">
        <v>45695</v>
      </c>
      <c r="O52" s="97">
        <v>45695</v>
      </c>
      <c r="P52" s="97">
        <v>45695</v>
      </c>
      <c r="Q52" s="97"/>
      <c r="R52" s="97"/>
      <c r="S52" s="97"/>
      <c r="T52" s="176"/>
    </row>
    <row r="53" spans="1:20" ht="10.5" thickBot="1">
      <c r="A53" s="177"/>
      <c r="B53" s="325" t="s">
        <v>125</v>
      </c>
      <c r="C53" s="325"/>
      <c r="D53" s="325"/>
      <c r="E53" s="178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80"/>
    </row>
    <row r="54" spans="1:20" ht="10.5" thickTop="1">
      <c r="A54" s="73"/>
      <c r="B54" s="69"/>
      <c r="C54" s="70"/>
      <c r="D54" s="69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F6:K6"/>
    <mergeCell ref="L6:N6"/>
    <mergeCell ref="O6:T6"/>
    <mergeCell ref="A7:B7"/>
    <mergeCell ref="C7:E7"/>
    <mergeCell ref="F7:K7"/>
    <mergeCell ref="O7:T7"/>
    <mergeCell ref="B50:D50"/>
    <mergeCell ref="B51:D51"/>
    <mergeCell ref="B52:D52"/>
    <mergeCell ref="B53:D53"/>
    <mergeCell ref="A6:B6"/>
    <mergeCell ref="C6:E6"/>
  </mergeCells>
  <phoneticPr fontId="33" type="noConversion"/>
  <dataValidations count="3">
    <dataValidation type="list" allowBlank="1" showInputMessage="1" showErrorMessage="1" sqref="F51:T51" xr:uid="{BDBB25F2-8553-4627-BCE0-7D0B4A820B0D}">
      <formula1>"P,F, "</formula1>
    </dataValidation>
    <dataValidation type="list" allowBlank="1" showInputMessage="1" showErrorMessage="1" sqref="F50:T50" xr:uid="{F3DE68C6-433E-4E26-A376-49DC9ABF791C}">
      <formula1>"N,A,B, "</formula1>
    </dataValidation>
    <dataValidation type="list" allowBlank="1" showInputMessage="1" showErrorMessage="1" sqref="F10:T49" xr:uid="{ADF7E8A7-146C-4100-AEE5-C10A59E11272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84F2-8DF3-408E-B102-D3D8672909AC}">
  <dimension ref="A1:V55"/>
  <sheetViews>
    <sheetView topLeftCell="A29" zoomScale="115" zoomScaleNormal="115" workbookViewId="0">
      <selection activeCell="W6" sqref="W6"/>
    </sheetView>
  </sheetViews>
  <sheetFormatPr defaultColWidth="9" defaultRowHeight="13.5" customHeight="1"/>
  <cols>
    <col min="1" max="1" width="8.1796875" style="69" customWidth="1"/>
    <col min="2" max="2" width="13.453125" style="73" customWidth="1"/>
    <col min="3" max="3" width="10.81640625" style="69" customWidth="1"/>
    <col min="4" max="4" width="26.6328125" style="70" customWidth="1"/>
    <col min="5" max="5" width="1.81640625" style="69" hidden="1" customWidth="1"/>
    <col min="6" max="11" width="2.81640625" style="69" bestFit="1" customWidth="1"/>
    <col min="12" max="19" width="2.81640625" style="69" customWidth="1"/>
    <col min="20" max="20" width="2.81640625" style="69" bestFit="1" customWidth="1"/>
    <col min="21" max="21" width="2.81640625" style="69" customWidth="1"/>
    <col min="22" max="256" width="11" style="69" customWidth="1"/>
    <col min="257" max="16384" width="9" style="69"/>
  </cols>
  <sheetData>
    <row r="1" spans="1:22" ht="13.5" customHeight="1" thickBot="1">
      <c r="A1" s="67"/>
      <c r="B1" s="68"/>
    </row>
    <row r="2" spans="1:22" ht="13.5" customHeight="1">
      <c r="A2" s="346" t="s">
        <v>97</v>
      </c>
      <c r="B2" s="322"/>
      <c r="C2" s="308" t="s">
        <v>197</v>
      </c>
      <c r="D2" s="347"/>
      <c r="E2" s="348"/>
      <c r="F2" s="404" t="s">
        <v>72</v>
      </c>
      <c r="G2" s="405"/>
      <c r="H2" s="405"/>
      <c r="I2" s="405"/>
      <c r="J2" s="405"/>
      <c r="K2" s="405"/>
      <c r="L2" s="308" t="s">
        <v>192</v>
      </c>
      <c r="M2" s="347"/>
      <c r="N2" s="347"/>
      <c r="O2" s="347"/>
      <c r="P2" s="347"/>
      <c r="Q2" s="347"/>
      <c r="R2" s="347"/>
      <c r="S2" s="347"/>
      <c r="T2" s="406"/>
      <c r="V2" s="71"/>
    </row>
    <row r="3" spans="1:22" ht="13.5" customHeight="1">
      <c r="A3" s="332" t="s">
        <v>98</v>
      </c>
      <c r="B3" s="333"/>
      <c r="C3" s="327" t="s">
        <v>53</v>
      </c>
      <c r="D3" s="328"/>
      <c r="E3" s="329"/>
      <c r="F3" s="314" t="s">
        <v>99</v>
      </c>
      <c r="G3" s="315"/>
      <c r="H3" s="315"/>
      <c r="I3" s="315"/>
      <c r="J3" s="315"/>
      <c r="K3" s="316"/>
      <c r="L3" s="317" t="s">
        <v>53</v>
      </c>
      <c r="M3" s="318"/>
      <c r="N3" s="318"/>
      <c r="O3" s="318"/>
      <c r="P3" s="318"/>
      <c r="Q3" s="318"/>
      <c r="R3" s="318"/>
      <c r="S3" s="318"/>
      <c r="T3" s="319"/>
    </row>
    <row r="4" spans="1:22" ht="13.5" customHeight="1">
      <c r="A4" s="332" t="s">
        <v>100</v>
      </c>
      <c r="B4" s="333"/>
      <c r="C4" s="352">
        <v>100</v>
      </c>
      <c r="D4" s="353"/>
      <c r="E4" s="241"/>
      <c r="F4" s="314" t="s">
        <v>101</v>
      </c>
      <c r="G4" s="315"/>
      <c r="H4" s="315"/>
      <c r="I4" s="315"/>
      <c r="J4" s="315"/>
      <c r="K4" s="316"/>
      <c r="L4" s="356">
        <v>0</v>
      </c>
      <c r="M4" s="353"/>
      <c r="N4" s="353"/>
      <c r="O4" s="353"/>
      <c r="P4" s="353"/>
      <c r="Q4" s="353"/>
      <c r="R4" s="353"/>
      <c r="S4" s="353"/>
      <c r="T4" s="357"/>
      <c r="V4" s="71"/>
    </row>
    <row r="5" spans="1:22" ht="13.5" customHeight="1">
      <c r="A5" s="332" t="s">
        <v>102</v>
      </c>
      <c r="B5" s="333"/>
      <c r="C5" s="334"/>
      <c r="D5" s="334"/>
      <c r="E5" s="334"/>
      <c r="F5" s="335"/>
      <c r="G5" s="335"/>
      <c r="H5" s="335"/>
      <c r="I5" s="335"/>
      <c r="J5" s="335"/>
      <c r="K5" s="335"/>
      <c r="L5" s="334"/>
      <c r="M5" s="334"/>
      <c r="N5" s="334"/>
      <c r="O5" s="334"/>
      <c r="P5" s="334"/>
      <c r="Q5" s="334"/>
      <c r="R5" s="334"/>
      <c r="S5" s="334"/>
      <c r="T5" s="334"/>
    </row>
    <row r="6" spans="1:22" ht="13.5" customHeight="1">
      <c r="A6" s="330" t="s">
        <v>84</v>
      </c>
      <c r="B6" s="331"/>
      <c r="C6" s="311" t="s">
        <v>85</v>
      </c>
      <c r="D6" s="312"/>
      <c r="E6" s="313"/>
      <c r="F6" s="311" t="s">
        <v>86</v>
      </c>
      <c r="G6" s="312"/>
      <c r="H6" s="312"/>
      <c r="I6" s="312"/>
      <c r="J6" s="312"/>
      <c r="K6" s="320"/>
      <c r="L6" s="312" t="s">
        <v>104</v>
      </c>
      <c r="M6" s="312"/>
      <c r="N6" s="312"/>
      <c r="O6" s="336" t="s">
        <v>89</v>
      </c>
      <c r="P6" s="312"/>
      <c r="Q6" s="312"/>
      <c r="R6" s="312"/>
      <c r="S6" s="312"/>
      <c r="T6" s="340"/>
      <c r="V6" s="71"/>
    </row>
    <row r="7" spans="1:22" ht="13.5" customHeight="1" thickBot="1">
      <c r="A7" s="351">
        <f>COUNTIF(F52:HQ52,"P")</f>
        <v>10</v>
      </c>
      <c r="B7" s="350"/>
      <c r="C7" s="341">
        <f>COUNTIF(F53:HQ53,"F")</f>
        <v>0</v>
      </c>
      <c r="D7" s="338"/>
      <c r="E7" s="350"/>
      <c r="F7" s="341">
        <f>SUM(O7,- A7,- C7)</f>
        <v>0</v>
      </c>
      <c r="G7" s="338"/>
      <c r="H7" s="338"/>
      <c r="I7" s="338"/>
      <c r="J7" s="338"/>
      <c r="K7" s="342"/>
      <c r="L7" s="152">
        <f>COUNTIF(E51:HQ51,"N")</f>
        <v>1</v>
      </c>
      <c r="M7" s="152">
        <f>COUNTIF(E51:HQ51,"A")</f>
        <v>5</v>
      </c>
      <c r="N7" s="152">
        <f>COUNTIF(E51:HQ51,"B")</f>
        <v>4</v>
      </c>
      <c r="O7" s="337">
        <f>COUNTA(E9:HT9)</f>
        <v>10</v>
      </c>
      <c r="P7" s="338"/>
      <c r="Q7" s="338"/>
      <c r="R7" s="338"/>
      <c r="S7" s="338"/>
      <c r="T7" s="339"/>
      <c r="U7" s="72"/>
    </row>
    <row r="8" spans="1:22" ht="10.5" thickBot="1"/>
    <row r="9" spans="1:22" ht="45" customHeight="1" thickTop="1" thickBot="1">
      <c r="A9" s="189"/>
      <c r="B9" s="165"/>
      <c r="C9" s="166"/>
      <c r="D9" s="167"/>
      <c r="E9" s="166"/>
      <c r="F9" s="168" t="s">
        <v>105</v>
      </c>
      <c r="G9" s="168" t="s">
        <v>106</v>
      </c>
      <c r="H9" s="168" t="s">
        <v>107</v>
      </c>
      <c r="I9" s="168" t="s">
        <v>108</v>
      </c>
      <c r="J9" s="168" t="s">
        <v>109</v>
      </c>
      <c r="K9" s="168" t="s">
        <v>110</v>
      </c>
      <c r="L9" s="168" t="s">
        <v>230</v>
      </c>
      <c r="M9" s="168" t="s">
        <v>251</v>
      </c>
      <c r="N9" s="168" t="s">
        <v>252</v>
      </c>
      <c r="O9" s="168" t="s">
        <v>253</v>
      </c>
      <c r="P9" s="168"/>
      <c r="Q9" s="168"/>
      <c r="R9" s="168"/>
      <c r="S9" s="168"/>
      <c r="T9" s="169"/>
      <c r="U9" s="74"/>
      <c r="V9" s="71"/>
    </row>
    <row r="10" spans="1:22" ht="13.5" customHeight="1">
      <c r="A10" s="183" t="s">
        <v>111</v>
      </c>
      <c r="B10" s="75" t="s">
        <v>126</v>
      </c>
      <c r="C10" s="76"/>
      <c r="D10" s="77"/>
      <c r="E10" s="78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95"/>
    </row>
    <row r="11" spans="1:22" ht="13.5" customHeight="1">
      <c r="A11" s="171"/>
      <c r="B11" s="75"/>
      <c r="C11" s="76"/>
      <c r="D11" s="77" t="s">
        <v>137</v>
      </c>
      <c r="E11" s="80"/>
      <c r="F11" s="148" t="s">
        <v>113</v>
      </c>
      <c r="G11" s="148" t="s">
        <v>113</v>
      </c>
      <c r="H11" s="148" t="s">
        <v>113</v>
      </c>
      <c r="I11" s="148" t="s">
        <v>113</v>
      </c>
      <c r="J11" s="148" t="s">
        <v>113</v>
      </c>
      <c r="K11" s="148"/>
      <c r="L11" s="148" t="s">
        <v>113</v>
      </c>
      <c r="M11" s="148" t="s">
        <v>113</v>
      </c>
      <c r="N11" s="148" t="s">
        <v>113</v>
      </c>
      <c r="O11" s="148" t="s">
        <v>113</v>
      </c>
      <c r="P11" s="148"/>
      <c r="Q11" s="148"/>
      <c r="R11" s="148"/>
      <c r="S11" s="148"/>
      <c r="T11" s="170"/>
      <c r="V11" s="71"/>
    </row>
    <row r="12" spans="1:22" ht="13.5" customHeight="1">
      <c r="A12" s="171"/>
      <c r="B12" s="75"/>
      <c r="C12" s="76"/>
      <c r="D12" s="77" t="s">
        <v>138</v>
      </c>
      <c r="E12" s="80"/>
      <c r="F12" s="148" t="s">
        <v>113</v>
      </c>
      <c r="G12" s="148" t="s">
        <v>113</v>
      </c>
      <c r="H12" s="148" t="s">
        <v>113</v>
      </c>
      <c r="I12" s="148" t="s">
        <v>113</v>
      </c>
      <c r="J12" s="148" t="s">
        <v>113</v>
      </c>
      <c r="K12" s="148" t="s">
        <v>113</v>
      </c>
      <c r="L12" s="148" t="s">
        <v>113</v>
      </c>
      <c r="M12" s="148" t="s">
        <v>113</v>
      </c>
      <c r="N12" s="148" t="s">
        <v>113</v>
      </c>
      <c r="O12" s="148" t="s">
        <v>113</v>
      </c>
      <c r="P12" s="148"/>
      <c r="Q12" s="148"/>
      <c r="R12" s="148"/>
      <c r="S12" s="148"/>
      <c r="T12" s="170"/>
    </row>
    <row r="13" spans="1:22" ht="13.5" customHeight="1">
      <c r="A13" s="171"/>
      <c r="B13" s="75" t="s">
        <v>232</v>
      </c>
      <c r="C13" s="76"/>
      <c r="D13" s="77"/>
      <c r="E13" s="80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70"/>
    </row>
    <row r="14" spans="1:22" ht="13.5" customHeight="1">
      <c r="A14" s="171"/>
      <c r="B14" s="75"/>
      <c r="C14" s="76"/>
      <c r="D14" s="77">
        <v>1</v>
      </c>
      <c r="E14" s="80"/>
      <c r="F14" s="148" t="s">
        <v>113</v>
      </c>
      <c r="G14" s="148"/>
      <c r="H14" s="148"/>
      <c r="I14" s="148"/>
      <c r="J14" s="148"/>
      <c r="K14" s="148"/>
      <c r="L14" s="148" t="s">
        <v>113</v>
      </c>
      <c r="M14" s="148" t="s">
        <v>113</v>
      </c>
      <c r="N14" s="148" t="s">
        <v>113</v>
      </c>
      <c r="O14" s="148" t="s">
        <v>113</v>
      </c>
      <c r="P14" s="148"/>
      <c r="Q14" s="148"/>
      <c r="R14" s="148"/>
      <c r="S14" s="148"/>
      <c r="T14" s="170"/>
    </row>
    <row r="15" spans="1:22" ht="13.5" customHeight="1">
      <c r="A15" s="171"/>
      <c r="B15" s="75"/>
      <c r="C15" s="76"/>
      <c r="D15" s="77">
        <v>2</v>
      </c>
      <c r="E15" s="80"/>
      <c r="F15" s="148"/>
      <c r="G15" s="148"/>
      <c r="H15" s="148" t="s">
        <v>113</v>
      </c>
      <c r="I15" s="148"/>
      <c r="J15" s="148" t="s">
        <v>113</v>
      </c>
      <c r="K15" s="148"/>
      <c r="L15" s="148"/>
      <c r="M15" s="148"/>
      <c r="N15" s="148"/>
      <c r="O15" s="148"/>
      <c r="P15" s="148"/>
      <c r="Q15" s="148"/>
      <c r="R15" s="148"/>
      <c r="S15" s="148"/>
      <c r="T15" s="170"/>
    </row>
    <row r="16" spans="1:22" ht="13.5" customHeight="1">
      <c r="A16" s="171"/>
      <c r="B16" s="75"/>
      <c r="C16" s="76"/>
      <c r="D16" s="77">
        <v>99999</v>
      </c>
      <c r="E16" s="80"/>
      <c r="F16" s="148"/>
      <c r="G16" s="148"/>
      <c r="H16" s="148"/>
      <c r="I16" s="148" t="s">
        <v>113</v>
      </c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70"/>
    </row>
    <row r="17" spans="1:20" ht="13.5" customHeight="1">
      <c r="A17" s="171"/>
      <c r="B17" s="75"/>
      <c r="C17" s="76"/>
      <c r="D17" s="77">
        <v>99</v>
      </c>
      <c r="E17" s="80"/>
      <c r="F17" s="148"/>
      <c r="G17" s="148"/>
      <c r="H17" s="148"/>
      <c r="I17" s="148"/>
      <c r="J17" s="148"/>
      <c r="K17" s="148" t="s">
        <v>113</v>
      </c>
      <c r="L17" s="148"/>
      <c r="M17" s="148"/>
      <c r="N17" s="148"/>
      <c r="O17" s="148"/>
      <c r="P17" s="148"/>
      <c r="Q17" s="148"/>
      <c r="R17" s="148"/>
      <c r="S17" s="148"/>
      <c r="T17" s="170"/>
    </row>
    <row r="18" spans="1:20" ht="13.5" customHeight="1">
      <c r="A18" s="171"/>
      <c r="B18" s="75"/>
      <c r="C18" s="76"/>
      <c r="D18" s="77" t="s">
        <v>127</v>
      </c>
      <c r="E18" s="80"/>
      <c r="F18" s="148"/>
      <c r="G18" s="148" t="s">
        <v>113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70"/>
    </row>
    <row r="19" spans="1:20" ht="13.5" customHeight="1">
      <c r="A19" s="171"/>
      <c r="B19" s="75" t="s">
        <v>207</v>
      </c>
      <c r="C19" s="76"/>
      <c r="D19" s="77"/>
      <c r="E19" s="80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70"/>
    </row>
    <row r="20" spans="1:20" ht="13.5" customHeight="1">
      <c r="A20" s="171"/>
      <c r="B20" s="75"/>
      <c r="C20" s="76"/>
      <c r="D20" s="77" t="s">
        <v>233</v>
      </c>
      <c r="E20" s="80"/>
      <c r="F20" s="148" t="s">
        <v>113</v>
      </c>
      <c r="G20" s="148"/>
      <c r="H20" s="148"/>
      <c r="I20" s="148"/>
      <c r="J20" s="148" t="s">
        <v>113</v>
      </c>
      <c r="K20" s="148"/>
      <c r="L20" s="148"/>
      <c r="M20" s="148"/>
      <c r="N20" s="148" t="s">
        <v>113</v>
      </c>
      <c r="O20" s="148" t="s">
        <v>113</v>
      </c>
      <c r="P20" s="148"/>
      <c r="Q20" s="148"/>
      <c r="R20" s="148"/>
      <c r="S20" s="148"/>
      <c r="T20" s="170"/>
    </row>
    <row r="21" spans="1:20" ht="13.5" customHeight="1">
      <c r="A21" s="171"/>
      <c r="B21" s="75"/>
      <c r="C21" s="76"/>
      <c r="D21" s="77" t="s">
        <v>127</v>
      </c>
      <c r="E21" s="80"/>
      <c r="F21" s="148"/>
      <c r="G21" s="148" t="s">
        <v>113</v>
      </c>
      <c r="H21" s="148" t="s">
        <v>113</v>
      </c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70"/>
    </row>
    <row r="22" spans="1:20" ht="13.5" customHeight="1">
      <c r="A22" s="171"/>
      <c r="B22" s="75"/>
      <c r="C22" s="76"/>
      <c r="D22" s="77" t="s">
        <v>234</v>
      </c>
      <c r="E22" s="80"/>
      <c r="F22" s="148"/>
      <c r="G22" s="148"/>
      <c r="H22" s="148"/>
      <c r="I22" s="148" t="s">
        <v>113</v>
      </c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70"/>
    </row>
    <row r="23" spans="1:20" ht="13.5" customHeight="1">
      <c r="A23" s="171"/>
      <c r="B23" s="75"/>
      <c r="C23" s="76"/>
      <c r="D23" s="77" t="s">
        <v>235</v>
      </c>
      <c r="E23" s="80"/>
      <c r="F23" s="148"/>
      <c r="G23" s="148"/>
      <c r="H23" s="148"/>
      <c r="I23" s="148"/>
      <c r="J23" s="148"/>
      <c r="K23" s="148" t="s">
        <v>113</v>
      </c>
      <c r="L23" s="148"/>
      <c r="M23" s="148"/>
      <c r="N23" s="148"/>
      <c r="O23" s="148"/>
      <c r="P23" s="148"/>
      <c r="Q23" s="148"/>
      <c r="R23" s="148"/>
      <c r="S23" s="148"/>
      <c r="T23" s="170"/>
    </row>
    <row r="24" spans="1:20" ht="13.5" customHeight="1">
      <c r="A24" s="171"/>
      <c r="B24" s="75"/>
      <c r="C24" s="76"/>
      <c r="D24" s="77" t="s">
        <v>247</v>
      </c>
      <c r="E24" s="80"/>
      <c r="F24" s="148"/>
      <c r="G24" s="148"/>
      <c r="H24" s="148"/>
      <c r="I24" s="148"/>
      <c r="J24" s="148"/>
      <c r="K24" s="148"/>
      <c r="L24" s="148" t="s">
        <v>113</v>
      </c>
      <c r="M24" s="148"/>
      <c r="N24" s="148"/>
      <c r="O24" s="148"/>
      <c r="P24" s="148"/>
      <c r="Q24" s="148"/>
      <c r="R24" s="148"/>
      <c r="S24" s="148"/>
      <c r="T24" s="170"/>
    </row>
    <row r="25" spans="1:20" ht="13.5" customHeight="1">
      <c r="A25" s="171"/>
      <c r="B25" s="75"/>
      <c r="C25" s="76"/>
      <c r="D25" s="77" t="s">
        <v>248</v>
      </c>
      <c r="E25" s="80"/>
      <c r="F25" s="148"/>
      <c r="G25" s="148"/>
      <c r="H25" s="148"/>
      <c r="I25" s="148"/>
      <c r="J25" s="148"/>
      <c r="K25" s="148"/>
      <c r="L25" s="148"/>
      <c r="M25" s="148" t="s">
        <v>113</v>
      </c>
      <c r="N25" s="148"/>
      <c r="O25" s="148"/>
      <c r="P25" s="148"/>
      <c r="Q25" s="148"/>
      <c r="R25" s="148"/>
      <c r="S25" s="148"/>
      <c r="T25" s="170"/>
    </row>
    <row r="26" spans="1:20" ht="13.5" customHeight="1">
      <c r="A26" s="171"/>
      <c r="B26" s="75" t="s">
        <v>212</v>
      </c>
      <c r="C26" s="76"/>
      <c r="D26" s="77"/>
      <c r="E26" s="80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70"/>
    </row>
    <row r="27" spans="1:20" ht="13.5" customHeight="1">
      <c r="A27" s="171"/>
      <c r="B27" s="75"/>
      <c r="C27" s="76"/>
      <c r="D27" s="77" t="s">
        <v>236</v>
      </c>
      <c r="E27" s="80"/>
      <c r="F27" s="148" t="s">
        <v>113</v>
      </c>
      <c r="G27" s="148"/>
      <c r="H27" s="148"/>
      <c r="I27" s="148"/>
      <c r="J27" s="148"/>
      <c r="K27" s="148"/>
      <c r="L27" s="148" t="s">
        <v>113</v>
      </c>
      <c r="M27" s="148" t="s">
        <v>113</v>
      </c>
      <c r="N27" s="148"/>
      <c r="O27" s="148"/>
      <c r="P27" s="148"/>
      <c r="Q27" s="148"/>
      <c r="R27" s="148"/>
      <c r="S27" s="148"/>
      <c r="T27" s="170"/>
    </row>
    <row r="28" spans="1:20" ht="13.5" customHeight="1">
      <c r="A28" s="171"/>
      <c r="B28" s="75"/>
      <c r="C28" s="76"/>
      <c r="D28" s="77" t="s">
        <v>127</v>
      </c>
      <c r="E28" s="80"/>
      <c r="F28" s="148"/>
      <c r="G28" s="148" t="s">
        <v>113</v>
      </c>
      <c r="H28" s="148"/>
      <c r="I28" s="148"/>
      <c r="J28" s="148" t="s">
        <v>113</v>
      </c>
      <c r="K28" s="148"/>
      <c r="L28" s="148"/>
      <c r="M28" s="148"/>
      <c r="N28" s="148"/>
      <c r="O28" s="148"/>
      <c r="P28" s="148"/>
      <c r="Q28" s="148"/>
      <c r="R28" s="148"/>
      <c r="S28" s="148"/>
      <c r="T28" s="170"/>
    </row>
    <row r="29" spans="1:20" ht="13.5" customHeight="1">
      <c r="A29" s="171"/>
      <c r="B29" s="75"/>
      <c r="C29" s="76"/>
      <c r="D29" s="77" t="s">
        <v>237</v>
      </c>
      <c r="E29" s="80"/>
      <c r="F29" s="148"/>
      <c r="G29" s="148"/>
      <c r="H29" s="148" t="s">
        <v>113</v>
      </c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70"/>
    </row>
    <row r="30" spans="1:20" ht="13.5" customHeight="1">
      <c r="A30" s="171"/>
      <c r="B30" s="75"/>
      <c r="C30" s="76"/>
      <c r="D30" s="77" t="s">
        <v>238</v>
      </c>
      <c r="E30" s="80"/>
      <c r="F30" s="148"/>
      <c r="G30" s="148"/>
      <c r="H30" s="148"/>
      <c r="I30" s="148" t="s">
        <v>113</v>
      </c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70"/>
    </row>
    <row r="31" spans="1:20" ht="13.5" customHeight="1">
      <c r="A31" s="171"/>
      <c r="B31" s="75"/>
      <c r="C31" s="76"/>
      <c r="D31" s="77" t="s">
        <v>239</v>
      </c>
      <c r="E31" s="80"/>
      <c r="F31" s="148"/>
      <c r="G31" s="148"/>
      <c r="H31" s="148"/>
      <c r="I31" s="148"/>
      <c r="J31" s="148"/>
      <c r="K31" s="148" t="s">
        <v>113</v>
      </c>
      <c r="L31" s="148"/>
      <c r="M31" s="148"/>
      <c r="N31" s="148"/>
      <c r="O31" s="148"/>
      <c r="P31" s="148"/>
      <c r="Q31" s="148"/>
      <c r="R31" s="148"/>
      <c r="S31" s="148"/>
      <c r="T31" s="170"/>
    </row>
    <row r="32" spans="1:20" ht="13.5" customHeight="1">
      <c r="A32" s="171"/>
      <c r="B32" s="75"/>
      <c r="C32" s="76"/>
      <c r="D32" s="77" t="s">
        <v>249</v>
      </c>
      <c r="E32" s="80"/>
      <c r="F32" s="148"/>
      <c r="G32" s="148"/>
      <c r="H32" s="148"/>
      <c r="I32" s="148"/>
      <c r="J32" s="148"/>
      <c r="K32" s="148"/>
      <c r="L32" s="148"/>
      <c r="M32" s="148"/>
      <c r="N32" s="148" t="s">
        <v>113</v>
      </c>
      <c r="O32" s="148"/>
      <c r="P32" s="148"/>
      <c r="Q32" s="148"/>
      <c r="R32" s="148"/>
      <c r="S32" s="148"/>
      <c r="T32" s="170"/>
    </row>
    <row r="33" spans="1:20" ht="13.5" customHeight="1">
      <c r="A33" s="171"/>
      <c r="B33" s="75"/>
      <c r="C33" s="76"/>
      <c r="D33" s="77" t="s">
        <v>250</v>
      </c>
      <c r="E33" s="80"/>
      <c r="F33" s="148"/>
      <c r="G33" s="148"/>
      <c r="H33" s="148"/>
      <c r="I33" s="148"/>
      <c r="J33" s="148"/>
      <c r="K33" s="148"/>
      <c r="L33" s="148"/>
      <c r="M33" s="148"/>
      <c r="N33" s="148"/>
      <c r="O33" s="148" t="s">
        <v>113</v>
      </c>
      <c r="P33" s="148"/>
      <c r="Q33" s="148"/>
      <c r="R33" s="148"/>
      <c r="S33" s="148"/>
      <c r="T33" s="170"/>
    </row>
    <row r="34" spans="1:20" ht="13.5" customHeight="1">
      <c r="A34" s="171"/>
      <c r="B34" s="75" t="s">
        <v>218</v>
      </c>
      <c r="C34" s="76"/>
      <c r="D34" s="77"/>
      <c r="E34" s="80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70"/>
    </row>
    <row r="35" spans="1:20" ht="13.5" customHeight="1">
      <c r="A35" s="171"/>
      <c r="B35" s="75"/>
      <c r="C35" s="76"/>
      <c r="D35" s="77" t="s">
        <v>219</v>
      </c>
      <c r="E35" s="80"/>
      <c r="F35" s="148" t="s">
        <v>113</v>
      </c>
      <c r="G35" s="148"/>
      <c r="H35" s="148"/>
      <c r="I35" s="148"/>
      <c r="J35" s="148"/>
      <c r="K35" s="148" t="s">
        <v>113</v>
      </c>
      <c r="L35" s="148" t="s">
        <v>113</v>
      </c>
      <c r="M35" s="148" t="s">
        <v>113</v>
      </c>
      <c r="N35" s="148" t="s">
        <v>113</v>
      </c>
      <c r="O35" s="148" t="s">
        <v>113</v>
      </c>
      <c r="P35" s="148"/>
      <c r="Q35" s="148"/>
      <c r="R35" s="148"/>
      <c r="S35" s="148"/>
      <c r="T35" s="170"/>
    </row>
    <row r="36" spans="1:20" ht="13.5" customHeight="1">
      <c r="A36" s="171"/>
      <c r="B36" s="75"/>
      <c r="C36" s="76"/>
      <c r="D36" s="77" t="s">
        <v>127</v>
      </c>
      <c r="E36" s="80"/>
      <c r="F36" s="148"/>
      <c r="G36" s="148" t="s">
        <v>113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70"/>
    </row>
    <row r="37" spans="1:20" ht="13.5" customHeight="1">
      <c r="A37" s="171"/>
      <c r="B37" s="75"/>
      <c r="C37" s="76"/>
      <c r="D37" s="77" t="s">
        <v>220</v>
      </c>
      <c r="E37" s="80"/>
      <c r="F37" s="148"/>
      <c r="G37" s="148"/>
      <c r="H37" s="148" t="s">
        <v>113</v>
      </c>
      <c r="I37" s="148" t="s">
        <v>113</v>
      </c>
      <c r="J37" s="148" t="s">
        <v>113</v>
      </c>
      <c r="K37" s="148"/>
      <c r="L37" s="148"/>
      <c r="M37" s="148"/>
      <c r="N37" s="148"/>
      <c r="O37" s="148"/>
      <c r="P37" s="148"/>
      <c r="Q37" s="148"/>
      <c r="R37" s="148"/>
      <c r="S37" s="148"/>
      <c r="T37" s="170"/>
    </row>
    <row r="38" spans="1:20" ht="13.5" customHeight="1" thickBot="1">
      <c r="A38" s="171"/>
      <c r="B38" s="75"/>
      <c r="C38" s="76"/>
      <c r="D38" s="77" t="s">
        <v>240</v>
      </c>
      <c r="E38" s="80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70"/>
    </row>
    <row r="39" spans="1:20" ht="13.5" customHeight="1">
      <c r="A39" s="182" t="s">
        <v>115</v>
      </c>
      <c r="B39" s="208" t="s">
        <v>116</v>
      </c>
      <c r="C39" s="239"/>
      <c r="D39" s="210"/>
      <c r="E39" s="86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196"/>
    </row>
    <row r="40" spans="1:20" ht="13.5" customHeight="1">
      <c r="A40" s="181"/>
      <c r="B40" s="208"/>
      <c r="C40" s="209"/>
      <c r="D40" s="210" t="s">
        <v>117</v>
      </c>
      <c r="E40" s="91"/>
      <c r="F40" s="148" t="s">
        <v>113</v>
      </c>
      <c r="G40" s="79"/>
      <c r="H40" s="79"/>
      <c r="I40" s="79"/>
      <c r="J40" s="79"/>
      <c r="K40" s="79"/>
      <c r="L40" s="148" t="s">
        <v>113</v>
      </c>
      <c r="M40" s="79"/>
      <c r="N40" s="148" t="s">
        <v>113</v>
      </c>
      <c r="O40" s="79"/>
      <c r="P40" s="79"/>
      <c r="Q40" s="79"/>
      <c r="R40" s="79"/>
      <c r="S40" s="79"/>
      <c r="T40" s="195"/>
    </row>
    <row r="41" spans="1:20" ht="13.5" customHeight="1">
      <c r="A41" s="181"/>
      <c r="B41" s="126"/>
      <c r="C41" s="89"/>
      <c r="D41" s="90" t="s">
        <v>118</v>
      </c>
      <c r="E41" s="91"/>
      <c r="F41" s="79"/>
      <c r="G41" s="148" t="s">
        <v>113</v>
      </c>
      <c r="H41" s="148" t="s">
        <v>113</v>
      </c>
      <c r="I41" s="148" t="s">
        <v>113</v>
      </c>
      <c r="J41" s="148" t="s">
        <v>113</v>
      </c>
      <c r="K41" s="79"/>
      <c r="L41" s="79"/>
      <c r="M41" s="148" t="s">
        <v>113</v>
      </c>
      <c r="N41" s="79"/>
      <c r="O41" s="148" t="s">
        <v>113</v>
      </c>
      <c r="P41" s="79"/>
      <c r="Q41" s="79"/>
      <c r="R41" s="79"/>
      <c r="S41" s="79"/>
      <c r="T41" s="195"/>
    </row>
    <row r="42" spans="1:20" ht="13.5" customHeight="1">
      <c r="A42" s="181"/>
      <c r="B42" s="116" t="s">
        <v>119</v>
      </c>
      <c r="C42" s="120"/>
      <c r="D42" s="118"/>
      <c r="E42" s="91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195"/>
    </row>
    <row r="43" spans="1:20" ht="13.5" customHeight="1">
      <c r="A43" s="181"/>
      <c r="B43" s="116"/>
      <c r="C43" s="120"/>
      <c r="D43" s="118" t="s">
        <v>152</v>
      </c>
      <c r="E43" s="91"/>
      <c r="F43" s="79"/>
      <c r="G43" s="79"/>
      <c r="H43" s="79"/>
      <c r="I43" s="148"/>
      <c r="J43" s="79"/>
      <c r="K43" s="148" t="s">
        <v>113</v>
      </c>
      <c r="L43" s="79"/>
      <c r="M43" s="79"/>
      <c r="N43" s="79"/>
      <c r="O43" s="79"/>
      <c r="P43" s="79"/>
      <c r="Q43" s="79"/>
      <c r="R43" s="79"/>
      <c r="S43" s="79"/>
      <c r="T43" s="195"/>
    </row>
    <row r="44" spans="1:20" ht="13.5" customHeight="1">
      <c r="A44" s="181"/>
      <c r="B44" s="88" t="s">
        <v>130</v>
      </c>
      <c r="C44" s="89"/>
      <c r="D44" s="90"/>
      <c r="E44" s="91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195"/>
    </row>
    <row r="45" spans="1:20" ht="13.5" customHeight="1">
      <c r="A45" s="181"/>
      <c r="B45" s="88"/>
      <c r="C45" s="89"/>
      <c r="D45" s="90" t="s">
        <v>241</v>
      </c>
      <c r="E45" s="91"/>
      <c r="F45" s="148" t="s">
        <v>113</v>
      </c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195"/>
    </row>
    <row r="46" spans="1:20" ht="13.5" customHeight="1">
      <c r="A46" s="181"/>
      <c r="B46" s="88"/>
      <c r="C46" s="89"/>
      <c r="D46" s="90" t="s">
        <v>242</v>
      </c>
      <c r="E46" s="91"/>
      <c r="F46" s="79"/>
      <c r="G46" s="148" t="s">
        <v>113</v>
      </c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195"/>
    </row>
    <row r="47" spans="1:20" ht="13.5" customHeight="1">
      <c r="A47" s="181"/>
      <c r="B47" s="88"/>
      <c r="C47" s="89"/>
      <c r="D47" s="90" t="s">
        <v>243</v>
      </c>
      <c r="E47" s="91"/>
      <c r="F47" s="79"/>
      <c r="G47" s="79"/>
      <c r="H47" s="148" t="s">
        <v>113</v>
      </c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195"/>
    </row>
    <row r="48" spans="1:20" ht="13.5" customHeight="1">
      <c r="A48" s="181"/>
      <c r="B48" s="88"/>
      <c r="C48" s="89"/>
      <c r="D48" s="90" t="s">
        <v>244</v>
      </c>
      <c r="E48" s="91"/>
      <c r="F48" s="79"/>
      <c r="G48" s="79"/>
      <c r="H48" s="79"/>
      <c r="I48" s="148" t="s">
        <v>113</v>
      </c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195"/>
    </row>
    <row r="49" spans="1:20" ht="13.5" customHeight="1">
      <c r="A49" s="181"/>
      <c r="B49" s="88"/>
      <c r="C49" s="92"/>
      <c r="D49" s="90" t="s">
        <v>245</v>
      </c>
      <c r="E49" s="93"/>
      <c r="F49" s="148"/>
      <c r="G49" s="79"/>
      <c r="H49" s="79"/>
      <c r="I49" s="79"/>
      <c r="J49" s="148" t="s">
        <v>113</v>
      </c>
      <c r="K49" s="79"/>
      <c r="L49" s="79"/>
      <c r="M49" s="79"/>
      <c r="N49" s="79"/>
      <c r="O49" s="79"/>
      <c r="P49" s="79"/>
      <c r="Q49" s="79"/>
      <c r="R49" s="79"/>
      <c r="S49" s="79"/>
      <c r="T49" s="195"/>
    </row>
    <row r="50" spans="1:20" ht="13.5" customHeight="1" thickBot="1">
      <c r="A50" s="181"/>
      <c r="B50" s="88"/>
      <c r="C50" s="92"/>
      <c r="D50" s="90" t="s">
        <v>246</v>
      </c>
      <c r="E50" s="93"/>
      <c r="F50" s="79"/>
      <c r="G50" s="148"/>
      <c r="H50" s="79"/>
      <c r="I50" s="79"/>
      <c r="J50" s="79"/>
      <c r="K50" s="148" t="s">
        <v>113</v>
      </c>
      <c r="L50" s="79"/>
      <c r="M50" s="79"/>
      <c r="N50" s="79"/>
      <c r="O50" s="79"/>
      <c r="P50" s="79"/>
      <c r="Q50" s="79"/>
      <c r="R50" s="79"/>
      <c r="S50" s="79"/>
      <c r="T50" s="195"/>
    </row>
    <row r="51" spans="1:20" ht="13.5" customHeight="1" thickTop="1">
      <c r="A51" s="182" t="s">
        <v>120</v>
      </c>
      <c r="B51" s="326" t="s">
        <v>121</v>
      </c>
      <c r="C51" s="326"/>
      <c r="D51" s="326"/>
      <c r="E51" s="162"/>
      <c r="F51" s="188" t="s">
        <v>87</v>
      </c>
      <c r="G51" s="188" t="s">
        <v>64</v>
      </c>
      <c r="H51" s="188" t="s">
        <v>64</v>
      </c>
      <c r="I51" s="188" t="s">
        <v>64</v>
      </c>
      <c r="J51" s="188" t="s">
        <v>64</v>
      </c>
      <c r="K51" s="188" t="s">
        <v>64</v>
      </c>
      <c r="L51" s="188" t="s">
        <v>88</v>
      </c>
      <c r="M51" s="188" t="s">
        <v>88</v>
      </c>
      <c r="N51" s="188" t="s">
        <v>88</v>
      </c>
      <c r="O51" s="188" t="s">
        <v>88</v>
      </c>
      <c r="P51" s="188"/>
      <c r="Q51" s="188"/>
      <c r="R51" s="188"/>
      <c r="S51" s="188"/>
      <c r="T51" s="198"/>
    </row>
    <row r="52" spans="1:20" ht="13.5" customHeight="1">
      <c r="A52" s="174"/>
      <c r="B52" s="349" t="s">
        <v>122</v>
      </c>
      <c r="C52" s="349"/>
      <c r="D52" s="349"/>
      <c r="E52" s="95"/>
      <c r="F52" s="94" t="s">
        <v>123</v>
      </c>
      <c r="G52" s="94" t="s">
        <v>123</v>
      </c>
      <c r="H52" s="94" t="s">
        <v>123</v>
      </c>
      <c r="I52" s="94" t="s">
        <v>123</v>
      </c>
      <c r="J52" s="94" t="s">
        <v>123</v>
      </c>
      <c r="K52" s="94" t="s">
        <v>123</v>
      </c>
      <c r="L52" s="94" t="s">
        <v>123</v>
      </c>
      <c r="M52" s="94" t="s">
        <v>123</v>
      </c>
      <c r="N52" s="94" t="s">
        <v>123</v>
      </c>
      <c r="O52" s="94" t="s">
        <v>123</v>
      </c>
      <c r="P52" s="94"/>
      <c r="Q52" s="94"/>
      <c r="R52" s="94"/>
      <c r="S52" s="94"/>
      <c r="T52" s="199"/>
    </row>
    <row r="53" spans="1:20" ht="71.5" customHeight="1">
      <c r="A53" s="174"/>
      <c r="B53" s="324" t="s">
        <v>124</v>
      </c>
      <c r="C53" s="324"/>
      <c r="D53" s="324"/>
      <c r="E53" s="96"/>
      <c r="F53" s="97">
        <v>45695</v>
      </c>
      <c r="G53" s="97">
        <v>45695</v>
      </c>
      <c r="H53" s="97">
        <v>45695</v>
      </c>
      <c r="I53" s="97">
        <v>45695</v>
      </c>
      <c r="J53" s="97">
        <v>45695</v>
      </c>
      <c r="K53" s="97">
        <v>45695</v>
      </c>
      <c r="L53" s="97">
        <v>45695</v>
      </c>
      <c r="M53" s="97">
        <v>45695</v>
      </c>
      <c r="N53" s="97">
        <v>45695</v>
      </c>
      <c r="O53" s="97">
        <v>45695</v>
      </c>
      <c r="P53" s="97"/>
      <c r="Q53" s="97"/>
      <c r="R53" s="97"/>
      <c r="S53" s="97"/>
      <c r="T53" s="176"/>
    </row>
    <row r="54" spans="1:20" ht="10.5" thickBot="1">
      <c r="A54" s="177"/>
      <c r="B54" s="325" t="s">
        <v>125</v>
      </c>
      <c r="C54" s="325"/>
      <c r="D54" s="325"/>
      <c r="E54" s="178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80"/>
    </row>
    <row r="55" spans="1:20" ht="10.5" thickTop="1">
      <c r="A55" s="73"/>
      <c r="B55" s="69"/>
      <c r="C55" s="70"/>
      <c r="D55" s="69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F6:K6"/>
    <mergeCell ref="L6:N6"/>
    <mergeCell ref="O6:T6"/>
    <mergeCell ref="A7:B7"/>
    <mergeCell ref="C7:E7"/>
    <mergeCell ref="F7:K7"/>
    <mergeCell ref="O7:T7"/>
    <mergeCell ref="B51:D51"/>
    <mergeCell ref="B52:D52"/>
    <mergeCell ref="B53:D53"/>
    <mergeCell ref="B54:D54"/>
    <mergeCell ref="A6:B6"/>
    <mergeCell ref="C6:E6"/>
  </mergeCells>
  <phoneticPr fontId="33" type="noConversion"/>
  <dataValidations count="3">
    <dataValidation type="list" allowBlank="1" showInputMessage="1" showErrorMessage="1" sqref="F52:T52" xr:uid="{4BF60742-61AD-4104-9E9B-07CE35B605E7}">
      <formula1>"P,F, "</formula1>
    </dataValidation>
    <dataValidation type="list" allowBlank="1" showInputMessage="1" showErrorMessage="1" sqref="F51:T51" xr:uid="{C8D45F34-E185-47EB-93EB-6B4F644E01C2}">
      <formula1>"N,A,B, "</formula1>
    </dataValidation>
    <dataValidation type="list" allowBlank="1" showInputMessage="1" showErrorMessage="1" sqref="F10:T50" xr:uid="{445F2241-4443-43E7-BB83-8BE6643CEFA2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069A85DA9E5479395BAE693F50019" ma:contentTypeVersion="4" ma:contentTypeDescription="Create a new document." ma:contentTypeScope="" ma:versionID="3d7998a95d238d6ce9e75beb39ad4cc5">
  <xsd:schema xmlns:xsd="http://www.w3.org/2001/XMLSchema" xmlns:xs="http://www.w3.org/2001/XMLSchema" xmlns:p="http://schemas.microsoft.com/office/2006/metadata/properties" xmlns:ns2="016f789d-aeb4-4210-bd00-7b094051a565" targetNamespace="http://schemas.microsoft.com/office/2006/metadata/properties" ma:root="true" ma:fieldsID="8875db77fa2c4e110b29873191ed30d4" ns2:_="">
    <xsd:import namespace="016f789d-aeb4-4210-bd00-7b094051a5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f789d-aeb4-4210-bd00-7b094051a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4CFC70-2EA5-4EC1-8B77-F7B4C7E7FF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f789d-aeb4-4210-bd00-7b094051a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9EAC2D-5366-491B-9867-B62501806A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Guideline</vt:lpstr>
      <vt:lpstr>Cover</vt:lpstr>
      <vt:lpstr>Function List</vt:lpstr>
      <vt:lpstr>Test Report</vt:lpstr>
      <vt:lpstr>Get All Room</vt:lpstr>
      <vt:lpstr>Get Room Detail</vt:lpstr>
      <vt:lpstr>Add Room</vt:lpstr>
      <vt:lpstr>Update Room</vt:lpstr>
      <vt:lpstr>Entry Excel To Room</vt:lpstr>
      <vt:lpstr>Get All Roles</vt:lpstr>
      <vt:lpstr>Get Role Detail</vt:lpstr>
      <vt:lpstr>Add New Role</vt:lpstr>
      <vt:lpstr>Update Role</vt:lpstr>
      <vt:lpstr>'Add Room'!Print_Area</vt:lpstr>
      <vt:lpstr>'Function List'!Print_Area</vt:lpstr>
      <vt:lpstr>'Get All Room'!Print_Area</vt:lpstr>
      <vt:lpstr>'Get Room Detail'!Print_Area</vt:lpstr>
      <vt:lpstr>Guideline!Print_Area</vt:lpstr>
      <vt:lpstr>'Test Report'!Print_Area</vt:lpstr>
    </vt:vector>
  </TitlesOfParts>
  <Manager/>
  <Company>FPT-Software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Hoang Anh</dc:creator>
  <cp:keywords/>
  <dc:description/>
  <cp:lastModifiedBy>Nguyen Duy</cp:lastModifiedBy>
  <cp:revision/>
  <dcterms:created xsi:type="dcterms:W3CDTF">2007-10-09T09:39:48Z</dcterms:created>
  <dcterms:modified xsi:type="dcterms:W3CDTF">2025-04-20T03:15:21Z</dcterms:modified>
  <cp:category/>
  <cp:contentStatus/>
</cp:coreProperties>
</file>