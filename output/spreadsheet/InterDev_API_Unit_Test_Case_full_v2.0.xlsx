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 name="Get Specs In Final Review" sheetId="24" state="visible" r:id="rId24"/>
    <sheet name="Get Specs By Request" sheetId="25" state="visible" r:id="rId25"/>
    <sheet name="Get Client Spec" sheetId="26" state="visible" r:id="rId26"/>
    <sheet name="Get Full Spec" sheetId="27" state="visible" r:id="rId27"/>
    <sheet name="Get Spec" sheetId="28" state="visible" r:id="rId28"/>
    <sheet name="Create Client Spec" sheetId="29" state="visible" r:id="rId29"/>
    <sheet name="Update Client Spec" sheetId="30" state="visible" r:id="rId30"/>
    <sheet name="Submit For Client Review" sheetId="31" state="visible" r:id="rId31"/>
    <sheet name="Client Review" sheetId="32" state="visible" r:id="rId32"/>
    <sheet name="Create Full Spec" sheetId="33" state="visible" r:id="rId33"/>
    <sheet name="Update Full Spec" sheetId="34" state="visible" r:id="rId34"/>
    <sheet name="Submit For Final Review" sheetId="35" state="visible" r:id="rId35"/>
    <sheet name="Sign Spec" sheetId="36" state="visible" r:id="rId36"/>
    <sheet name="Request Full Spec Changes" sheetId="37" state="visible" r:id="rId37"/>
    <sheet name="Create Project Spec" sheetId="38" state="visible" r:id="rId38"/>
    <sheet name="Audit Spec" sheetId="39" state="visible" r:id="rId39"/>
    <sheet name="List Projects By User" sheetId="40" state="visible" r:id="rId40"/>
    <sheet name="Create Milestone" sheetId="41" state="visible" r:id="rId41"/>
    <sheet name="Update Milestone" sheetId="42" state="visible" r:id="rId42"/>
    <sheet name="Delete Milestone" sheetId="43" state="visible" r:id="rId4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xf>
    <xf numFmtId="0" fontId="20" fillId="11" borderId="73" applyAlignment="1" pivotButton="0" quotePrefix="0" xfId="41">
      <alignment horizontal="right"/>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18" fillId="10" borderId="47" applyAlignment="1" pivotButton="0" quotePrefix="0" xfId="41">
      <alignment horizontal="right" vertical="top" wrapText="1"/>
    </xf>
    <xf numFmtId="0" fontId="20" fillId="11" borderId="0" applyAlignment="1" pivotButton="0" quotePrefix="0" xfId="41">
      <alignment horizontal="right"/>
    </xf>
    <xf numFmtId="0" fontId="24" fillId="0" borderId="45" applyAlignment="1" pivotButton="0" quotePrefix="0" xfId="41">
      <alignment horizontal="center"/>
    </xf>
    <xf numFmtId="0" fontId="24" fillId="0" borderId="74" applyAlignment="1" pivotButton="0" quotePrefix="0" xfId="41">
      <alignment horizontal="center"/>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9" fillId="10" borderId="72" pivotButton="0" quotePrefix="0" xfId="41"/>
    <xf numFmtId="0" fontId="18" fillId="10" borderId="47" applyAlignment="1" pivotButton="0" quotePrefix="0" xfId="41">
      <alignment horizontal="right" wrapText="1"/>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xf numFmtId="0" fontId="18" fillId="10" borderId="47" applyAlignment="1" pivotButton="0" quotePrefix="0" xfId="42">
      <alignment horizontal="right" wrapText="1"/>
    </xf>
    <xf numFmtId="0" fontId="18" fillId="10" borderId="77" applyAlignment="1" pivotButton="0" quotePrefix="0" xfId="42">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styles" Target="styles.xml" Id="rId44" /><Relationship Type="http://schemas.openxmlformats.org/officeDocument/2006/relationships/theme" Target="theme/theme1.xml" Id="rId4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 Type="http://schemas.openxmlformats.org/officeDocument/2006/relationships/hyperlink" Target="#'Get Specs In Final Review'!A1" TargetMode="External" Id="rId21" /><Relationship Type="http://schemas.openxmlformats.org/officeDocument/2006/relationships/hyperlink" Target="#'Get Specs By Request'!A1" TargetMode="External" Id="rId22" /><Relationship Type="http://schemas.openxmlformats.org/officeDocument/2006/relationships/hyperlink" Target="#'Get Client Spec'!A1" TargetMode="External" Id="rId23" /><Relationship Type="http://schemas.openxmlformats.org/officeDocument/2006/relationships/hyperlink" Target="#'Get Full Spec'!A1" TargetMode="External" Id="rId24" /><Relationship Type="http://schemas.openxmlformats.org/officeDocument/2006/relationships/hyperlink" Target="#'Get Spec'!A1" TargetMode="External" Id="rId25" /><Relationship Type="http://schemas.openxmlformats.org/officeDocument/2006/relationships/hyperlink" Target="#'Create Client Spec'!A1" TargetMode="External" Id="rId26" /><Relationship Type="http://schemas.openxmlformats.org/officeDocument/2006/relationships/hyperlink" Target="#'Update Client Spec'!A1" TargetMode="External" Id="rId27" /><Relationship Type="http://schemas.openxmlformats.org/officeDocument/2006/relationships/hyperlink" Target="#'Submit For Client Review'!A1" TargetMode="External" Id="rId28" /><Relationship Type="http://schemas.openxmlformats.org/officeDocument/2006/relationships/hyperlink" Target="#'Client Review'!A1" TargetMode="External" Id="rId29" /><Relationship Type="http://schemas.openxmlformats.org/officeDocument/2006/relationships/hyperlink" Target="#'Create Full Spec'!A1" TargetMode="External" Id="rId30" /><Relationship Type="http://schemas.openxmlformats.org/officeDocument/2006/relationships/hyperlink" Target="#'Update Full Spec'!A1" TargetMode="External" Id="rId31" /><Relationship Type="http://schemas.openxmlformats.org/officeDocument/2006/relationships/hyperlink" Target="#'Submit For Final Review'!A1" TargetMode="External" Id="rId32" /><Relationship Type="http://schemas.openxmlformats.org/officeDocument/2006/relationships/hyperlink" Target="#'Sign Spec'!A1" TargetMode="External" Id="rId33" /><Relationship Type="http://schemas.openxmlformats.org/officeDocument/2006/relationships/hyperlink" Target="#'Request Full Spec Changes'!A1" TargetMode="External" Id="rId34" /><Relationship Type="http://schemas.openxmlformats.org/officeDocument/2006/relationships/hyperlink" Target="#'Create Project Spec'!A1" TargetMode="External" Id="rId35" /><Relationship Type="http://schemas.openxmlformats.org/officeDocument/2006/relationships/hyperlink" Target="#'Audit Spec'!A1" TargetMode="External" Id="rId36" /><Relationship Type="http://schemas.openxmlformats.org/officeDocument/2006/relationships/hyperlink" Target="#'List Projects By User'!A1" TargetMode="External" Id="rId37" /><Relationship Type="http://schemas.openxmlformats.org/officeDocument/2006/relationships/hyperlink" Target="#'Create Milestone'!A1" TargetMode="External" Id="rId38" /><Relationship Type="http://schemas.openxmlformats.org/officeDocument/2006/relationships/hyperlink" Target="#'Update Milestone'!A1" TargetMode="External" Id="rId39" /><Relationship Type="http://schemas.openxmlformats.org/officeDocument/2006/relationships/hyperlink" Target="#'Delete Milestone'!A1" TargetMode="External" Id="rId4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B5&amp;"_UTC_"&amp;"v2.0"</f>
        <v/>
      </c>
      <c r="C6" s="13" t="n"/>
      <c r="D6" s="14" t="n"/>
      <c r="E6" s="8" t="inlineStr">
        <is>
          <t>Issue Date</t>
        </is>
      </c>
      <c r="F6" s="15" t="n">
        <v>46112</v>
      </c>
    </row>
    <row r="7" ht="13.5" customHeight="1">
      <c r="A7" s="16" t="n"/>
      <c r="B7" s="17" t="n"/>
      <c r="C7" s="18" t="n"/>
      <c r="D7" s="19" t="n"/>
      <c r="E7" s="8" t="inlineStr">
        <is>
          <t>Version</t>
        </is>
      </c>
      <c r="F7" s="20" t="n">
        <v>2</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46112</v>
      </c>
      <c r="B12" s="30" t="inlineStr">
        <is>
          <t>2.0</t>
        </is>
      </c>
      <c r="C12" s="31" t="inlineStr">
        <is>
          <t>API full endpoint coverage</t>
        </is>
      </c>
      <c r="D12" s="31" t="inlineStr">
        <is>
          <t>A</t>
        </is>
      </c>
      <c r="E12" s="32" t="inlineStr">
        <is>
          <t>All 40 requested API endpoints are covered in this final workbook. Layout keeps the mandatory Precondition row, renders subgroup labels under Condition, adapts Return/Exception/post-check sections to each sheet, and backs all 170 UTC with executed Jest tests.</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CLIENT/BROKER/FREELANCER user invokes payment-method listing | Saved methods may exist or be empty | Unsupported roles are blocked before listing</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CLIENT/BROKER/FREELANCER user submits create-payment-method payload | First method may become default automatically | Invalid card/bank payloads are rejected</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CLIENT/BROKER/FREELANCER user chooses a saved payment method as default | Missing method ids are rejected | Unsupported roles are blocked before update</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CLIENT user funds a milestone with milestoneId, paymentMethodId, gateway, and Idempotency-Key | Replays, gateway mismatches, and escrow guardrails are enforced by the funding flow</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 opens wallet snapshot | Missing wallets are auto-created | Freelancer and broker views compute awaiting-release amounts differently</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opens wallet transactions with page, limit, and optional range filters | Paging is normalized to safe defaults | Wallet snapshot is returned alongside items</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Client approves finalized specs for the target request | Controller may rethrow service failures | Unexpected source statuses still promote to SPEC_APPROVED in the current implementation</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Assigned broker converts a request after finalized full-spec handoff | Missing full spec or unauthorized broker blocks conversion | Controller may rethrow service failures</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Authenticated STAFF/ADMIN user opens pending specs | Service may return pending items or bubble an error</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user opens the client-review queue | Client id is read from auth context | Service may return specs or bubble an error</t>
        </is>
      </c>
    </row>
    <row r="31" ht="13" customHeight="1">
      <c r="A31" s="72" t="n">
        <v>21</v>
      </c>
      <c r="B31" s="83" t="inlineStr">
        <is>
          <t>UC-26 View Final Specs</t>
        </is>
      </c>
      <c r="C31" s="83" t="inlineStr">
        <is>
          <t>ProjectSpecsController</t>
        </is>
      </c>
      <c r="D31" s="84" t="inlineStr">
        <is>
          <t>Get Specs In Final Review</t>
        </is>
      </c>
      <c r="E31" s="87" t="inlineStr">
        <is>
          <t>EP-213</t>
        </is>
      </c>
      <c r="F31" s="85" t="inlineStr">
        <is>
          <t>Get Specs In Final Review</t>
        </is>
      </c>
      <c r="G31" s="84" t="inlineStr">
        <is>
          <t>GET /project-specs/final-review</t>
        </is>
      </c>
      <c r="H31" s="78" t="inlineStr">
        <is>
          <t>Authenticated project party opens final-review queue</t>
        </is>
      </c>
    </row>
    <row r="32" ht="13" customHeight="1">
      <c r="A32" s="72" t="n">
        <v>22</v>
      </c>
      <c r="B32" s="83" t="inlineStr">
        <is>
          <t>UC-25 View List Specs</t>
        </is>
      </c>
      <c r="C32" s="83" t="inlineStr">
        <is>
          <t>ProjectSpecsController</t>
        </is>
      </c>
      <c r="D32" s="84" t="inlineStr">
        <is>
          <t>Get Specs By Request</t>
        </is>
      </c>
      <c r="E32" s="87" t="inlineStr">
        <is>
          <t>EP-214</t>
        </is>
      </c>
      <c r="F32" s="85" t="inlineStr">
        <is>
          <t>Get Specs By Request</t>
        </is>
      </c>
      <c r="G32" s="84" t="inlineStr">
        <is>
          <t>GET /project-specs/by-request/:requestId</t>
        </is>
      </c>
      <c r="H32" s="78" t="inlineStr">
        <is>
          <t>Authenticated user opens specs for a request</t>
        </is>
      </c>
    </row>
    <row r="33" ht="13" customHeight="1">
      <c r="A33" s="72" t="n">
        <v>23</v>
      </c>
      <c r="B33" s="83" t="inlineStr">
        <is>
          <t>UC-25 View List Specs; UC-27 Review Client's Specs</t>
        </is>
      </c>
      <c r="C33" s="83" t="inlineStr">
        <is>
          <t>ProjectSpecsController</t>
        </is>
      </c>
      <c r="D33" s="84" t="inlineStr">
        <is>
          <t>Get Client Spec</t>
        </is>
      </c>
      <c r="E33" s="87" t="inlineStr">
        <is>
          <t>EP-215</t>
        </is>
      </c>
      <c r="F33" s="85" t="inlineStr">
        <is>
          <t>Get Client Spec</t>
        </is>
      </c>
      <c r="G33" s="84" t="inlineStr">
        <is>
          <t>GET /project-specs/client-spec/:requestId</t>
        </is>
      </c>
      <c r="H33" s="78" t="inlineStr">
        <is>
          <t>Authenticated user opens the client spec for a request</t>
        </is>
      </c>
    </row>
    <row r="34" ht="13" customHeight="1">
      <c r="A34" s="72" t="n">
        <v>24</v>
      </c>
      <c r="B34" s="83" t="inlineStr">
        <is>
          <t>UC-26 View Final Specs</t>
        </is>
      </c>
      <c r="C34" s="83" t="inlineStr">
        <is>
          <t>ProjectSpecsController</t>
        </is>
      </c>
      <c r="D34" s="84" t="inlineStr">
        <is>
          <t>Get Full Spec</t>
        </is>
      </c>
      <c r="E34" s="87" t="inlineStr">
        <is>
          <t>EP-216</t>
        </is>
      </c>
      <c r="F34" s="85" t="inlineStr">
        <is>
          <t>Get Full Spec</t>
        </is>
      </c>
      <c r="G34" s="84" t="inlineStr">
        <is>
          <t>GET /project-specs/full-spec/:parentSpecId</t>
        </is>
      </c>
      <c r="H34" s="78" t="inlineStr">
        <is>
          <t>Authenticated user opens the full spec for a parent spec</t>
        </is>
      </c>
    </row>
    <row r="35" ht="13" customHeight="1">
      <c r="A35" s="72" t="n">
        <v>25</v>
      </c>
      <c r="B35" s="83" t="inlineStr">
        <is>
          <t>UC-25 View List Specs</t>
        </is>
      </c>
      <c r="C35" s="83" t="inlineStr">
        <is>
          <t>ProjectSpecsService</t>
        </is>
      </c>
      <c r="D35" s="84" t="inlineStr">
        <is>
          <t>Get Spec</t>
        </is>
      </c>
      <c r="E35" s="87" t="inlineStr">
        <is>
          <t>EP-217</t>
        </is>
      </c>
      <c r="F35" s="85" t="inlineStr">
        <is>
          <t>Get Spec</t>
        </is>
      </c>
      <c r="G35" s="84" t="inlineStr">
        <is>
          <t>GET /project-specs/:id</t>
        </is>
      </c>
      <c r="H35" s="78" t="inlineStr">
        <is>
          <t>Authenticated project party loads a single spec by id</t>
        </is>
      </c>
    </row>
    <row r="36" ht="13" customHeight="1">
      <c r="A36" s="72" t="n">
        <v>26</v>
      </c>
      <c r="B36" s="83" t="inlineStr">
        <is>
          <t>UC-103 Create Client's Specs</t>
        </is>
      </c>
      <c r="C36" s="83" t="inlineStr">
        <is>
          <t>ProjectSpecsService</t>
        </is>
      </c>
      <c r="D36" s="84" t="inlineStr">
        <is>
          <t>Create Client Spec</t>
        </is>
      </c>
      <c r="E36" s="87" t="inlineStr">
        <is>
          <t>EP-218</t>
        </is>
      </c>
      <c r="F36" s="85" t="inlineStr">
        <is>
          <t>Create Client Spec</t>
        </is>
      </c>
      <c r="G36" s="84" t="inlineStr">
        <is>
          <t>POST /project-specs/client-spec</t>
        </is>
      </c>
      <c r="H36" s="78" t="inlineStr">
        <is>
          <t>Authenticated broker submits a client-spec draft</t>
        </is>
      </c>
    </row>
    <row r="37" ht="13" customHeight="1">
      <c r="A37" s="72" t="n">
        <v>27</v>
      </c>
      <c r="B37" s="83" t="inlineStr">
        <is>
          <t>UC-103 Create Client's Specs; UC-66 Update Project Specs</t>
        </is>
      </c>
      <c r="C37" s="83" t="inlineStr">
        <is>
          <t>ProjectSpecsService</t>
        </is>
      </c>
      <c r="D37" s="84" t="inlineStr">
        <is>
          <t>Update Client Spec</t>
        </is>
      </c>
      <c r="E37" s="87" t="inlineStr">
        <is>
          <t>EP-219</t>
        </is>
      </c>
      <c r="F37" s="85" t="inlineStr">
        <is>
          <t>Update Client Spec</t>
        </is>
      </c>
      <c r="G37" s="84" t="inlineStr">
        <is>
          <t>PATCH /project-specs/:id/client-spec</t>
        </is>
      </c>
      <c r="H37" s="78" t="inlineStr">
        <is>
          <t>Authenticated broker edits a client-spec draft</t>
        </is>
      </c>
    </row>
    <row r="38" ht="13" customHeight="1">
      <c r="A38" s="72" t="n">
        <v>28</v>
      </c>
      <c r="B38" s="83" t="inlineStr">
        <is>
          <t>UC-27 Review Client's Specs</t>
        </is>
      </c>
      <c r="C38" s="83" t="inlineStr">
        <is>
          <t>ProjectSpecsService</t>
        </is>
      </c>
      <c r="D38" s="84" t="inlineStr">
        <is>
          <t>Submit For Client Review</t>
        </is>
      </c>
      <c r="E38" s="87" t="inlineStr">
        <is>
          <t>EP-220</t>
        </is>
      </c>
      <c r="F38" s="85" t="inlineStr">
        <is>
          <t>Submit For Client Review</t>
        </is>
      </c>
      <c r="G38" s="84" t="inlineStr">
        <is>
          <t>POST /project-specs/:id/submit-for-client-review</t>
        </is>
      </c>
      <c r="H38" s="78" t="inlineStr">
        <is>
          <t>Authenticated broker submits a client spec for client review</t>
        </is>
      </c>
    </row>
    <row r="39" ht="13" customHeight="1">
      <c r="A39" s="72" t="n">
        <v>29</v>
      </c>
      <c r="B39" s="83" t="inlineStr">
        <is>
          <t>UC-27 Review Client's Specs</t>
        </is>
      </c>
      <c r="C39" s="83" t="inlineStr">
        <is>
          <t>ProjectSpecsController</t>
        </is>
      </c>
      <c r="D39" s="84" t="inlineStr">
        <is>
          <t>Client Review</t>
        </is>
      </c>
      <c r="E39" s="87" t="inlineStr">
        <is>
          <t>EP-221</t>
        </is>
      </c>
      <c r="F39" s="85" t="inlineStr">
        <is>
          <t>Client Review</t>
        </is>
      </c>
      <c r="G39" s="84" t="inlineStr">
        <is>
          <t>POST /project-specs/:id/client-review</t>
        </is>
      </c>
      <c r="H39" s="78" t="inlineStr">
        <is>
          <t>Authenticated client reviews a client spec</t>
        </is>
      </c>
    </row>
    <row r="40" ht="13" customHeight="1">
      <c r="A40" s="72" t="n">
        <v>30</v>
      </c>
      <c r="B40" s="83" t="inlineStr">
        <is>
          <t>UC-98 Create Full Spec</t>
        </is>
      </c>
      <c r="C40" s="83" t="inlineStr">
        <is>
          <t>ProjectSpecsService</t>
        </is>
      </c>
      <c r="D40" s="84" t="inlineStr">
        <is>
          <t>Create Full Spec</t>
        </is>
      </c>
      <c r="E40" s="87" t="inlineStr">
        <is>
          <t>EP-222</t>
        </is>
      </c>
      <c r="F40" s="85" t="inlineStr">
        <is>
          <t>Create Full Spec</t>
        </is>
      </c>
      <c r="G40" s="84" t="inlineStr">
        <is>
          <t>POST /project-specs/full-spec</t>
        </is>
      </c>
      <c r="H40" s="78" t="inlineStr">
        <is>
          <t>Authenticated broker creates a full-spec draft from an approved client spec</t>
        </is>
      </c>
    </row>
    <row r="41" ht="13" customHeight="1">
      <c r="A41" s="72" t="n">
        <v>31</v>
      </c>
      <c r="B41" s="83" t="inlineStr">
        <is>
          <t>UC-66 Update Project Specs</t>
        </is>
      </c>
      <c r="C41" s="83" t="inlineStr">
        <is>
          <t>ProjectSpecsService</t>
        </is>
      </c>
      <c r="D41" s="84" t="inlineStr">
        <is>
          <t>Update Full Spec</t>
        </is>
      </c>
      <c r="E41" s="87" t="inlineStr">
        <is>
          <t>EP-223</t>
        </is>
      </c>
      <c r="F41" s="88" t="inlineStr">
        <is>
          <t>Update Full Spec</t>
        </is>
      </c>
      <c r="G41" s="86" t="inlineStr">
        <is>
          <t>PATCH /project-specs/:id/full-spec</t>
        </is>
      </c>
      <c r="H41" s="78" t="inlineStr">
        <is>
          <t>Authenticated broker updates a full-spec draft</t>
        </is>
      </c>
    </row>
    <row r="42" ht="13" customHeight="1">
      <c r="A42" s="72" t="n">
        <v>32</v>
      </c>
      <c r="B42" s="83" t="inlineStr">
        <is>
          <t>UC-104 Finalize Specs</t>
        </is>
      </c>
      <c r="C42" s="83" t="inlineStr">
        <is>
          <t>ProjectSpecsService</t>
        </is>
      </c>
      <c r="D42" s="84" t="inlineStr">
        <is>
          <t>Submit For Final Review</t>
        </is>
      </c>
      <c r="E42" s="87" t="inlineStr">
        <is>
          <t>EP-224</t>
        </is>
      </c>
      <c r="F42" s="85" t="inlineStr">
        <is>
          <t>Submit For Final Review</t>
        </is>
      </c>
      <c r="G42" s="86" t="inlineStr">
        <is>
          <t>POST /project-specs/:id/submit-for-final-review</t>
        </is>
      </c>
      <c r="H42" s="78" t="inlineStr">
        <is>
          <t>Authenticated broker submits a full spec for final review</t>
        </is>
      </c>
    </row>
    <row r="43" ht="13" customHeight="1">
      <c r="A43" s="72" t="n">
        <v>33</v>
      </c>
      <c r="B43" s="83" t="inlineStr">
        <is>
          <t>UC-104 Finalize Specs</t>
        </is>
      </c>
      <c r="C43" s="83" t="inlineStr">
        <is>
          <t>ProjectSpecsService</t>
        </is>
      </c>
      <c r="D43" s="84" t="inlineStr">
        <is>
          <t>Sign Spec</t>
        </is>
      </c>
      <c r="E43" s="87" t="inlineStr">
        <is>
          <t>EP-225</t>
        </is>
      </c>
      <c r="F43" s="85" t="inlineStr">
        <is>
          <t>Sign Spec</t>
        </is>
      </c>
      <c r="G43" s="84" t="inlineStr">
        <is>
          <t>POST /project-specs/:id/sign</t>
        </is>
      </c>
      <c r="H43" s="78" t="inlineStr">
        <is>
          <t>Authenticated party signs a full spec in final review</t>
        </is>
      </c>
    </row>
    <row r="44" ht="13" customHeight="1">
      <c r="A44" s="72" t="n">
        <v>34</v>
      </c>
      <c r="B44" s="83" t="inlineStr">
        <is>
          <t>UC-99 Request Spec Changes</t>
        </is>
      </c>
      <c r="C44" s="83" t="inlineStr">
        <is>
          <t>ProjectSpecsService</t>
        </is>
      </c>
      <c r="D44" s="84" t="inlineStr">
        <is>
          <t>Request Full Spec Changes</t>
        </is>
      </c>
      <c r="E44" s="87" t="inlineStr">
        <is>
          <t>EP-226</t>
        </is>
      </c>
      <c r="F44" s="85" t="inlineStr">
        <is>
          <t>Request Full Spec Changes</t>
        </is>
      </c>
      <c r="G44" s="84" t="inlineStr">
        <is>
          <t>POST /project-specs/:id/request-changes</t>
        </is>
      </c>
      <c r="H44" s="78" t="inlineStr">
        <is>
          <t>Authenticated final-review party requests changes on a full spec</t>
        </is>
      </c>
    </row>
    <row r="45" ht="13" customHeight="1">
      <c r="A45" s="72" t="n">
        <v>35</v>
      </c>
      <c r="B45" s="83" t="inlineStr">
        <is>
          <t>UC-103 Create Client's Specs</t>
        </is>
      </c>
      <c r="C45" s="83" t="inlineStr">
        <is>
          <t>ProjectSpecsService</t>
        </is>
      </c>
      <c r="D45" s="84" t="inlineStr">
        <is>
          <t>Create project spec</t>
        </is>
      </c>
      <c r="E45" s="87" t="inlineStr">
        <is>
          <t>EP-227</t>
        </is>
      </c>
      <c r="F45" s="85" t="inlineStr">
        <is>
          <t>Create Project Spec</t>
        </is>
      </c>
      <c r="G45" s="84" t="inlineStr">
        <is>
          <t>POST /project-specs</t>
        </is>
      </c>
      <c r="H45" s="78" t="inlineStr">
        <is>
          <t>Authenticated broker creates a legacy project spec draft</t>
        </is>
      </c>
    </row>
    <row r="46" ht="13" customHeight="1">
      <c r="A46" s="72" t="n">
        <v>36</v>
      </c>
      <c r="B46" s="83" t="inlineStr">
        <is>
          <t>UC-25 View List Specs; UC-26 View Final Specs</t>
        </is>
      </c>
      <c r="C46" s="83" t="inlineStr">
        <is>
          <t>ProjectSpecsController</t>
        </is>
      </c>
      <c r="D46" s="84" t="inlineStr">
        <is>
          <t>Audit Spec</t>
        </is>
      </c>
      <c r="E46" s="87" t="inlineStr">
        <is>
          <t>EP-228</t>
        </is>
      </c>
      <c r="F46" s="85" t="inlineStr">
        <is>
          <t>Audit Spec</t>
        </is>
      </c>
      <c r="G46" s="84" t="inlineStr">
        <is>
          <t>POST /project-specs/:id/audit</t>
        </is>
      </c>
      <c r="H46" s="78" t="inlineStr">
        <is>
          <t>Authenticated staff audits a project spec</t>
        </is>
      </c>
    </row>
    <row r="47" ht="13" customHeight="1">
      <c r="A47" s="72" t="n">
        <v>37</v>
      </c>
      <c r="B47" s="83" t="inlineStr">
        <is>
          <t>UC-58 View List Assigned Project</t>
        </is>
      </c>
      <c r="C47" s="83" t="inlineStr">
        <is>
          <t>ProjectsController</t>
        </is>
      </c>
      <c r="D47" s="84" t="inlineStr">
        <is>
          <t>List By User</t>
        </is>
      </c>
      <c r="E47" s="87" t="inlineStr">
        <is>
          <t>EP-229</t>
        </is>
      </c>
      <c r="F47" s="88" t="inlineStr">
        <is>
          <t>List Projects By User</t>
        </is>
      </c>
      <c r="G47" s="86" t="inlineStr">
        <is>
          <t>GET /projects/list/:userId</t>
        </is>
      </c>
      <c r="H47" s="78" t="inlineStr">
        <is>
          <t>Authenticated requester opens a user's project list</t>
        </is>
      </c>
    </row>
    <row r="48" ht="13" customHeight="1">
      <c r="A48" s="72" t="n">
        <v>38</v>
      </c>
      <c r="B48" s="83" t="inlineStr">
        <is>
          <t>UC-64 Create New Milestone</t>
        </is>
      </c>
      <c r="C48" s="83" t="inlineStr">
        <is>
          <t>ProjectsService</t>
        </is>
      </c>
      <c r="D48" s="84" t="inlineStr">
        <is>
          <t>Create Milestone</t>
        </is>
      </c>
      <c r="E48" s="87" t="inlineStr">
        <is>
          <t>EP-236</t>
        </is>
      </c>
      <c r="F48" s="88" t="inlineStr">
        <is>
          <t>Create Milestone</t>
        </is>
      </c>
      <c r="G48" s="86" t="inlineStr">
        <is>
          <t>POST /projects/:projectId/milestones</t>
        </is>
      </c>
      <c r="H48" s="78" t="inlineStr">
        <is>
          <t>Authenticated user creates a project milestone</t>
        </is>
      </c>
    </row>
    <row r="49" ht="13" customHeight="1">
      <c r="A49" s="72" t="n">
        <v>39</v>
      </c>
      <c r="B49" s="83" t="inlineStr">
        <is>
          <t>UC-65 Edit Milestone</t>
        </is>
      </c>
      <c r="C49" s="83" t="inlineStr">
        <is>
          <t>ProjectsService</t>
        </is>
      </c>
      <c r="D49" s="84" t="inlineStr">
        <is>
          <t>Update Milestone</t>
        </is>
      </c>
      <c r="E49" s="87" t="inlineStr">
        <is>
          <t>EP-237</t>
        </is>
      </c>
      <c r="F49" s="88" t="inlineStr">
        <is>
          <t>Update Milestone</t>
        </is>
      </c>
      <c r="G49" s="86" t="inlineStr">
        <is>
          <t>PATCH /projects/milestones/:id</t>
        </is>
      </c>
      <c r="H49" s="78" t="inlineStr">
        <is>
          <t>Authenticated user updates a milestone structure</t>
        </is>
      </c>
    </row>
    <row r="50" ht="13" customHeight="1">
      <c r="A50" s="72" t="n">
        <v>40</v>
      </c>
      <c r="B50" s="83" t="inlineStr">
        <is>
          <t>UC-105 Delete Milestone</t>
        </is>
      </c>
      <c r="C50" s="83" t="inlineStr">
        <is>
          <t>ProjectsService</t>
        </is>
      </c>
      <c r="D50" s="84" t="inlineStr">
        <is>
          <t>Delete Milestone</t>
        </is>
      </c>
      <c r="E50" s="87" t="inlineStr">
        <is>
          <t>EP-238</t>
        </is>
      </c>
      <c r="F50" s="85" t="inlineStr">
        <is>
          <t>Delete Milestone</t>
        </is>
      </c>
      <c r="G50" s="84" t="inlineStr">
        <is>
          <t>DELETE /projects/milestones/:id</t>
        </is>
      </c>
      <c r="H50" s="78" t="inlineStr">
        <is>
          <t>Authenticated user deletes a milestone</t>
        </is>
      </c>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 xmlns:r="http://schemas.openxmlformats.org/officeDocument/2006/relationships" ref="F31" r:id="rId21"/>
    <hyperlink xmlns:r="http://schemas.openxmlformats.org/officeDocument/2006/relationships" ref="F32" r:id="rId22"/>
    <hyperlink xmlns:r="http://schemas.openxmlformats.org/officeDocument/2006/relationships" ref="F33" r:id="rId23"/>
    <hyperlink xmlns:r="http://schemas.openxmlformats.org/officeDocument/2006/relationships" ref="F34" r:id="rId24"/>
    <hyperlink xmlns:r="http://schemas.openxmlformats.org/officeDocument/2006/relationships" ref="F35" r:id="rId25"/>
    <hyperlink xmlns:r="http://schemas.openxmlformats.org/officeDocument/2006/relationships" ref="F36" r:id="rId26"/>
    <hyperlink xmlns:r="http://schemas.openxmlformats.org/officeDocument/2006/relationships" ref="F37" r:id="rId27"/>
    <hyperlink xmlns:r="http://schemas.openxmlformats.org/officeDocument/2006/relationships" ref="F38" r:id="rId28"/>
    <hyperlink xmlns:r="http://schemas.openxmlformats.org/officeDocument/2006/relationships" ref="F39" r:id="rId29"/>
    <hyperlink xmlns:r="http://schemas.openxmlformats.org/officeDocument/2006/relationships" ref="F40" r:id="rId30"/>
    <hyperlink xmlns:r="http://schemas.openxmlformats.org/officeDocument/2006/relationships" ref="F41" r:id="rId31"/>
    <hyperlink xmlns:r="http://schemas.openxmlformats.org/officeDocument/2006/relationships" ref="F42" r:id="rId32"/>
    <hyperlink xmlns:r="http://schemas.openxmlformats.org/officeDocument/2006/relationships" ref="F43" r:id="rId33"/>
    <hyperlink xmlns:r="http://schemas.openxmlformats.org/officeDocument/2006/relationships" ref="F44" r:id="rId34"/>
    <hyperlink xmlns:r="http://schemas.openxmlformats.org/officeDocument/2006/relationships" ref="F45" r:id="rId35"/>
    <hyperlink xmlns:r="http://schemas.openxmlformats.org/officeDocument/2006/relationships" ref="F46" r:id="rId36"/>
    <hyperlink xmlns:r="http://schemas.openxmlformats.org/officeDocument/2006/relationships" ref="F47" r:id="rId37"/>
    <hyperlink xmlns:r="http://schemas.openxmlformats.org/officeDocument/2006/relationships" ref="F48" r:id="rId38"/>
    <hyperlink xmlns:r="http://schemas.openxmlformats.org/officeDocument/2006/relationships" ref="F49" r:id="rId39"/>
    <hyperlink xmlns:r="http://schemas.openxmlformats.org/officeDocument/2006/relationships" ref="F50"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Report_"&amp;"v2.0"</f>
        <v/>
      </c>
      <c r="C6" s="4" t="n"/>
      <c r="D6" s="96" t="inlineStr">
        <is>
          <t>Issue Date</t>
        </is>
      </c>
      <c r="E6" s="4" t="n"/>
      <c r="F6" s="98" t="n">
        <v>46112</v>
      </c>
      <c r="G6" s="3" t="n"/>
      <c r="H6" s="3" t="n"/>
      <c r="I6" s="4" t="n"/>
    </row>
    <row r="7" ht="15.75" customHeight="1">
      <c r="A7" s="97" t="n"/>
      <c r="B7" s="99" t="inlineStr">
        <is>
          <t>This workbook covers all 40 endpoints from the provided list. Condition sections keep a mandatory Precondition row plus subgroup labels, post-check sections use Log message on business flows and Verification on technical flows, and all 170 UTC are backed by executed Jest tests.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v>21</v>
      </c>
      <c r="B32" s="113" t="inlineStr">
        <is>
          <t>EP-213</t>
        </is>
      </c>
      <c r="C32" s="111">
        <f>'Get Specs In Final Review'!A7</f>
        <v/>
      </c>
      <c r="D32" s="111">
        <f>'Get Specs In Final Review'!C7</f>
        <v/>
      </c>
      <c r="E32" s="111">
        <f>'Get Specs In Final Review'!F7</f>
        <v/>
      </c>
      <c r="F32" s="111">
        <f>'Get Specs In Final Review'!L7</f>
        <v/>
      </c>
      <c r="G32" s="111">
        <f>'Get Specs In Final Review'!M7</f>
        <v/>
      </c>
      <c r="H32" s="111">
        <f>'Get Specs In Final Review'!N7</f>
        <v/>
      </c>
      <c r="I32" s="111">
        <f>'Get Specs In Final Review'!O7</f>
        <v/>
      </c>
    </row>
    <row r="33" ht="13.5" customHeight="1">
      <c r="A33" s="109" t="n">
        <v>22</v>
      </c>
      <c r="B33" s="113" t="inlineStr">
        <is>
          <t>EP-214</t>
        </is>
      </c>
      <c r="C33" s="111">
        <f>'Get Specs By Request'!A7</f>
        <v/>
      </c>
      <c r="D33" s="111">
        <f>'Get Specs By Request'!C7</f>
        <v/>
      </c>
      <c r="E33" s="111">
        <f>'Get Specs By Request'!F7</f>
        <v/>
      </c>
      <c r="F33" s="111">
        <f>'Get Specs By Request'!L7</f>
        <v/>
      </c>
      <c r="G33" s="111">
        <f>'Get Specs By Request'!M7</f>
        <v/>
      </c>
      <c r="H33" s="111">
        <f>'Get Specs By Request'!N7</f>
        <v/>
      </c>
      <c r="I33" s="111">
        <f>'Get Specs By Request'!O7</f>
        <v/>
      </c>
    </row>
    <row r="34" ht="13.5" customHeight="1">
      <c r="A34" s="109" t="n">
        <v>23</v>
      </c>
      <c r="B34" s="113" t="inlineStr">
        <is>
          <t>EP-215</t>
        </is>
      </c>
      <c r="C34" s="111">
        <f>'Get Client Spec'!A7</f>
        <v/>
      </c>
      <c r="D34" s="111">
        <f>'Get Client Spec'!C7</f>
        <v/>
      </c>
      <c r="E34" s="111">
        <f>'Get Client Spec'!F7</f>
        <v/>
      </c>
      <c r="F34" s="111">
        <f>'Get Client Spec'!L7</f>
        <v/>
      </c>
      <c r="G34" s="111">
        <f>'Get Client Spec'!M7</f>
        <v/>
      </c>
      <c r="H34" s="111">
        <f>'Get Client Spec'!N7</f>
        <v/>
      </c>
      <c r="I34" s="111">
        <f>'Get Client Spec'!O7</f>
        <v/>
      </c>
    </row>
    <row r="35" ht="13.5" customHeight="1">
      <c r="A35" s="109" t="n">
        <v>24</v>
      </c>
      <c r="B35" s="113" t="inlineStr">
        <is>
          <t>EP-216</t>
        </is>
      </c>
      <c r="C35" s="111">
        <f>'Get Full Spec'!A7</f>
        <v/>
      </c>
      <c r="D35" s="111">
        <f>'Get Full Spec'!C7</f>
        <v/>
      </c>
      <c r="E35" s="111">
        <f>'Get Full Spec'!F7</f>
        <v/>
      </c>
      <c r="F35" s="111">
        <f>'Get Full Spec'!L7</f>
        <v/>
      </c>
      <c r="G35" s="111">
        <f>'Get Full Spec'!M7</f>
        <v/>
      </c>
      <c r="H35" s="111">
        <f>'Get Full Spec'!N7</f>
        <v/>
      </c>
      <c r="I35" s="111">
        <f>'Get Full Spec'!O7</f>
        <v/>
      </c>
    </row>
    <row r="36" ht="13.5" customHeight="1">
      <c r="A36" s="109" t="n">
        <v>25</v>
      </c>
      <c r="B36" s="113" t="inlineStr">
        <is>
          <t>EP-217</t>
        </is>
      </c>
      <c r="C36" s="111">
        <f>'Get Spec'!A7</f>
        <v/>
      </c>
      <c r="D36" s="111">
        <f>'Get Spec'!C7</f>
        <v/>
      </c>
      <c r="E36" s="111">
        <f>'Get Spec'!F7</f>
        <v/>
      </c>
      <c r="F36" s="111">
        <f>'Get Spec'!L7</f>
        <v/>
      </c>
      <c r="G36" s="111">
        <f>'Get Spec'!M7</f>
        <v/>
      </c>
      <c r="H36" s="111">
        <f>'Get Spec'!N7</f>
        <v/>
      </c>
      <c r="I36" s="111">
        <f>'Get Spec'!O7</f>
        <v/>
      </c>
    </row>
    <row r="37" ht="13.5" customHeight="1">
      <c r="A37" s="109" t="n">
        <v>26</v>
      </c>
      <c r="B37" s="113" t="inlineStr">
        <is>
          <t>EP-218</t>
        </is>
      </c>
      <c r="C37" s="111">
        <f>'Create Client Spec'!A7</f>
        <v/>
      </c>
      <c r="D37" s="111">
        <f>'Create Client Spec'!C7</f>
        <v/>
      </c>
      <c r="E37" s="111">
        <f>'Create Client Spec'!F7</f>
        <v/>
      </c>
      <c r="F37" s="111">
        <f>'Create Client Spec'!L7</f>
        <v/>
      </c>
      <c r="G37" s="111">
        <f>'Create Client Spec'!M7</f>
        <v/>
      </c>
      <c r="H37" s="111">
        <f>'Create Client Spec'!N7</f>
        <v/>
      </c>
      <c r="I37" s="111">
        <f>'Create Client Spec'!O7</f>
        <v/>
      </c>
    </row>
    <row r="38" ht="13.5" customHeight="1">
      <c r="A38" s="109" t="n">
        <v>27</v>
      </c>
      <c r="B38" s="113" t="inlineStr">
        <is>
          <t>EP-219</t>
        </is>
      </c>
      <c r="C38" s="111">
        <f>'Update Client Spec'!A7</f>
        <v/>
      </c>
      <c r="D38" s="111">
        <f>'Update Client Spec'!C7</f>
        <v/>
      </c>
      <c r="E38" s="111">
        <f>'Update Client Spec'!F7</f>
        <v/>
      </c>
      <c r="F38" s="111">
        <f>'Update Client Spec'!L7</f>
        <v/>
      </c>
      <c r="G38" s="111">
        <f>'Update Client Spec'!M7</f>
        <v/>
      </c>
      <c r="H38" s="111">
        <f>'Update Client Spec'!N7</f>
        <v/>
      </c>
      <c r="I38" s="111">
        <f>'Update Client Spec'!O7</f>
        <v/>
      </c>
    </row>
    <row r="39" ht="13.5" customHeight="1">
      <c r="A39" s="109" t="n">
        <v>28</v>
      </c>
      <c r="B39" s="113" t="inlineStr">
        <is>
          <t>EP-220</t>
        </is>
      </c>
      <c r="C39" s="111">
        <f>'Submit For Client Review'!A7</f>
        <v/>
      </c>
      <c r="D39" s="111">
        <f>'Submit For Client Review'!C7</f>
        <v/>
      </c>
      <c r="E39" s="111">
        <f>'Submit For Client Review'!F7</f>
        <v/>
      </c>
      <c r="F39" s="111">
        <f>'Submit For Client Review'!L7</f>
        <v/>
      </c>
      <c r="G39" s="111">
        <f>'Submit For Client Review'!M7</f>
        <v/>
      </c>
      <c r="H39" s="111">
        <f>'Submit For Client Review'!N7</f>
        <v/>
      </c>
      <c r="I39" s="111">
        <f>'Submit For Client Review'!O7</f>
        <v/>
      </c>
    </row>
    <row r="40" ht="13.5" customHeight="1">
      <c r="A40" s="109" t="n">
        <v>29</v>
      </c>
      <c r="B40" s="113" t="inlineStr">
        <is>
          <t>EP-221</t>
        </is>
      </c>
      <c r="C40" s="111">
        <f>'Client Review'!A7</f>
        <v/>
      </c>
      <c r="D40" s="111">
        <f>'Client Review'!C7</f>
        <v/>
      </c>
      <c r="E40" s="111">
        <f>'Client Review'!F7</f>
        <v/>
      </c>
      <c r="F40" s="111">
        <f>'Client Review'!L7</f>
        <v/>
      </c>
      <c r="G40" s="111">
        <f>'Client Review'!M7</f>
        <v/>
      </c>
      <c r="H40" s="111">
        <f>'Client Review'!N7</f>
        <v/>
      </c>
      <c r="I40" s="111">
        <f>'Client Review'!O7</f>
        <v/>
      </c>
    </row>
    <row r="41" ht="13.5" customHeight="1">
      <c r="A41" s="109" t="n">
        <v>30</v>
      </c>
      <c r="B41" s="113" t="inlineStr">
        <is>
          <t>EP-222</t>
        </is>
      </c>
      <c r="C41" s="111">
        <f>'Create Full Spec'!A7</f>
        <v/>
      </c>
      <c r="D41" s="111">
        <f>'Create Full Spec'!C7</f>
        <v/>
      </c>
      <c r="E41" s="111">
        <f>'Create Full Spec'!F7</f>
        <v/>
      </c>
      <c r="F41" s="111">
        <f>'Create Full Spec'!L7</f>
        <v/>
      </c>
      <c r="G41" s="111">
        <f>'Create Full Spec'!M7</f>
        <v/>
      </c>
      <c r="H41" s="111">
        <f>'Create Full Spec'!N7</f>
        <v/>
      </c>
      <c r="I41" s="111">
        <f>'Create Full Spec'!O7</f>
        <v/>
      </c>
    </row>
    <row r="42" ht="13.5" customHeight="1">
      <c r="A42" s="109" t="n">
        <v>31</v>
      </c>
      <c r="B42" s="113" t="inlineStr">
        <is>
          <t>EP-223</t>
        </is>
      </c>
      <c r="C42" s="111">
        <f>'Update Full Spec'!A7</f>
        <v/>
      </c>
      <c r="D42" s="111">
        <f>'Update Full Spec'!C7</f>
        <v/>
      </c>
      <c r="E42" s="111">
        <f>'Update Full Spec'!F7</f>
        <v/>
      </c>
      <c r="F42" s="111">
        <f>'Update Full Spec'!L7</f>
        <v/>
      </c>
      <c r="G42" s="111">
        <f>'Update Full Spec'!M7</f>
        <v/>
      </c>
      <c r="H42" s="111">
        <f>'Update Full Spec'!N7</f>
        <v/>
      </c>
      <c r="I42" s="111">
        <f>'Update Full Spec'!O7</f>
        <v/>
      </c>
    </row>
    <row r="43" ht="13.5" customHeight="1">
      <c r="A43" s="109" t="n">
        <v>32</v>
      </c>
      <c r="B43" s="113" t="inlineStr">
        <is>
          <t>EP-224</t>
        </is>
      </c>
      <c r="C43" s="111">
        <f>'Submit For Final Review'!A7</f>
        <v/>
      </c>
      <c r="D43" s="111">
        <f>'Submit For Final Review'!C7</f>
        <v/>
      </c>
      <c r="E43" s="111">
        <f>'Submit For Final Review'!F7</f>
        <v/>
      </c>
      <c r="F43" s="111">
        <f>'Submit For Final Review'!L7</f>
        <v/>
      </c>
      <c r="G43" s="111">
        <f>'Submit For Final Review'!M7</f>
        <v/>
      </c>
      <c r="H43" s="111">
        <f>'Submit For Final Review'!N7</f>
        <v/>
      </c>
      <c r="I43" s="111">
        <f>'Submit For Final Review'!O7</f>
        <v/>
      </c>
    </row>
    <row r="44" ht="13.5" customHeight="1">
      <c r="A44" s="109" t="n">
        <v>33</v>
      </c>
      <c r="B44" s="113" t="inlineStr">
        <is>
          <t>EP-225</t>
        </is>
      </c>
      <c r="C44" s="111">
        <f>'Sign Spec'!A7</f>
        <v/>
      </c>
      <c r="D44" s="111">
        <f>'Sign Spec'!C7</f>
        <v/>
      </c>
      <c r="E44" s="111">
        <f>'Sign Spec'!F7</f>
        <v/>
      </c>
      <c r="F44" s="111">
        <f>'Sign Spec'!L7</f>
        <v/>
      </c>
      <c r="G44" s="111">
        <f>'Sign Spec'!M7</f>
        <v/>
      </c>
      <c r="H44" s="111">
        <f>'Sign Spec'!N7</f>
        <v/>
      </c>
      <c r="I44" s="111">
        <f>'Sign Spec'!O7</f>
        <v/>
      </c>
    </row>
    <row r="45" ht="13.5" customHeight="1">
      <c r="A45" s="109" t="n">
        <v>34</v>
      </c>
      <c r="B45" s="113" t="inlineStr">
        <is>
          <t>EP-226</t>
        </is>
      </c>
      <c r="C45" s="111">
        <f>'Request Full Spec Changes'!A7</f>
        <v/>
      </c>
      <c r="D45" s="111">
        <f>'Request Full Spec Changes'!C7</f>
        <v/>
      </c>
      <c r="E45" s="111">
        <f>'Request Full Spec Changes'!F7</f>
        <v/>
      </c>
      <c r="F45" s="111">
        <f>'Request Full Spec Changes'!L7</f>
        <v/>
      </c>
      <c r="G45" s="111">
        <f>'Request Full Spec Changes'!M7</f>
        <v/>
      </c>
      <c r="H45" s="111">
        <f>'Request Full Spec Changes'!N7</f>
        <v/>
      </c>
      <c r="I45" s="111">
        <f>'Request Full Spec Changes'!O7</f>
        <v/>
      </c>
    </row>
    <row r="46" ht="13.5" customHeight="1">
      <c r="A46" s="109" t="n">
        <v>35</v>
      </c>
      <c r="B46" s="113" t="inlineStr">
        <is>
          <t>EP-227</t>
        </is>
      </c>
      <c r="C46" s="111">
        <f>'Create Project Spec'!A7</f>
        <v/>
      </c>
      <c r="D46" s="111">
        <f>'Create Project Spec'!C7</f>
        <v/>
      </c>
      <c r="E46" s="111">
        <f>'Create Project Spec'!F7</f>
        <v/>
      </c>
      <c r="F46" s="111">
        <f>'Create Project Spec'!L7</f>
        <v/>
      </c>
      <c r="G46" s="111">
        <f>'Create Project Spec'!M7</f>
        <v/>
      </c>
      <c r="H46" s="111">
        <f>'Create Project Spec'!N7</f>
        <v/>
      </c>
      <c r="I46" s="111">
        <f>'Create Project Spec'!O7</f>
        <v/>
      </c>
    </row>
    <row r="47" ht="13.5" customHeight="1">
      <c r="A47" s="109" t="n">
        <v>36</v>
      </c>
      <c r="B47" s="113" t="inlineStr">
        <is>
          <t>EP-228</t>
        </is>
      </c>
      <c r="C47" s="111">
        <f>'Audit Spec'!A7</f>
        <v/>
      </c>
      <c r="D47" s="111">
        <f>'Audit Spec'!C7</f>
        <v/>
      </c>
      <c r="E47" s="111">
        <f>'Audit Spec'!F7</f>
        <v/>
      </c>
      <c r="F47" s="111">
        <f>'Audit Spec'!L7</f>
        <v/>
      </c>
      <c r="G47" s="111">
        <f>'Audit Spec'!M7</f>
        <v/>
      </c>
      <c r="H47" s="111">
        <f>'Audit Spec'!N7</f>
        <v/>
      </c>
      <c r="I47" s="111">
        <f>'Audit Spec'!O7</f>
        <v/>
      </c>
    </row>
    <row r="48" ht="13.5" customHeight="1">
      <c r="A48" s="109" t="n">
        <v>37</v>
      </c>
      <c r="B48" s="113" t="inlineStr">
        <is>
          <t>EP-229</t>
        </is>
      </c>
      <c r="C48" s="111">
        <f>'List Projects By User'!A7</f>
        <v/>
      </c>
      <c r="D48" s="111">
        <f>'List Projects By User'!C7</f>
        <v/>
      </c>
      <c r="E48" s="111">
        <f>'List Projects By User'!F7</f>
        <v/>
      </c>
      <c r="F48" s="111">
        <f>'List Projects By User'!L7</f>
        <v/>
      </c>
      <c r="G48" s="111">
        <f>'List Projects By User'!M7</f>
        <v/>
      </c>
      <c r="H48" s="111">
        <f>'List Projects By User'!N7</f>
        <v/>
      </c>
      <c r="I48" s="111">
        <f>'List Projects By User'!O7</f>
        <v/>
      </c>
    </row>
    <row r="49" ht="13.5" customHeight="1">
      <c r="A49" s="109" t="n">
        <v>38</v>
      </c>
      <c r="B49" s="113" t="inlineStr">
        <is>
          <t>EP-236</t>
        </is>
      </c>
      <c r="C49" s="111">
        <f>'Create Milestone'!A7</f>
        <v/>
      </c>
      <c r="D49" s="111">
        <f>'Create Milestone'!C7</f>
        <v/>
      </c>
      <c r="E49" s="111">
        <f>'Create Milestone'!F7</f>
        <v/>
      </c>
      <c r="F49" s="111">
        <f>'Create Milestone'!L7</f>
        <v/>
      </c>
      <c r="G49" s="111">
        <f>'Create Milestone'!M7</f>
        <v/>
      </c>
      <c r="H49" s="111">
        <f>'Create Milestone'!N7</f>
        <v/>
      </c>
      <c r="I49" s="111">
        <f>'Create Milestone'!O7</f>
        <v/>
      </c>
    </row>
    <row r="50" ht="13.5" customHeight="1">
      <c r="A50" s="109" t="n">
        <v>39</v>
      </c>
      <c r="B50" s="113" t="inlineStr">
        <is>
          <t>EP-237</t>
        </is>
      </c>
      <c r="C50" s="111">
        <f>'Update Milestone'!A7</f>
        <v/>
      </c>
      <c r="D50" s="111">
        <f>'Update Milestone'!C7</f>
        <v/>
      </c>
      <c r="E50" s="111">
        <f>'Update Milestone'!F7</f>
        <v/>
      </c>
      <c r="F50" s="111">
        <f>'Update Milestone'!L7</f>
        <v/>
      </c>
      <c r="G50" s="111">
        <f>'Update Milestone'!M7</f>
        <v/>
      </c>
      <c r="H50" s="111">
        <f>'Update Milestone'!N7</f>
        <v/>
      </c>
      <c r="I50" s="111">
        <f>'Update Milestone'!O7</f>
        <v/>
      </c>
    </row>
    <row r="51" ht="13.5" customHeight="1">
      <c r="A51" s="109" t="n">
        <v>40</v>
      </c>
      <c r="B51" s="113" t="inlineStr">
        <is>
          <t>EP-238</t>
        </is>
      </c>
      <c r="C51" s="111">
        <f>'Delete Milestone'!A7</f>
        <v/>
      </c>
      <c r="D51" s="111">
        <f>'Delete Milestone'!C7</f>
        <v/>
      </c>
      <c r="E51" s="111">
        <f>'Delete Milestone'!F7</f>
        <v/>
      </c>
      <c r="F51" s="111">
        <f>'Delete Milestone'!L7</f>
        <v/>
      </c>
      <c r="G51" s="111">
        <f>'Delete Milestone'!M7</f>
        <v/>
      </c>
      <c r="H51" s="111">
        <f>'Delete Milestone'!N7</f>
        <v/>
      </c>
      <c r="I51" s="111">
        <f>'Delete Milestone'!O7</f>
        <v/>
      </c>
    </row>
    <row r="52" ht="13.5" customHeight="1">
      <c r="A52" s="109" t="n"/>
      <c r="B52" s="113" t="n"/>
      <c r="C52" s="111" t="n"/>
      <c r="D52" s="111" t="n"/>
      <c r="E52" s="111" t="n"/>
      <c r="F52" s="111" t="n"/>
      <c r="G52" s="111" t="n"/>
      <c r="H52" s="111" t="n"/>
      <c r="I52" s="111" t="n"/>
    </row>
    <row r="53" ht="13.5" customHeight="1">
      <c r="A53" s="109" t="n"/>
      <c r="B53" s="113" t="inlineStr">
        <is>
          <t>Sub total</t>
        </is>
      </c>
      <c r="C53" s="111">
        <f>SUM(C12:C52)</f>
        <v/>
      </c>
      <c r="D53" s="111">
        <f>SUM(D12:D52)</f>
        <v/>
      </c>
      <c r="E53" s="111">
        <f>SUM(E12:E52)</f>
        <v/>
      </c>
      <c r="F53" s="111">
        <f>SUM(F12:F52)</f>
        <v/>
      </c>
      <c r="G53" s="111">
        <f>SUM(G12:G52)</f>
        <v/>
      </c>
      <c r="H53" s="111">
        <f>SUM(H12:H52)</f>
        <v/>
      </c>
      <c r="I53" s="111">
        <f>SUM(I12:I52)</f>
        <v/>
      </c>
    </row>
    <row r="54" ht="13.5" customHeight="1">
      <c r="A54" s="109" t="n"/>
      <c r="B54" s="113" t="n"/>
      <c r="C54" s="111" t="n"/>
      <c r="D54" s="111" t="n"/>
      <c r="E54" s="111" t="n"/>
      <c r="F54" s="111" t="n"/>
      <c r="G54" s="111" t="n"/>
      <c r="H54" s="111" t="n"/>
      <c r="I54" s="111" t="n"/>
    </row>
    <row r="55" ht="13.5" customHeight="1">
      <c r="A55" s="109" t="n"/>
      <c r="B55" s="113" t="inlineStr">
        <is>
          <t>Test coverage</t>
        </is>
      </c>
      <c r="C55" s="111" t="n"/>
      <c r="D55" s="111">
        <f>IF(I53=0,0,(C53+D53)*100/I53)</f>
        <v/>
      </c>
      <c r="E55" s="111" t="inlineStr">
        <is>
          <t>%</t>
        </is>
      </c>
      <c r="F55" s="111" t="n"/>
      <c r="G55" s="111" t="n"/>
      <c r="H55" s="111" t="n"/>
      <c r="I55" s="111" t="n"/>
    </row>
    <row r="56" ht="13.5" customHeight="1">
      <c r="A56" s="109" t="n"/>
      <c r="B56" s="113" t="inlineStr">
        <is>
          <t>Test successful coverage</t>
        </is>
      </c>
      <c r="C56" s="111" t="n"/>
      <c r="D56" s="111">
        <f>IF(I53=0,0,C53*100/I53)</f>
        <v/>
      </c>
      <c r="E56" s="111" t="inlineStr">
        <is>
          <t>%</t>
        </is>
      </c>
      <c r="F56" s="111" t="n"/>
      <c r="G56" s="111" t="n"/>
      <c r="H56" s="111" t="n"/>
      <c r="I56" s="111" t="n"/>
    </row>
    <row r="57" ht="13.5" customHeight="1">
      <c r="A57" s="109" t="n"/>
      <c r="B57" s="113" t="inlineStr">
        <is>
          <t>Normal case</t>
        </is>
      </c>
      <c r="C57" s="111" t="n"/>
      <c r="D57" s="111">
        <f>IF(I53=0,0,F53*100/I53)</f>
        <v/>
      </c>
      <c r="E57" s="111" t="inlineStr">
        <is>
          <t>%</t>
        </is>
      </c>
      <c r="F57" s="111" t="n"/>
      <c r="G57" s="111" t="n"/>
      <c r="H57" s="111" t="n"/>
      <c r="I57" s="111" t="n"/>
    </row>
    <row r="58" ht="13.5" customHeight="1">
      <c r="A58" s="109" t="n"/>
      <c r="B58" s="113" t="inlineStr">
        <is>
          <t>Abnormal case</t>
        </is>
      </c>
      <c r="C58" s="111" t="n"/>
      <c r="D58" s="111">
        <f>IF(I53=0,0,G53*100/I53)</f>
        <v/>
      </c>
      <c r="E58" s="111" t="inlineStr">
        <is>
          <t>%</t>
        </is>
      </c>
      <c r="F58" s="111" t="n"/>
      <c r="G58" s="111" t="n"/>
      <c r="H58" s="111" t="n"/>
      <c r="I58" s="111" t="n"/>
    </row>
    <row r="59" ht="13.5" customHeight="1">
      <c r="A59" s="109" t="n"/>
      <c r="B59" s="113" t="inlineStr">
        <is>
          <t>Boundary case</t>
        </is>
      </c>
      <c r="C59" s="111" t="n"/>
      <c r="D59" s="111">
        <f>IF(I53=0,0,H53*100/I53)</f>
        <v/>
      </c>
      <c r="E59" s="111" t="inlineStr">
        <is>
          <t>%</t>
        </is>
      </c>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40" customHeight="1">
      <c r="A12" s="184" t="n"/>
      <c r="B12" s="178" t="n"/>
      <c r="C12" s="179" t="n"/>
      <c r="D12" s="185" t="inlineStr">
        <is>
          <t>Authenticated user "user-1" participates in at least one active contract as client, broker, or freelancer</t>
        </is>
      </c>
      <c r="E12" s="186" t="n"/>
      <c r="F12" s="187" t="inlineStr">
        <is>
          <t>O</t>
        </is>
      </c>
      <c r="G12" s="187" t="n"/>
      <c r="H12" s="187" t="n"/>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Staff viewer "staff-1" is accepted on project "project-1"</t>
        </is>
      </c>
      <c r="E13" s="189" t="n"/>
      <c r="F13" s="182" t="n"/>
      <c r="G13" s="182" t="n"/>
      <c r="H13" s="182" t="n"/>
      <c r="I13" s="182" t="n"/>
      <c r="J13" s="187" t="inlineStr">
        <is>
          <t>O</t>
        </is>
      </c>
      <c r="K13" s="182" t="n"/>
      <c r="L13" s="182" t="n"/>
      <c r="M13" s="182" t="n"/>
      <c r="N13" s="182" t="n"/>
      <c r="O13" s="182" t="n"/>
      <c r="P13" s="182" t="n"/>
      <c r="Q13" s="182" t="n"/>
      <c r="R13" s="182" t="n"/>
      <c r="S13" s="182" t="n"/>
      <c r="T13" s="183" t="n"/>
    </row>
    <row r="14" ht="27" customHeight="1">
      <c r="A14" s="184" t="n"/>
      <c r="B14" s="178" t="n"/>
      <c r="C14" s="179" t="n"/>
      <c r="D14" s="185" t="inlineStr">
        <is>
          <t>Contract query returns one or more non-archived contracts for the authenticated user</t>
        </is>
      </c>
      <c r="E14" s="189" t="n"/>
      <c r="F14" s="187" t="inlineStr">
        <is>
          <t>O</t>
        </is>
      </c>
      <c r="G14" s="182" t="n"/>
      <c r="H14" s="182" t="n"/>
      <c r="I14" s="187" t="inlineStr">
        <is>
          <t>O</t>
        </is>
      </c>
      <c r="J14" s="187" t="inlineStr">
        <is>
          <t>O</t>
        </is>
      </c>
      <c r="K14" s="182" t="n"/>
      <c r="L14" s="182" t="n"/>
      <c r="M14" s="182" t="n"/>
      <c r="N14" s="182" t="n"/>
      <c r="O14" s="187" t="n"/>
      <c r="P14" s="187" t="n"/>
      <c r="Q14" s="182" t="n"/>
      <c r="R14" s="182" t="n"/>
      <c r="S14" s="182" t="n"/>
      <c r="T14" s="183" t="n"/>
    </row>
    <row r="15" ht="27" customHeight="1">
      <c r="A15" s="184" t="n"/>
      <c r="B15" s="178" t="n"/>
      <c r="C15" s="179" t="n"/>
      <c r="D15" s="185" t="inlineStr">
        <is>
          <t>Contract query returns no accessible contracts for the authenticated user</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Archived contracts exist in storage but must be excluded from the returned list</t>
        </is>
      </c>
      <c r="E16" s="189" t="n"/>
      <c r="F16" s="182" t="n"/>
      <c r="G16" s="182" t="n"/>
      <c r="H16" s="182" t="n"/>
      <c r="I16" s="187" t="inlineStr">
        <is>
          <t>O</t>
        </is>
      </c>
      <c r="J16" s="187" t="n"/>
      <c r="K16" s="182" t="n"/>
      <c r="L16" s="182" t="n"/>
      <c r="M16" s="182" t="n"/>
      <c r="N16" s="182" t="n"/>
      <c r="O16" s="182" t="n"/>
      <c r="P16" s="182" t="n"/>
      <c r="Q16" s="182" t="n"/>
      <c r="R16" s="182" t="n"/>
      <c r="S16" s="182" t="n"/>
      <c r="T16" s="183" t="n"/>
    </row>
    <row r="17" ht="27" customHeight="1">
      <c r="A17" s="184" t="n"/>
      <c r="B17" s="178" t="n"/>
      <c r="C17" s="179" t="n"/>
      <c r="D17" s="185" t="inlineStr">
        <is>
          <t>Contracts repository throws an unexpected error during list lookup</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userId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"user-1"</t>
        </is>
      </c>
      <c r="E19" s="189" t="n"/>
      <c r="F19" s="187" t="inlineStr">
        <is>
          <t>O</t>
        </is>
      </c>
      <c r="G19" s="187" t="inlineStr">
        <is>
          <t>O</t>
        </is>
      </c>
      <c r="H19" s="187" t="inlineStr">
        <is>
          <t>O</t>
        </is>
      </c>
      <c r="I19" s="187" t="inlineStr">
        <is>
          <t>O</t>
        </is>
      </c>
      <c r="J19" s="187" t="inlineStr">
        <is>
          <t>O</t>
        </is>
      </c>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inlineStr">
        <is>
          <t>Confirm</t>
        </is>
      </c>
      <c r="B41" s="203" t="inlineStr">
        <is>
          <t>Return</t>
        </is>
      </c>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Return contract summary list</t>
        </is>
      </c>
      <c r="E42" s="199" t="n"/>
      <c r="F42" s="187" t="inlineStr">
        <is>
          <t>O</t>
        </is>
      </c>
      <c r="G42" s="182" t="n"/>
      <c r="H42" s="182" t="n"/>
      <c r="I42" s="187" t="inlineStr">
        <is>
          <t>O</t>
        </is>
      </c>
      <c r="J42" s="187" t="inlineStr">
        <is>
          <t>O</t>
        </is>
      </c>
      <c r="K42" s="182" t="n"/>
      <c r="L42" s="182" t="n"/>
      <c r="M42" s="182" t="n"/>
      <c r="N42" s="182" t="n"/>
      <c r="O42" s="182" t="n"/>
      <c r="P42" s="182" t="n"/>
      <c r="Q42" s="182" t="n"/>
      <c r="R42" s="182" t="n"/>
      <c r="S42" s="182" t="n"/>
      <c r="T42" s="183" t="n"/>
    </row>
    <row r="43" ht="13.5" customHeight="1">
      <c r="A43" s="197" t="n"/>
      <c r="B43" s="206" t="n"/>
      <c r="C43" s="201" t="n"/>
      <c r="D43" s="207" t="inlineStr">
        <is>
          <t>Return empty array</t>
        </is>
      </c>
      <c r="E43" s="199"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Propagate repository failure</t>
        </is>
      </c>
      <c r="E45" s="199"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6" t="inlineStr">
        <is>
          <t>Verification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Filter out ARCHIVED status contracts</t>
        </is>
      </c>
      <c r="E47" s="209" t="n"/>
      <c r="F47" s="187" t="n"/>
      <c r="G47" s="182" t="n"/>
      <c r="H47" s="182" t="n"/>
      <c r="I47" s="187" t="inlineStr">
        <is>
          <t>O</t>
        </is>
      </c>
      <c r="J47" s="187" t="n"/>
      <c r="K47" s="182" t="n"/>
      <c r="L47" s="182" t="n"/>
      <c r="M47" s="182" t="n"/>
      <c r="N47" s="182" t="n"/>
      <c r="O47" s="182" t="n"/>
      <c r="P47" s="182" t="n"/>
      <c r="Q47" s="182" t="n"/>
      <c r="R47" s="182" t="n"/>
      <c r="S47" s="182" t="n"/>
      <c r="T47" s="183" t="n"/>
    </row>
    <row r="48" ht="13.5" customHeight="1">
      <c r="A48" s="197" t="n"/>
      <c r="B48" s="206" t="n"/>
      <c r="C48" s="208" t="n"/>
      <c r="D48" s="207" t="inlineStr">
        <is>
          <t>Map summary fields for list response</t>
        </is>
      </c>
      <c r="E48" s="209" t="n"/>
      <c r="F48" s="187" t="inlineStr">
        <is>
          <t>O</t>
        </is>
      </c>
      <c r="G48" s="187" t="n"/>
      <c r="H48" s="182" t="n"/>
      <c r="I48" s="187" t="inlineStr">
        <is>
          <t>O</t>
        </is>
      </c>
      <c r="J48" s="187" t="inlineStr">
        <is>
          <t>O</t>
        </is>
      </c>
      <c r="K48" s="187" t="n"/>
      <c r="L48" s="182" t="n"/>
      <c r="M48" s="182" t="n"/>
      <c r="N48" s="182" t="n"/>
      <c r="O48" s="182" t="n"/>
      <c r="P48" s="182" t="n"/>
      <c r="Q48" s="182" t="n"/>
      <c r="R48" s="182" t="n"/>
      <c r="S48" s="182" t="n"/>
      <c r="T48" s="183" t="n"/>
    </row>
    <row r="49" ht="13.5" customHeight="1">
      <c r="A49" s="197" t="n"/>
      <c r="B49" s="206" t="n"/>
      <c r="C49" s="208" t="n"/>
      <c r="D49" s="207" t="inlineStr">
        <is>
          <t>Query by current user id across participant roles</t>
        </is>
      </c>
      <c r="E49" s="209" t="n"/>
      <c r="F49" s="187" t="inlineStr">
        <is>
          <t>O</t>
        </is>
      </c>
      <c r="G49" s="187" t="inlineStr">
        <is>
          <t>O</t>
        </is>
      </c>
      <c r="H49" s="187" t="inlineStr">
        <is>
          <t>O</t>
        </is>
      </c>
      <c r="I49" s="187" t="inlineStr">
        <is>
          <t>O</t>
        </is>
      </c>
      <c r="J49" s="187" t="inlineStr">
        <is>
          <t>O</t>
        </is>
      </c>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inlineStr">
        <is>
          <t>N</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Authenticated viewer belongs to contract "contract-1"</t>
        </is>
      </c>
      <c r="E12" s="186" t="n"/>
      <c r="F12" s="187" t="inlineStr">
        <is>
          <t>O</t>
        </is>
      </c>
      <c r="G12" s="187" t="n"/>
      <c r="H12" s="187" t="n"/>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Staff viewer "staff-1" is accepted on project "project-1"</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Authenticated viewer is not a party of contract "contract-1"</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Contract "contract-1" has a stale stored contentHash</t>
        </is>
      </c>
      <c r="E15" s="189" t="n"/>
      <c r="F15" s="182" t="n"/>
      <c r="G15" s="187" t="n"/>
      <c r="H15" s="187" t="n"/>
      <c r="I15" s="187" t="inlineStr">
        <is>
          <t>O</t>
        </is>
      </c>
      <c r="J15" s="182" t="n"/>
      <c r="K15" s="182" t="n"/>
      <c r="L15" s="182" t="n"/>
      <c r="M15" s="182" t="n"/>
      <c r="N15" s="182" t="n"/>
      <c r="O15" s="182" t="n"/>
      <c r="P15" s="182" t="n"/>
      <c r="Q15" s="182" t="n"/>
      <c r="R15" s="182" t="n"/>
      <c r="S15" s="182" t="n"/>
      <c r="T15" s="183" t="n"/>
    </row>
    <row r="16" ht="27" customHeight="1">
      <c r="A16" s="184" t="n"/>
      <c r="B16" s="178" t="n"/>
      <c r="C16" s="179" t="n"/>
      <c r="D16" s="185" t="inlineStr">
        <is>
          <t>Contract lookup for "contract-1" throws an unexpected error</t>
        </is>
      </c>
      <c r="E16" s="189" t="n"/>
      <c r="F16" s="182" t="n"/>
      <c r="G16" s="182" t="n"/>
      <c r="H16" s="182" t="n"/>
      <c r="I16" s="182" t="n"/>
      <c r="J16" s="187" t="inlineStr">
        <is>
          <t>O</t>
        </is>
      </c>
      <c r="K16" s="182" t="n"/>
      <c r="L16" s="182" t="n"/>
      <c r="M16" s="182" t="n"/>
      <c r="N16" s="182" t="n"/>
      <c r="O16" s="182" t="n"/>
      <c r="P16" s="182" t="n"/>
      <c r="Q16" s="182" t="n"/>
      <c r="R16" s="182" t="n"/>
      <c r="S16" s="182" t="n"/>
      <c r="T16" s="183" t="n"/>
    </row>
    <row r="17" ht="13.5" customHeight="1">
      <c r="A17" s="184" t="n"/>
      <c r="B17" s="178" t="inlineStr">
        <is>
          <t>viewerId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"user-1"</t>
        </is>
      </c>
      <c r="E18" s="189" t="n"/>
      <c r="F18" s="187" t="inlineStr">
        <is>
          <t>O</t>
        </is>
      </c>
      <c r="G18" s="187" t="inlineStr">
        <is>
          <t>O</t>
        </is>
      </c>
      <c r="H18" s="187" t="inlineStr">
        <is>
          <t>O</t>
        </is>
      </c>
      <c r="I18" s="187" t="inlineStr">
        <is>
          <t>O</t>
        </is>
      </c>
      <c r="J18" s="187" t="inlineStr">
        <is>
          <t>O</t>
        </is>
      </c>
      <c r="K18" s="187" t="n"/>
      <c r="L18" s="187" t="n"/>
      <c r="M18" s="182" t="n"/>
      <c r="N18" s="182" t="n"/>
      <c r="O18" s="182" t="n"/>
      <c r="P18" s="182" t="n"/>
      <c r="Q18" s="182" t="n"/>
      <c r="R18" s="182" t="n"/>
      <c r="S18" s="182" t="n"/>
      <c r="T18" s="183" t="n"/>
    </row>
    <row r="19" ht="13.5" customHeight="1">
      <c r="A19" s="184" t="n"/>
      <c r="B19" s="178" t="inlineStr">
        <is>
          <t>contractId</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"contract-1"</t>
        </is>
      </c>
      <c r="E20" s="189" t="n"/>
      <c r="F20" s="187" t="inlineStr">
        <is>
          <t>O</t>
        </is>
      </c>
      <c r="G20" s="187" t="inlineStr">
        <is>
          <t>O</t>
        </is>
      </c>
      <c r="H20" s="187" t="inlineStr">
        <is>
          <t>O</t>
        </is>
      </c>
      <c r="I20" s="187" t="inlineStr">
        <is>
          <t>O</t>
        </is>
      </c>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inlineStr">
        <is>
          <t>Confirm</t>
        </is>
      </c>
      <c r="B41" s="203" t="inlineStr">
        <is>
          <t>Return</t>
        </is>
      </c>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Return hydrated contract detail</t>
        </is>
      </c>
      <c r="E42" s="199" t="n"/>
      <c r="F42" s="187" t="inlineStr">
        <is>
          <t>O</t>
        </is>
      </c>
      <c r="G42" s="187" t="inlineStr">
        <is>
          <t>O</t>
        </is>
      </c>
      <c r="H42" s="182" t="n"/>
      <c r="I42" s="187" t="inlineStr">
        <is>
          <t>O</t>
        </is>
      </c>
      <c r="J42" s="182" t="n"/>
      <c r="K42" s="182" t="n"/>
      <c r="L42" s="182" t="n"/>
      <c r="M42" s="182" t="n"/>
      <c r="N42" s="182" t="n"/>
      <c r="O42" s="182" t="n"/>
      <c r="P42" s="182" t="n"/>
      <c r="Q42" s="182" t="n"/>
      <c r="R42" s="182" t="n"/>
      <c r="S42" s="182" t="n"/>
      <c r="T42" s="183" t="n"/>
    </row>
    <row r="43" ht="13.5" customHeight="1">
      <c r="A43" s="197" t="n"/>
      <c r="B43" s="206" t="n"/>
      <c r="C43" s="201" t="n"/>
      <c r="D43" s="207" t="inlineStr">
        <is>
          <t>Include requiredSignerCount and signedCount</t>
        </is>
      </c>
      <c r="E43" s="199" t="n"/>
      <c r="F43" s="187" t="inlineStr">
        <is>
          <t>O</t>
        </is>
      </c>
      <c r="G43" s="187" t="inlineStr">
        <is>
          <t>O</t>
        </is>
      </c>
      <c r="H43" s="182" t="n"/>
      <c r="I43" s="187" t="inlineStr">
        <is>
          <t>O</t>
        </is>
      </c>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Reject unauthorized viewer</t>
        </is>
      </c>
      <c r="E45" s="199"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6" t="inlineStr">
        <is>
          <t>Verification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Self-heal stale contentHash before response</t>
        </is>
      </c>
      <c r="E47" s="209" t="n"/>
      <c r="F47" s="187" t="n"/>
      <c r="G47" s="182" t="n"/>
      <c r="H47" s="182" t="n"/>
      <c r="I47" s="187" t="inlineStr">
        <is>
          <t>O</t>
        </is>
      </c>
      <c r="J47" s="187" t="n"/>
      <c r="K47" s="182" t="n"/>
      <c r="L47" s="182" t="n"/>
      <c r="M47" s="182" t="n"/>
      <c r="N47" s="182" t="n"/>
      <c r="O47" s="182" t="n"/>
      <c r="P47" s="182" t="n"/>
      <c r="Q47" s="182" t="n"/>
      <c r="R47" s="182" t="n"/>
      <c r="S47" s="182" t="n"/>
      <c r="T47" s="183" t="n"/>
    </row>
    <row r="48" ht="13.5" customHeight="1">
      <c r="A48" s="197" t="n"/>
      <c r="B48" s="206" t="n"/>
      <c r="C48" s="208" t="n"/>
      <c r="D48" s="207" t="inlineStr">
        <is>
          <t>Assert viewer permission before return</t>
        </is>
      </c>
      <c r="E48" s="209" t="n"/>
      <c r="F48" s="187" t="inlineStr">
        <is>
          <t>O</t>
        </is>
      </c>
      <c r="G48" s="187" t="inlineStr">
        <is>
          <t>O</t>
        </is>
      </c>
      <c r="H48" s="187" t="inlineStr">
        <is>
          <t>O</t>
        </is>
      </c>
      <c r="I48" s="187" t="inlineStr">
        <is>
          <t>O</t>
        </is>
      </c>
      <c r="J48" s="182" t="n"/>
      <c r="K48" s="187" t="n"/>
      <c r="L48" s="182" t="n"/>
      <c r="M48" s="182" t="n"/>
      <c r="N48" s="182" t="n"/>
      <c r="O48" s="182" t="n"/>
      <c r="P48" s="182" t="n"/>
      <c r="Q48" s="182" t="n"/>
      <c r="R48" s="182" t="n"/>
      <c r="S48" s="182" t="n"/>
      <c r="T48" s="183" t="n"/>
    </row>
    <row r="49" ht="13.5" customHeight="1">
      <c r="A49" s="197" t="n"/>
      <c r="B49" s="206" t="n"/>
      <c r="C49" s="208" t="n"/>
      <c r="D49" s="207" t="inlineStr">
        <is>
          <t>Propagate lookup failure</t>
        </is>
      </c>
      <c r="E49" s="209" t="n"/>
      <c r="F49" s="182" t="n"/>
      <c r="G49" s="182" t="n"/>
      <c r="H49" s="187" t="n"/>
      <c r="I49" s="182" t="n"/>
      <c r="J49" s="187" t="inlineStr">
        <is>
          <t>O</t>
        </is>
      </c>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A</t>
        </is>
      </c>
      <c r="I50" s="213" t="inlineStr">
        <is>
          <t>N</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freelancerId is omitted</t>
        </is>
      </c>
      <c r="E12" s="186" t="n"/>
      <c r="F12" s="187" t="n"/>
      <c r="G12" s="187" t="inlineStr">
        <is>
          <t>O</t>
        </is>
      </c>
      <c r="H12" s="187" t="inlineStr">
        <is>
          <t>O</t>
        </is>
      </c>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Spec "spec-1" is unlocked and eligible for contract initialization</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Spec "spec-1" milestones are frozen into snapshot and contract terms</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inlineStr">
        <is>
          <t>brokerId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"broker-1"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specId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"spec-1"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freelancerId</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"freelancer-1"</t>
        </is>
      </c>
      <c r="E20" s="189" t="n"/>
      <c r="F20" s="187" t="inlineStr">
        <is>
          <t>O</t>
        </is>
      </c>
      <c r="G20" s="182" t="n"/>
      <c r="H20" s="182" t="n"/>
      <c r="I20" s="182" t="n"/>
      <c r="J20" s="182" t="n"/>
      <c r="K20" s="182" t="n"/>
      <c r="L20" s="187" t="n"/>
      <c r="M20" s="182" t="n"/>
      <c r="N20" s="187" t="n"/>
      <c r="O20" s="182" t="n"/>
      <c r="P20" s="182" t="n"/>
      <c r="Q20" s="182" t="n"/>
      <c r="R20" s="182" t="n"/>
      <c r="S20" s="182" t="n"/>
      <c r="T20" s="183" t="n"/>
    </row>
    <row r="21" ht="13.5" customHeight="1">
      <c r="A21" s="184" t="n"/>
      <c r="B21" s="178" t="inlineStr">
        <is>
          <t>freelancer</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Accepted freelancer is resolved for the request</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t="13.5" customHeight="1">
      <c r="A23" s="184" t="n"/>
      <c r="B23" s="178" t="inlineStr">
        <is>
          <t>Exception source</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Initialization fails in service</t>
        </is>
      </c>
      <c r="E24" s="189" t="n"/>
      <c r="F24" s="182" t="n"/>
      <c r="G24" s="182" t="n"/>
      <c r="H24" s="187" t="n"/>
      <c r="I24" s="187" t="inlineStr">
        <is>
          <t>O</t>
        </is>
      </c>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t="13.5" customHeight="1">
      <c r="A40" s="197" t="inlineStr">
        <is>
          <t>Confirm</t>
        </is>
      </c>
      <c r="B40" s="203" t="inlineStr">
        <is>
          <t>Return</t>
        </is>
      </c>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3" t="n"/>
      <c r="C41" s="204" t="n"/>
      <c r="D41" s="234" t="inlineStr">
        <is>
          <t>Initialize with specId and freelancerId</t>
        </is>
      </c>
      <c r="E41" s="199" t="n"/>
      <c r="F41" s="187" t="inlineStr">
        <is>
          <t>O</t>
        </is>
      </c>
      <c r="G41" s="182" t="n"/>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Initialize with specId only</t>
        </is>
      </c>
      <c r="E42" s="199" t="n"/>
      <c r="F42" s="182" t="n"/>
      <c r="G42" s="187" t="inlineStr">
        <is>
          <t>O</t>
        </is>
      </c>
      <c r="H42" s="182" t="n"/>
      <c r="I42" s="182" t="n"/>
      <c r="J42" s="182" t="n"/>
      <c r="K42" s="182" t="n"/>
      <c r="L42" s="182" t="n"/>
      <c r="M42" s="182" t="n"/>
      <c r="N42" s="182" t="n"/>
      <c r="O42" s="182" t="n"/>
      <c r="P42" s="182" t="n"/>
      <c r="Q42" s="182" t="n"/>
      <c r="R42" s="182" t="n"/>
      <c r="S42" s="182" t="n"/>
      <c r="T42" s="183" t="n"/>
    </row>
    <row r="43" ht="13.5" customHeight="1">
      <c r="A43" s="197" t="n"/>
      <c r="B43" s="206" t="inlineStr">
        <is>
          <t>Exception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Propagate initialization error</t>
        </is>
      </c>
      <c r="E44" s="199"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6" t="inlineStr">
        <is>
          <t>Verification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27" customHeight="1">
      <c r="A46" s="197" t="n"/>
      <c r="B46" s="206" t="n"/>
      <c r="C46" s="201" t="n"/>
      <c r="D46" s="207" t="inlineStr">
        <is>
          <t>Create SENT contract with frozen snapshot and contentHash</t>
        </is>
      </c>
      <c r="E46" s="199" t="n"/>
      <c r="F46" s="182" t="n"/>
      <c r="G46" s="182" t="n"/>
      <c r="H46" s="187" t="inlineStr">
        <is>
          <t>O</t>
        </is>
      </c>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Lock spec to saved contract id</t>
        </is>
      </c>
      <c r="E47" s="209" t="n"/>
      <c r="F47" s="187" t="n"/>
      <c r="G47" s="182" t="n"/>
      <c r="H47" s="187" t="inlineStr">
        <is>
          <t>O</t>
        </is>
      </c>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Emit initialized contract update and participant notice</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Service receives dto.specId + optional freelancerId</t>
        </is>
      </c>
      <c r="E49" s="209" t="n"/>
      <c r="F49" s="187" t="inlineStr">
        <is>
          <t>O</t>
        </is>
      </c>
      <c r="G49" s="187" t="inlineStr">
        <is>
          <t>O</t>
        </is>
      </c>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N</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inlineStr">
        <is>
          <t>O</t>
        </is>
      </c>
      <c r="L11" s="187" t="n"/>
      <c r="M11" s="187" t="n"/>
      <c r="N11" s="187" t="n"/>
      <c r="O11" s="187" t="n"/>
      <c r="P11" s="187" t="n"/>
      <c r="Q11" s="187" t="n"/>
      <c r="R11" s="187" t="n"/>
      <c r="S11" s="187" t="n"/>
      <c r="T11" s="188" t="n"/>
      <c r="V11" s="138" t="n"/>
    </row>
    <row r="12" ht="13.5" customHeight="1">
      <c r="A12" s="184" t="n"/>
      <c r="B12" s="178" t="n"/>
      <c r="C12" s="179" t="n"/>
      <c r="D12" s="185" t="inlineStr">
        <is>
          <t>Spec "spec-1" exists</t>
        </is>
      </c>
      <c r="E12" s="186" t="n"/>
      <c r="F12" s="187" t="inlineStr">
        <is>
          <t>O</t>
        </is>
      </c>
      <c r="G12" s="187" t="n"/>
      <c r="H12" s="187" t="inlineStr">
        <is>
          <t>O</t>
        </is>
      </c>
      <c r="I12" s="187" t="inlineStr">
        <is>
          <t>O</t>
        </is>
      </c>
      <c r="J12" s="187" t="inlineStr">
        <is>
          <t>O</t>
        </is>
      </c>
      <c r="K12" s="187" t="n"/>
      <c r="L12" s="187" t="n"/>
      <c r="M12" s="187" t="n"/>
      <c r="N12" s="187" t="n"/>
      <c r="O12" s="187" t="n"/>
      <c r="P12" s="187" t="n"/>
      <c r="Q12" s="187" t="n"/>
      <c r="R12" s="187" t="n"/>
      <c r="S12" s="187" t="n"/>
      <c r="T12" s="188" t="n"/>
    </row>
    <row r="13" ht="27" customHeight="1">
      <c r="A13" s="184" t="n"/>
      <c r="B13" s="178" t="n"/>
      <c r="C13" s="179" t="n"/>
      <c r="D13" s="185" t="inlineStr">
        <is>
          <t>Spec "spec-1" is unlocked and no active contract exists for it</t>
        </is>
      </c>
      <c r="E13" s="189" t="n"/>
      <c r="F13" s="187" t="inlineStr">
        <is>
          <t>O</t>
        </is>
      </c>
      <c r="G13" s="187" t="inlineStr">
        <is>
          <t>O</t>
        </is>
      </c>
      <c r="H13" s="182" t="n"/>
      <c r="I13" s="187" t="inlineStr">
        <is>
          <t>O</t>
        </is>
      </c>
      <c r="J13" s="187" t="inlineStr">
        <is>
          <t>O</t>
        </is>
      </c>
      <c r="K13" s="182" t="n"/>
      <c r="L13" s="182" t="n"/>
      <c r="M13" s="182" t="n"/>
      <c r="N13" s="182" t="n"/>
      <c r="O13" s="182" t="n"/>
      <c r="P13" s="182" t="n"/>
      <c r="Q13" s="182" t="n"/>
      <c r="R13" s="182" t="n"/>
      <c r="S13" s="182" t="n"/>
      <c r="T13" s="183" t="n"/>
    </row>
    <row r="14" ht="13.5" customHeight="1">
      <c r="A14" s="184" t="n"/>
      <c r="B14" s="178" t="n"/>
      <c r="C14" s="179" t="n"/>
      <c r="D14" s="185" t="inlineStr">
        <is>
          <t>Authenticated broker "broker-1" owns request "req-1"</t>
        </is>
      </c>
      <c r="E14" s="189" t="n"/>
      <c r="F14" s="187" t="inlineStr">
        <is>
          <t>O</t>
        </is>
      </c>
      <c r="G14" s="187" t="inlineStr">
        <is>
          <t>O</t>
        </is>
      </c>
      <c r="H14" s="187" t="inlineStr">
        <is>
          <t>O</t>
        </is>
      </c>
      <c r="I14" s="187" t="n"/>
      <c r="J14" s="187" t="inlineStr">
        <is>
          <t>O</t>
        </is>
      </c>
      <c r="K14" s="182" t="n"/>
      <c r="L14" s="182" t="n"/>
      <c r="M14" s="182" t="n"/>
      <c r="N14" s="182" t="n"/>
      <c r="O14" s="187" t="n"/>
      <c r="P14" s="187" t="n"/>
      <c r="Q14" s="182" t="n"/>
      <c r="R14" s="182" t="n"/>
      <c r="S14" s="182" t="n"/>
      <c r="T14" s="183" t="n"/>
    </row>
    <row r="15" ht="27" customHeight="1">
      <c r="A15" s="184" t="n"/>
      <c r="B15" s="178" t="n"/>
      <c r="C15" s="179" t="n"/>
      <c r="D15" s="185" t="inlineStr">
        <is>
          <t>Request "req-1" has accepted freelancer "freelancer-1" for phased flow</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27" customHeight="1">
      <c r="A16" s="184" t="n"/>
      <c r="B16" s="178" t="n"/>
      <c r="C16" s="179" t="n"/>
      <c r="D16" s="185" t="inlineStr">
        <is>
          <t>Contract initialization for spec "spec-1" throws an unexpected error</t>
        </is>
      </c>
      <c r="E16" s="189" t="n"/>
      <c r="F16" s="182" t="n"/>
      <c r="G16" s="182" t="n"/>
      <c r="H16" s="182" t="n"/>
      <c r="I16" s="182" t="n"/>
      <c r="J16" s="187" t="n"/>
      <c r="K16" s="187" t="inlineStr">
        <is>
          <t>O</t>
        </is>
      </c>
      <c r="L16" s="182" t="n"/>
      <c r="M16" s="182" t="n"/>
      <c r="N16" s="182" t="n"/>
      <c r="O16" s="182" t="n"/>
      <c r="P16" s="182" t="n"/>
      <c r="Q16" s="182" t="n"/>
      <c r="R16" s="182" t="n"/>
      <c r="S16" s="182" t="n"/>
      <c r="T16" s="183" t="n"/>
    </row>
    <row r="17" ht="13.5" customHeight="1">
      <c r="A17" s="184" t="n"/>
      <c r="B17" s="178" t="inlineStr">
        <is>
          <t>brokerId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"broker-1"</t>
        </is>
      </c>
      <c r="E18" s="189" t="n"/>
      <c r="F18" s="187" t="inlineStr">
        <is>
          <t>O</t>
        </is>
      </c>
      <c r="G18" s="187" t="inlineStr">
        <is>
          <t>O</t>
        </is>
      </c>
      <c r="H18" s="187" t="inlineStr">
        <is>
          <t>O</t>
        </is>
      </c>
      <c r="I18" s="187" t="inlineStr">
        <is>
          <t>O</t>
        </is>
      </c>
      <c r="J18" s="187" t="inlineStr">
        <is>
          <t>O</t>
        </is>
      </c>
      <c r="K18" s="187" t="inlineStr">
        <is>
          <t>O</t>
        </is>
      </c>
      <c r="L18" s="187" t="n"/>
      <c r="M18" s="182" t="n"/>
      <c r="N18" s="182" t="n"/>
      <c r="O18" s="182" t="n"/>
      <c r="P18" s="182" t="n"/>
      <c r="Q18" s="182" t="n"/>
      <c r="R18" s="182" t="n"/>
      <c r="S18" s="182" t="n"/>
      <c r="T18" s="183" t="n"/>
    </row>
    <row r="19" ht="13.5" customHeight="1">
      <c r="A19" s="184" t="n"/>
      <c r="B19" s="178" t="inlineStr">
        <is>
          <t>specId</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"spec-1"</t>
        </is>
      </c>
      <c r="E20" s="189" t="n"/>
      <c r="F20" s="187" t="inlineStr">
        <is>
          <t>O</t>
        </is>
      </c>
      <c r="G20" s="187" t="inlineStr">
        <is>
          <t>O</t>
        </is>
      </c>
      <c r="H20" s="187" t="inlineStr">
        <is>
          <t>O</t>
        </is>
      </c>
      <c r="I20" s="187" t="inlineStr">
        <is>
          <t>O</t>
        </is>
      </c>
      <c r="J20" s="187" t="inlineStr">
        <is>
          <t>O</t>
        </is>
      </c>
      <c r="K20" s="187" t="inlineStr">
        <is>
          <t>O</t>
        </is>
      </c>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initialized contract</t>
        </is>
      </c>
      <c r="E43" s="199"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Use path specId when calling service</t>
        </is>
      </c>
      <c r="E44" s="199" t="n"/>
      <c r="F44" s="187" t="inlineStr">
        <is>
          <t>O</t>
        </is>
      </c>
      <c r="G44" s="187" t="inlineStr">
        <is>
          <t>O</t>
        </is>
      </c>
      <c r="H44" s="187" t="inlineStr">
        <is>
          <t>O</t>
        </is>
      </c>
      <c r="I44" s="187" t="inlineStr">
        <is>
          <t>O</t>
        </is>
      </c>
      <c r="J44" s="187" t="inlineStr">
        <is>
          <t>O</t>
        </is>
      </c>
      <c r="K44" s="187" t="inlineStr">
        <is>
          <t>O</t>
        </is>
      </c>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n"/>
      <c r="C46" s="201" t="n"/>
      <c r="D46" s="207" t="inlineStr">
        <is>
          <t>Reject invalid precondition and stop initialization</t>
        </is>
      </c>
      <c r="E46" s="199" t="n"/>
      <c r="F46" s="182" t="n"/>
      <c r="G46" s="187" t="inlineStr">
        <is>
          <t>O</t>
        </is>
      </c>
      <c r="H46" s="187" t="inlineStr">
        <is>
          <t>O</t>
        </is>
      </c>
      <c r="I46" s="187" t="inlineStr">
        <is>
          <t>O</t>
        </is>
      </c>
      <c r="J46" s="187" t="inlineStr">
        <is>
          <t>O</t>
        </is>
      </c>
      <c r="K46" s="182" t="n"/>
      <c r="L46" s="182" t="n"/>
      <c r="M46" s="182" t="n"/>
      <c r="N46" s="182" t="n"/>
      <c r="O46" s="182" t="n"/>
      <c r="P46" s="182" t="n"/>
      <c r="Q46" s="182" t="n"/>
      <c r="R46" s="182" t="n"/>
      <c r="S46" s="182" t="n"/>
      <c r="T46" s="183" t="n"/>
    </row>
    <row r="47" ht="13.5" customHeight="1">
      <c r="A47" s="197" t="n"/>
      <c r="B47" s="206" t="inlineStr">
        <is>
          <t>Verification</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Create SENT contract and shell project on success</t>
        </is>
      </c>
      <c r="E48" s="209" t="n"/>
      <c r="F48" s="187" t="inlineStr">
        <is>
          <t>O</t>
        </is>
      </c>
      <c r="G48" s="187" t="n"/>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Propagate initialization failure</t>
        </is>
      </c>
      <c r="E49" s="209" t="n"/>
      <c r="F49" s="182" t="n"/>
      <c r="G49" s="182" t="n"/>
      <c r="H49" s="187" t="n"/>
      <c r="I49" s="182" t="n"/>
      <c r="J49" s="182" t="n"/>
      <c r="K49" s="187" t="inlineStr">
        <is>
          <t>O</t>
        </is>
      </c>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A</t>
        </is>
      </c>
      <c r="I50" s="213" t="inlineStr">
        <is>
          <t>A</t>
        </is>
      </c>
      <c r="J50" s="213" t="inlineStr">
        <is>
          <t>A</t>
        </is>
      </c>
      <c r="K50" s="213" t="inlineStr">
        <is>
          <t>A</t>
        </is>
      </c>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inlineStr">
        <is>
          <t>P</t>
        </is>
      </c>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v>46112</v>
      </c>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"broker-1" is available</t>
        </is>
      </c>
      <c r="E11" s="186" t="n"/>
      <c r="F11" s="187" t="inlineStr">
        <is>
          <t>O</t>
        </is>
      </c>
      <c r="G11" s="187" t="inlineStr">
        <is>
          <t>O</t>
        </is>
      </c>
      <c r="H11" s="187" t="inlineStr">
        <is>
          <t>O</t>
        </is>
      </c>
      <c r="I11" s="187" t="inlineStr">
        <is>
          <t>O</t>
        </is>
      </c>
      <c r="J11" s="187" t="inlineStr">
        <is>
          <t>O</t>
        </is>
      </c>
      <c r="K11" s="187" t="inlineStr">
        <is>
          <t>O</t>
        </is>
      </c>
      <c r="L11" s="187" t="inlineStr">
        <is>
          <t>O</t>
        </is>
      </c>
      <c r="M11" s="187" t="inlineStr">
        <is>
          <t>O</t>
        </is>
      </c>
      <c r="N11" s="187" t="inlineStr">
        <is>
          <t>O</t>
        </is>
      </c>
      <c r="O11" s="187" t="inlineStr">
        <is>
          <t>O</t>
        </is>
      </c>
      <c r="P11" s="187" t="n"/>
      <c r="Q11" s="187" t="n"/>
      <c r="R11" s="187" t="n"/>
      <c r="S11" s="187" t="n"/>
      <c r="T11" s="188" t="n"/>
      <c r="V11" s="138" t="n"/>
    </row>
    <row r="12" ht="27" customHeight="1">
      <c r="A12" s="184" t="n"/>
      <c r="B12" s="178" t="n"/>
      <c r="C12" s="179" t="n"/>
      <c r="D12" s="185" t="inlineStr">
        <is>
          <t>Contract "contract-1" and project "project-1" are loadable</t>
        </is>
      </c>
      <c r="E12" s="186" t="n"/>
      <c r="F12" s="187" t="n"/>
      <c r="G12" s="187" t="inlineStr">
        <is>
          <t>O</t>
        </is>
      </c>
      <c r="H12" s="187" t="inlineStr">
        <is>
          <t>O</t>
        </is>
      </c>
      <c r="I12" s="187" t="inlineStr">
        <is>
          <t>O</t>
        </is>
      </c>
      <c r="J12" s="187" t="inlineStr">
        <is>
          <t>O</t>
        </is>
      </c>
      <c r="K12" s="187" t="inlineStr">
        <is>
          <t>O</t>
        </is>
      </c>
      <c r="L12" s="187" t="inlineStr">
        <is>
          <t>O</t>
        </is>
      </c>
      <c r="M12" s="187" t="inlineStr">
        <is>
          <t>O</t>
        </is>
      </c>
      <c r="N12" s="187" t="inlineStr">
        <is>
          <t>O</t>
        </is>
      </c>
      <c r="O12" s="187" t="inlineStr">
        <is>
          <t>O</t>
        </is>
      </c>
      <c r="P12" s="187" t="n"/>
      <c r="Q12" s="187" t="n"/>
      <c r="R12" s="187" t="n"/>
      <c r="S12" s="187" t="n"/>
      <c r="T12" s="188" t="n"/>
    </row>
    <row r="13" ht="27" customHeight="1">
      <c r="A13" s="184" t="n"/>
      <c r="B13" s="178" t="n"/>
      <c r="C13" s="179" t="n"/>
      <c r="D13" s="185" t="inlineStr">
        <is>
          <t>Submitted contentHash is blank or contains only whitespace</t>
        </is>
      </c>
      <c r="E13" s="189" t="n"/>
      <c r="F13" s="187"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Matches latest signable content</t>
        </is>
      </c>
      <c r="E14" s="189" t="n"/>
      <c r="F14" s="187" t="n"/>
      <c r="G14" s="187" t="inlineStr">
        <is>
          <t>O</t>
        </is>
      </c>
      <c r="H14" s="187" t="inlineStr">
        <is>
          <t>O</t>
        </is>
      </c>
      <c r="I14" s="187" t="n"/>
      <c r="J14" s="187" t="inlineStr">
        <is>
          <t>O</t>
        </is>
      </c>
      <c r="K14" s="187" t="inlineStr">
        <is>
          <t>O</t>
        </is>
      </c>
      <c r="L14" s="187" t="inlineStr">
        <is>
          <t>O</t>
        </is>
      </c>
      <c r="M14" s="187" t="inlineStr">
        <is>
          <t>O</t>
        </is>
      </c>
      <c r="N14" s="187" t="inlineStr">
        <is>
          <t>O</t>
        </is>
      </c>
      <c r="O14" s="187" t="inlineStr">
        <is>
          <t>O</t>
        </is>
      </c>
      <c r="P14" s="187" t="n"/>
      <c r="Q14" s="182" t="n"/>
      <c r="R14" s="182" t="n"/>
      <c r="S14" s="182" t="n"/>
      <c r="T14" s="183" t="n"/>
    </row>
    <row r="15" ht="13.5" customHeight="1">
      <c r="A15" s="184" t="n"/>
      <c r="B15" s="178" t="n"/>
      <c r="C15" s="179" t="n"/>
      <c r="D15" s="185" t="inlineStr">
        <is>
          <t>User is a required contract party</t>
        </is>
      </c>
      <c r="E15" s="189" t="n"/>
      <c r="F15" s="182" t="n"/>
      <c r="G15" s="187" t="n"/>
      <c r="H15" s="187" t="inlineStr">
        <is>
          <t>O</t>
        </is>
      </c>
      <c r="I15" s="187" t="inlineStr">
        <is>
          <t>O</t>
        </is>
      </c>
      <c r="J15" s="187" t="inlineStr">
        <is>
          <t>O</t>
        </is>
      </c>
      <c r="K15" s="187" t="inlineStr">
        <is>
          <t>O</t>
        </is>
      </c>
      <c r="L15" s="187" t="inlineStr">
        <is>
          <t>O</t>
        </is>
      </c>
      <c r="M15" s="187" t="inlineStr">
        <is>
          <t>O</t>
        </is>
      </c>
      <c r="N15" s="187" t="inlineStr">
        <is>
          <t>O</t>
        </is>
      </c>
      <c r="O15" s="187" t="inlineStr">
        <is>
          <t>O</t>
        </is>
      </c>
      <c r="P15" s="182" t="n"/>
      <c r="Q15" s="182" t="n"/>
      <c r="R15" s="182" t="n"/>
      <c r="S15" s="182" t="n"/>
      <c r="T15" s="183" t="n"/>
    </row>
    <row r="16" ht="13.5" customHeight="1">
      <c r="A16" s="184" t="n"/>
      <c r="B16" s="178" t="n"/>
      <c r="C16" s="179" t="n"/>
      <c r="D16" s="185" t="inlineStr">
        <is>
          <t>Contract status = SENT</t>
        </is>
      </c>
      <c r="E16" s="189" t="n"/>
      <c r="F16" s="182" t="n"/>
      <c r="G16" s="182" t="n"/>
      <c r="H16" s="182" t="n"/>
      <c r="I16" s="187" t="inlineStr">
        <is>
          <t>O</t>
        </is>
      </c>
      <c r="J16" s="187" t="inlineStr">
        <is>
          <t>O</t>
        </is>
      </c>
      <c r="K16" s="187" t="inlineStr">
        <is>
          <t>O</t>
        </is>
      </c>
      <c r="L16" s="187" t="inlineStr">
        <is>
          <t>O</t>
        </is>
      </c>
      <c r="M16" s="187" t="inlineStr">
        <is>
          <t>O</t>
        </is>
      </c>
      <c r="N16" s="187" t="inlineStr">
        <is>
          <t>O</t>
        </is>
      </c>
      <c r="O16" s="187" t="inlineStr">
        <is>
          <t>O</t>
        </is>
      </c>
      <c r="P16" s="182" t="n"/>
      <c r="Q16" s="182" t="n"/>
      <c r="R16" s="182" t="n"/>
      <c r="S16" s="182" t="n"/>
      <c r="T16" s="183" t="n"/>
    </row>
    <row r="17" ht="27" customHeight="1">
      <c r="A17" s="184" t="n"/>
      <c r="B17" s="178" t="n"/>
      <c r="C17" s="179" t="n"/>
      <c r="D17" s="185" t="inlineStr">
        <is>
          <t>Contract "contract-1" is missing commercialContext or milestone snapshot</t>
        </is>
      </c>
      <c r="E17" s="189" t="n"/>
      <c r="F17" s="182" t="n"/>
      <c r="G17" s="182" t="n"/>
      <c r="H17" s="182" t="n"/>
      <c r="I17" s="182" t="n"/>
      <c r="J17" s="182" t="n"/>
      <c r="K17" s="187" t="n"/>
      <c r="L17" s="182" t="n"/>
      <c r="M17" s="187" t="inlineStr">
        <is>
          <t>O</t>
        </is>
      </c>
      <c r="N17" s="182" t="n"/>
      <c r="O17" s="182" t="n"/>
      <c r="P17" s="182" t="n"/>
      <c r="Q17" s="182" t="n"/>
      <c r="R17" s="182" t="n"/>
      <c r="S17" s="182" t="n"/>
      <c r="T17" s="183" t="n"/>
    </row>
    <row r="18" ht="13.5" customHeight="1">
      <c r="A18" s="184" t="n"/>
      <c r="B18" s="178" t="n"/>
      <c r="C18" s="179" t="n"/>
      <c r="D18" s="185" t="inlineStr">
        <is>
          <t>Digital signature already exists</t>
        </is>
      </c>
      <c r="E18" s="189" t="n"/>
      <c r="F18" s="182" t="n"/>
      <c r="G18" s="182" t="n"/>
      <c r="H18" s="182" t="n"/>
      <c r="I18" s="182" t="n"/>
      <c r="J18" s="187" t="inlineStr">
        <is>
          <t>O</t>
        </is>
      </c>
      <c r="K18" s="187" t="n"/>
      <c r="L18" s="187" t="n"/>
      <c r="M18" s="182" t="n"/>
      <c r="N18" s="182" t="n"/>
      <c r="O18" s="182" t="n"/>
      <c r="P18" s="182" t="n"/>
      <c r="Q18" s="182" t="n"/>
      <c r="R18" s="182" t="n"/>
      <c r="S18" s="182" t="n"/>
      <c r="T18" s="183" t="n"/>
    </row>
    <row r="19" ht="13.5" customHeight="1">
      <c r="A19" s="184" t="n"/>
      <c r="B19" s="178" t="n"/>
      <c r="C19" s="179" t="n"/>
      <c r="D19" s="185" t="inlineStr">
        <is>
          <t>save(DigitalSignatureEntity) raises 23505</t>
        </is>
      </c>
      <c r="E19" s="189" t="n"/>
      <c r="F19" s="182" t="n"/>
      <c r="G19" s="182" t="n"/>
      <c r="H19" s="182" t="n"/>
      <c r="I19" s="182" t="n"/>
      <c r="J19" s="182" t="n"/>
      <c r="K19" s="187" t="inlineStr">
        <is>
          <t>O</t>
        </is>
      </c>
      <c r="L19" s="182" t="n"/>
      <c r="M19" s="187" t="n"/>
      <c r="N19" s="182" t="n"/>
      <c r="O19" s="182" t="n"/>
      <c r="P19" s="182" t="n"/>
      <c r="Q19" s="182" t="n"/>
      <c r="R19" s="182" t="n"/>
      <c r="S19" s="182" t="n"/>
      <c r="T19" s="183" t="n"/>
    </row>
    <row r="20" ht="13.5" customHeight="1">
      <c r="A20" s="184" t="n"/>
      <c r="B20" s="178" t="n"/>
      <c r="C20" s="179" t="n"/>
      <c r="D20" s="185" t="inlineStr">
        <is>
          <t>Required signers still missing after save</t>
        </is>
      </c>
      <c r="E20" s="189" t="n"/>
      <c r="F20" s="182" t="n"/>
      <c r="G20" s="182" t="n"/>
      <c r="H20" s="182" t="n"/>
      <c r="I20" s="182" t="n"/>
      <c r="J20" s="182" t="n"/>
      <c r="K20" s="182" t="n"/>
      <c r="L20" s="187" t="inlineStr">
        <is>
          <t>O</t>
        </is>
      </c>
      <c r="M20" s="187" t="inlineStr">
        <is>
          <t>O</t>
        </is>
      </c>
      <c r="N20" s="187" t="n"/>
      <c r="O20" s="182" t="n"/>
      <c r="P20" s="182" t="n"/>
      <c r="Q20" s="182" t="n"/>
      <c r="R20" s="182" t="n"/>
      <c r="S20" s="182" t="n"/>
      <c r="T20" s="183" t="n"/>
    </row>
    <row r="21" ht="13.5" customHeight="1">
      <c r="A21" s="184" t="n"/>
      <c r="B21" s="178" t="n"/>
      <c r="C21" s="179" t="n"/>
      <c r="D21" s="185" t="inlineStr">
        <is>
          <t>Archive persistence unavailable</t>
        </is>
      </c>
      <c r="E21" s="189" t="n"/>
      <c r="F21" s="182" t="n"/>
      <c r="G21" s="182" t="n"/>
      <c r="H21" s="182" t="n"/>
      <c r="I21" s="182" t="n"/>
      <c r="J21" s="182" t="n"/>
      <c r="K21" s="182" t="n"/>
      <c r="L21" s="182" t="n"/>
      <c r="M21" s="182" t="n"/>
      <c r="N21" s="182" t="n"/>
      <c r="O21" s="187" t="inlineStr">
        <is>
          <t>O</t>
        </is>
      </c>
      <c r="P21" s="182" t="n"/>
      <c r="Q21" s="182" t="n"/>
      <c r="R21" s="182" t="n"/>
      <c r="S21" s="182" t="n"/>
      <c r="T21" s="183" t="n"/>
    </row>
    <row r="22" ht="13.5" customHeight="1">
      <c r="A22" s="184" t="n"/>
      <c r="B22" s="178" t="n"/>
      <c r="C22" s="179" t="n"/>
      <c r="D22" s="185" t="inlineStr">
        <is>
          <t>Current signer completes all required signatures</t>
        </is>
      </c>
      <c r="E22" s="189" t="n"/>
      <c r="F22" s="187" t="n"/>
      <c r="G22" s="182" t="n"/>
      <c r="H22" s="182" t="n"/>
      <c r="I22" s="182" t="n"/>
      <c r="J22" s="182" t="n"/>
      <c r="K22" s="182" t="n"/>
      <c r="L22" s="182" t="n"/>
      <c r="M22" s="187" t="n"/>
      <c r="N22" s="187" t="inlineStr">
        <is>
          <t>O</t>
        </is>
      </c>
      <c r="O22" s="187" t="inlineStr">
        <is>
          <t>O</t>
        </is>
      </c>
      <c r="P22" s="182" t="n"/>
      <c r="Q22" s="182" t="n"/>
      <c r="R22" s="182" t="n"/>
      <c r="S22" s="182" t="n"/>
      <c r="T22" s="183" t="n"/>
    </row>
    <row r="23" ht="13.5" customHeight="1">
      <c r="A23" s="184" t="n"/>
      <c r="B23" s="178" t="inlineStr">
        <is>
          <t>signerId</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"client-1"</t>
        </is>
      </c>
      <c r="E24" s="189" t="n"/>
      <c r="F24" s="187" t="inlineStr">
        <is>
          <t>O</t>
        </is>
      </c>
      <c r="G24" s="187" t="inlineStr">
        <is>
          <t>O</t>
        </is>
      </c>
      <c r="H24" s="187" t="inlineStr">
        <is>
          <t>O</t>
        </is>
      </c>
      <c r="I24" s="187" t="inlineStr">
        <is>
          <t>O</t>
        </is>
      </c>
      <c r="J24" s="187" t="inlineStr">
        <is>
          <t>O</t>
        </is>
      </c>
      <c r="K24" s="187" t="inlineStr">
        <is>
          <t>O</t>
        </is>
      </c>
      <c r="L24" s="187" t="inlineStr">
        <is>
          <t>O</t>
        </is>
      </c>
      <c r="M24" s="187" t="inlineStr">
        <is>
          <t>O</t>
        </is>
      </c>
      <c r="N24" s="187" t="inlineStr">
        <is>
          <t>O</t>
        </is>
      </c>
      <c r="O24" s="187" t="inlineStr">
        <is>
          <t>O</t>
        </is>
      </c>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235" t="inlineStr">
        <is>
          <t>Return Pending Signatures</t>
        </is>
      </c>
      <c r="E38" s="199" t="n"/>
      <c r="F38" s="187" t="n"/>
      <c r="G38" s="182" t="n"/>
      <c r="H38" s="182" t="n"/>
      <c r="I38" s="182" t="n"/>
      <c r="J38" s="182" t="n"/>
      <c r="K38" s="182" t="n"/>
      <c r="L38" s="187" t="inlineStr">
        <is>
          <t>O</t>
        </is>
      </c>
      <c r="M38" s="187" t="inlineStr">
        <is>
          <t>O</t>
        </is>
      </c>
      <c r="N38" s="182" t="n"/>
      <c r="O38" s="187" t="n"/>
      <c r="P38" s="182" t="n"/>
      <c r="Q38" s="182" t="n"/>
      <c r="R38" s="182" t="n"/>
      <c r="S38" s="182" t="n"/>
      <c r="T38" s="183" t="n"/>
    </row>
    <row r="39" ht="13.5" customHeight="1">
      <c r="A39" s="197" t="n"/>
      <c r="B39" s="200" t="n"/>
      <c r="C39" s="201" t="n"/>
      <c r="D39" s="207" t="inlineStr">
        <is>
          <t>Return Signed</t>
        </is>
      </c>
      <c r="E39" s="199" t="n"/>
      <c r="F39" s="182" t="n"/>
      <c r="G39" s="187" t="n"/>
      <c r="H39" s="187" t="n"/>
      <c r="I39" s="187" t="n"/>
      <c r="J39" s="187" t="n"/>
      <c r="K39" s="182" t="n"/>
      <c r="L39" s="187" t="n"/>
      <c r="M39" s="182" t="n"/>
      <c r="N39" s="187" t="inlineStr">
        <is>
          <t>O</t>
        </is>
      </c>
      <c r="O39" s="187" t="inlineStr">
        <is>
          <t>O</t>
        </is>
      </c>
      <c r="P39" s="187" t="n"/>
      <c r="Q39" s="182" t="n"/>
      <c r="R39" s="182" t="n"/>
      <c r="S39" s="182" t="n"/>
      <c r="T39" s="183" t="n"/>
    </row>
    <row r="40" ht="13.5" customHeight="1">
      <c r="A40" s="197" t="n"/>
      <c r="B40" s="203" t="inlineStr">
        <is>
          <t>Exception</t>
        </is>
      </c>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3" t="n"/>
      <c r="C41" s="204" t="n"/>
      <c r="D41" s="234" t="inlineStr">
        <is>
          <t>Throw validation / conflict / duplicate-sign error</t>
        </is>
      </c>
      <c r="E41" s="199" t="n"/>
      <c r="F41" s="187" t="inlineStr">
        <is>
          <t>O</t>
        </is>
      </c>
      <c r="G41" s="187" t="inlineStr">
        <is>
          <t>O</t>
        </is>
      </c>
      <c r="H41" s="187" t="inlineStr">
        <is>
          <t>O</t>
        </is>
      </c>
      <c r="I41" s="187" t="inlineStr">
        <is>
          <t>O</t>
        </is>
      </c>
      <c r="J41" s="187" t="inlineStr">
        <is>
          <t>O</t>
        </is>
      </c>
      <c r="K41" s="187" t="inlineStr">
        <is>
          <t>O</t>
        </is>
      </c>
      <c r="L41" s="182" t="n"/>
      <c r="M41" s="182" t="n"/>
      <c r="N41" s="182" t="n"/>
      <c r="O41" s="182" t="n"/>
      <c r="P41" s="182" t="n"/>
      <c r="Q41" s="182" t="n"/>
      <c r="R41" s="182" t="n"/>
      <c r="S41" s="182" t="n"/>
      <c r="T41" s="183" t="n"/>
    </row>
    <row r="42" ht="13.5" customHeight="1">
      <c r="A42" s="197" t="n"/>
      <c r="B42" s="206" t="inlineStr">
        <is>
          <t>Log message</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Do not open transaction for blank contentHash</t>
        </is>
      </c>
      <c r="E43" s="199"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Hydrate legacy snapshot before hash comparison</t>
        </is>
      </c>
      <c r="E44" s="199" t="n"/>
      <c r="F44" s="182" t="n"/>
      <c r="G44" s="187" t="n"/>
      <c r="H44" s="182" t="n"/>
      <c r="I44" s="182" t="n"/>
      <c r="J44" s="182" t="n"/>
      <c r="K44" s="182" t="n"/>
      <c r="L44" s="182" t="n"/>
      <c r="M44" s="187" t="inlineStr">
        <is>
          <t>O</t>
        </is>
      </c>
      <c r="N44" s="182" t="n"/>
      <c r="O44" s="182" t="n"/>
      <c r="P44" s="182" t="n"/>
      <c r="Q44" s="182" t="n"/>
      <c r="R44" s="182" t="n"/>
      <c r="S44" s="182" t="n"/>
      <c r="T44" s="183" t="n"/>
    </row>
    <row r="45" ht="13.5" customHeight="1">
      <c r="A45" s="197" t="n"/>
      <c r="B45" s="206" t="n"/>
      <c r="C45" s="201" t="n"/>
      <c r="D45" s="207" t="inlineStr">
        <is>
          <t>Save audit-only digital signature record</t>
        </is>
      </c>
      <c r="E45" s="199" t="n"/>
      <c r="F45" s="182" t="n"/>
      <c r="G45" s="182" t="n"/>
      <c r="H45" s="187" t="n"/>
      <c r="I45" s="182" t="n"/>
      <c r="J45" s="182" t="n"/>
      <c r="K45" s="182" t="n"/>
      <c r="L45" s="187" t="inlineStr">
        <is>
          <t>O</t>
        </is>
      </c>
      <c r="M45" s="187" t="inlineStr">
        <is>
          <t>O</t>
        </is>
      </c>
      <c r="N45" s="187" t="inlineStr">
        <is>
          <t>O</t>
        </is>
      </c>
      <c r="O45" s="187" t="inlineStr">
        <is>
          <t>O</t>
        </is>
      </c>
      <c r="P45" s="182" t="n"/>
      <c r="Q45" s="182" t="n"/>
      <c r="R45" s="182" t="n"/>
      <c r="S45" s="182" t="n"/>
      <c r="T45" s="183" t="n"/>
    </row>
    <row r="46" ht="13.5" customHeight="1">
      <c r="A46" s="197" t="n"/>
      <c r="B46" s="206" t="n"/>
      <c r="C46" s="201" t="n"/>
      <c r="D46" s="207" t="inlineStr">
        <is>
          <t>Capture signer IP and user-agent metadata</t>
        </is>
      </c>
      <c r="E46" s="199" t="n"/>
      <c r="F46" s="182" t="n"/>
      <c r="G46" s="182" t="n"/>
      <c r="H46" s="182" t="n"/>
      <c r="I46" s="187" t="n"/>
      <c r="J46" s="182" t="n"/>
      <c r="K46" s="182" t="n"/>
      <c r="L46" s="182" t="n"/>
      <c r="M46" s="187" t="inlineStr">
        <is>
          <t>O</t>
        </is>
      </c>
      <c r="N46" s="187" t="inlineStr">
        <is>
          <t>O</t>
        </is>
      </c>
      <c r="O46" s="187" t="inlineStr">
        <is>
          <t>O</t>
        </is>
      </c>
      <c r="P46" s="182" t="n"/>
      <c r="Q46" s="182" t="n"/>
      <c r="R46" s="182" t="n"/>
      <c r="S46" s="182" t="n"/>
      <c r="T46" s="183" t="n"/>
    </row>
    <row r="47" ht="13.5" customHeight="1">
      <c r="A47" s="197" t="n"/>
      <c r="B47" s="206" t="n"/>
      <c r="C47" s="208" t="n"/>
      <c r="D47" s="207" t="inlineStr">
        <is>
          <t>Keep contract unsigned while signers remain</t>
        </is>
      </c>
      <c r="E47" s="209" t="n"/>
      <c r="F47" s="187" t="n"/>
      <c r="G47" s="182" t="n"/>
      <c r="H47" s="182" t="n"/>
      <c r="I47" s="182" t="n"/>
      <c r="J47" s="187" t="n"/>
      <c r="K47" s="182" t="n"/>
      <c r="L47" s="187" t="inlineStr">
        <is>
          <t>O</t>
        </is>
      </c>
      <c r="M47" s="187" t="inlineStr">
        <is>
          <t>O</t>
        </is>
      </c>
      <c r="N47" s="182" t="n"/>
      <c r="O47" s="182" t="n"/>
      <c r="P47" s="182" t="n"/>
      <c r="Q47" s="182" t="n"/>
      <c r="R47" s="182" t="n"/>
      <c r="S47" s="182" t="n"/>
      <c r="T47" s="183" t="n"/>
    </row>
    <row r="48" ht="13.5" customHeight="1">
      <c r="A48" s="197" t="n"/>
      <c r="B48" s="206" t="n"/>
      <c r="C48" s="208" t="n"/>
      <c r="D48" s="207" t="inlineStr">
        <is>
          <t>Write SIGNED status, audit log, and full-sign notice</t>
        </is>
      </c>
      <c r="E48" s="209" t="n"/>
      <c r="F48" s="182" t="n"/>
      <c r="G48" s="187" t="n"/>
      <c r="H48" s="182" t="n"/>
      <c r="I48" s="182" t="n"/>
      <c r="J48" s="182" t="n"/>
      <c r="K48" s="187" t="n"/>
      <c r="L48" s="182" t="n"/>
      <c r="M48" s="182" t="n"/>
      <c r="N48" s="187" t="inlineStr">
        <is>
          <t>O</t>
        </is>
      </c>
      <c r="O48" s="182" t="n"/>
      <c r="P48" s="182" t="n"/>
      <c r="Q48" s="182" t="n"/>
      <c r="R48" s="182" t="n"/>
      <c r="S48" s="182" t="n"/>
      <c r="T48" s="183" t="n"/>
    </row>
    <row r="49" ht="13.5" customHeight="1">
      <c r="A49" s="197" t="n"/>
      <c r="B49" s="206" t="n"/>
      <c r="C49" s="208" t="n"/>
      <c r="D49" s="207" t="inlineStr">
        <is>
          <t>Still return Signed when archive persist is skipped</t>
        </is>
      </c>
      <c r="E49" s="209" t="n"/>
      <c r="F49" s="182" t="n"/>
      <c r="G49" s="182" t="n"/>
      <c r="H49" s="187" t="n"/>
      <c r="I49" s="182" t="n"/>
      <c r="J49" s="182" t="n"/>
      <c r="K49" s="182" t="n"/>
      <c r="L49" s="187" t="n"/>
      <c r="M49" s="182" t="n"/>
      <c r="N49" s="182" t="n"/>
      <c r="O49" s="187" t="inlineStr">
        <is>
          <t>O</t>
        </is>
      </c>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A</t>
        </is>
      </c>
      <c r="G50" s="213" t="inlineStr">
        <is>
          <t>A</t>
        </is>
      </c>
      <c r="H50" s="213" t="inlineStr">
        <is>
          <t>A</t>
        </is>
      </c>
      <c r="I50" s="213" t="inlineStr">
        <is>
          <t>A</t>
        </is>
      </c>
      <c r="J50" s="213" t="inlineStr">
        <is>
          <t>A</t>
        </is>
      </c>
      <c r="K50" s="213" t="inlineStr">
        <is>
          <t>A</t>
        </is>
      </c>
      <c r="L50" s="213" t="inlineStr">
        <is>
          <t>N</t>
        </is>
      </c>
      <c r="M50" s="213" t="inlineStr">
        <is>
          <t>N</t>
        </is>
      </c>
      <c r="N50" s="213" t="inlineStr">
        <is>
          <t>N</t>
        </is>
      </c>
      <c r="O50" s="213" t="inlineStr">
        <is>
          <t>A</t>
        </is>
      </c>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inlineStr">
        <is>
          <t>P</t>
        </is>
      </c>
      <c r="L51" s="218" t="inlineStr">
        <is>
          <t>P</t>
        </is>
      </c>
      <c r="M51" s="218" t="inlineStr">
        <is>
          <t>P</t>
        </is>
      </c>
      <c r="N51" s="218" t="inlineStr">
        <is>
          <t>P</t>
        </is>
      </c>
      <c r="O51" s="218" t="inlineStr">
        <is>
          <t>P</t>
        </is>
      </c>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v>46112</v>
      </c>
      <c r="L52" s="222" t="n">
        <v>46112</v>
      </c>
      <c r="M52" s="222" t="n">
        <v>46112</v>
      </c>
      <c r="N52" s="222" t="n">
        <v>46112</v>
      </c>
      <c r="O52" s="222" t="n">
        <v>46112</v>
      </c>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Contract status is DRAFT</t>
        </is>
      </c>
      <c r="E12" s="186" t="n"/>
      <c r="F12" s="187" t="inlineStr">
        <is>
          <t>O</t>
        </is>
      </c>
      <c r="G12" s="187" t="inlineStr">
        <is>
          <t>O</t>
        </is>
      </c>
      <c r="H12" s="187" t="n"/>
      <c r="I12" s="187" t="inlineStr">
        <is>
          <t>O</t>
        </is>
      </c>
      <c r="J12" s="187" t="inlineStr">
        <is>
          <t>O</t>
        </is>
      </c>
      <c r="K12" s="187" t="n"/>
      <c r="L12" s="187" t="n"/>
      <c r="M12" s="187" t="n"/>
      <c r="N12" s="187" t="n"/>
      <c r="O12" s="187" t="n"/>
      <c r="P12" s="187" t="n"/>
      <c r="Q12" s="187" t="n"/>
      <c r="R12" s="187" t="n"/>
      <c r="S12" s="187" t="n"/>
      <c r="T12" s="188" t="n"/>
    </row>
    <row r="13" ht="13.5" customHeight="1">
      <c r="A13" s="184" t="n"/>
      <c r="B13" s="178" t="n"/>
      <c r="C13" s="179" t="n"/>
      <c r="D13" s="185" t="inlineStr">
        <is>
          <t>No digital signatures exist yet</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Contract "contract-1" is already SENT and no longer editable</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Signing already started on the draft</t>
        </is>
      </c>
      <c r="E15" s="189" t="n"/>
      <c r="F15" s="182" t="n"/>
      <c r="G15" s="187" t="n"/>
      <c r="H15" s="187" t="n"/>
      <c r="I15" s="187" t="inlineStr">
        <is>
          <t>O</t>
        </is>
      </c>
      <c r="J15" s="182" t="n"/>
      <c r="K15" s="182" t="n"/>
      <c r="L15" s="182" t="n"/>
      <c r="M15" s="182" t="n"/>
      <c r="N15" s="182" t="n"/>
      <c r="O15" s="182" t="n"/>
      <c r="P15" s="182" t="n"/>
      <c r="Q15" s="182" t="n"/>
      <c r="R15" s="182" t="n"/>
      <c r="S15" s="182" t="n"/>
      <c r="T15" s="183" t="n"/>
    </row>
    <row r="16" ht="13.5" customHeight="1">
      <c r="A16" s="184" t="n"/>
      <c r="B16" s="178" t="inlineStr">
        <is>
          <t>brokerId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"broker-1"</t>
        </is>
      </c>
      <c r="E17" s="189" t="n"/>
      <c r="F17" s="187" t="inlineStr">
        <is>
          <t>O</t>
        </is>
      </c>
      <c r="G17" s="187" t="inlineStr">
        <is>
          <t>O</t>
        </is>
      </c>
      <c r="H17" s="187" t="inlineStr">
        <is>
          <t>O</t>
        </is>
      </c>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contractId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"contract-1"</t>
        </is>
      </c>
      <c r="E19" s="189" t="n"/>
      <c r="F19" s="187" t="inlineStr">
        <is>
          <t>O</t>
        </is>
      </c>
      <c r="G19" s="187" t="inlineStr">
        <is>
          <t>O</t>
        </is>
      </c>
      <c r="H19" s="187" t="inlineStr">
        <is>
          <t>O</t>
        </is>
      </c>
      <c r="I19" s="187" t="inlineStr">
        <is>
          <t>O</t>
        </is>
      </c>
      <c r="J19" s="187" t="inlineStr">
        <is>
          <t>O</t>
        </is>
      </c>
      <c r="K19" s="187" t="n"/>
      <c r="L19" s="182" t="n"/>
      <c r="M19" s="187" t="n"/>
      <c r="N19" s="182" t="n"/>
      <c r="O19" s="182" t="n"/>
      <c r="P19" s="182" t="n"/>
      <c r="Q19" s="182" t="n"/>
      <c r="R19" s="182" t="n"/>
      <c r="S19" s="182" t="n"/>
      <c r="T19" s="183" t="n"/>
    </row>
    <row r="20" ht="13.5" customHeight="1">
      <c r="A20" s="184" t="n"/>
      <c r="B20" s="178" t="inlineStr">
        <is>
          <t>request body</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title patch is provided</t>
        </is>
      </c>
      <c r="E21" s="189" t="n"/>
      <c r="F21" s="187" t="inlineStr">
        <is>
          <t>O</t>
        </is>
      </c>
      <c r="G21" s="187" t="inlineStr">
        <is>
          <t>O</t>
        </is>
      </c>
      <c r="H21" s="182" t="n"/>
      <c r="I21" s="182" t="n"/>
      <c r="J21" s="187" t="inlineStr">
        <is>
          <t>O</t>
        </is>
      </c>
      <c r="K21" s="182" t="n"/>
      <c r="L21" s="182" t="n"/>
      <c r="M21" s="182" t="n"/>
      <c r="N21" s="182" t="n"/>
      <c r="O21" s="182" t="n"/>
      <c r="P21" s="182" t="n"/>
      <c r="Q21" s="182" t="n"/>
      <c r="R21" s="182" t="n"/>
      <c r="S21" s="182" t="n"/>
      <c r="T21" s="183" t="n"/>
    </row>
    <row r="22" ht="13.5" customHeight="1">
      <c r="A22" s="184" t="n"/>
      <c r="B22" s="178" t="n"/>
      <c r="C22" s="179" t="n"/>
      <c r="D22" s="185" t="inlineStr">
        <is>
          <t>currency patch is provided</t>
        </is>
      </c>
      <c r="E22" s="189" t="n"/>
      <c r="F22" s="187" t="inlineStr">
        <is>
          <t>O</t>
        </is>
      </c>
      <c r="G22" s="187" t="inlineStr">
        <is>
          <t>O</t>
        </is>
      </c>
      <c r="H22" s="182" t="n"/>
      <c r="I22" s="182" t="n"/>
      <c r="J22" s="187" t="inlineStr">
        <is>
          <t>O</t>
        </is>
      </c>
      <c r="K22" s="182" t="n"/>
      <c r="L22" s="182" t="n"/>
      <c r="M22" s="187" t="n"/>
      <c r="N22" s="187" t="n"/>
      <c r="O22" s="182" t="n"/>
      <c r="P22" s="182" t="n"/>
      <c r="Q22" s="182" t="n"/>
      <c r="R22" s="182" t="n"/>
      <c r="S22" s="182" t="n"/>
      <c r="T22" s="183" t="n"/>
    </row>
    <row r="23" ht="13.5" customHeight="1">
      <c r="A23" s="184" t="n"/>
      <c r="B23" s="178" t="n"/>
      <c r="C23" s="179" t="n"/>
      <c r="D23" s="185" t="inlineStr">
        <is>
          <t>milestoneSnapshot patch is provided</t>
        </is>
      </c>
      <c r="E23" s="189" t="n"/>
      <c r="F23" s="187" t="inlineStr">
        <is>
          <t>O</t>
        </is>
      </c>
      <c r="G23" s="187" t="inlineStr">
        <is>
          <t>O</t>
        </is>
      </c>
      <c r="H23" s="182" t="n"/>
      <c r="I23" s="187" t="n"/>
      <c r="J23" s="187" t="inlineStr">
        <is>
          <t>O</t>
        </is>
      </c>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Update fails in service / controller</t>
        </is>
      </c>
      <c r="E25" s="189" t="n"/>
      <c r="F25" s="182" t="n"/>
      <c r="G25" s="182" t="n"/>
      <c r="H25" s="182" t="n"/>
      <c r="I25" s="182" t="n"/>
      <c r="J25" s="187" t="inlineStr">
        <is>
          <t>O</t>
        </is>
      </c>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t="13.5" customHeight="1">
      <c r="A40" s="197" t="inlineStr">
        <is>
          <t>Confirm</t>
        </is>
      </c>
      <c r="B40" s="203" t="inlineStr">
        <is>
          <t>Return</t>
        </is>
      </c>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3" t="n"/>
      <c r="C41" s="204" t="n"/>
      <c r="D41" s="234" t="inlineStr">
        <is>
          <t>Return updated draft</t>
        </is>
      </c>
      <c r="E41" s="199" t="n"/>
      <c r="F41" s="187" t="inlineStr">
        <is>
          <t>O</t>
        </is>
      </c>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Reject non-editable draft update</t>
        </is>
      </c>
      <c r="E42" s="199" t="n"/>
      <c r="F42" s="182" t="n"/>
      <c r="G42" s="182" t="n"/>
      <c r="H42" s="187" t="inlineStr">
        <is>
          <t>O</t>
        </is>
      </c>
      <c r="I42" s="187" t="inlineStr">
        <is>
          <t>O</t>
        </is>
      </c>
      <c r="J42" s="182" t="n"/>
      <c r="K42" s="182" t="n"/>
      <c r="L42" s="182" t="n"/>
      <c r="M42" s="182" t="n"/>
      <c r="N42" s="182" t="n"/>
      <c r="O42" s="182" t="n"/>
      <c r="P42" s="182" t="n"/>
      <c r="Q42" s="182" t="n"/>
      <c r="R42" s="182" t="n"/>
      <c r="S42" s="182" t="n"/>
      <c r="T42" s="183" t="n"/>
    </row>
    <row r="43" ht="13.5" customHeight="1">
      <c r="A43" s="197" t="n"/>
      <c r="B43" s="206" t="inlineStr">
        <is>
          <t>Exception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Propagate draft update error</t>
        </is>
      </c>
      <c r="E44" s="199" t="n"/>
      <c r="F44" s="182" t="n"/>
      <c r="G44" s="187" t="n"/>
      <c r="H44" s="182" t="n"/>
      <c r="I44" s="182" t="n"/>
      <c r="J44" s="187" t="inlineStr">
        <is>
          <t>O</t>
        </is>
      </c>
      <c r="K44" s="182" t="n"/>
      <c r="L44" s="182" t="n"/>
      <c r="M44" s="182" t="n"/>
      <c r="N44" s="182" t="n"/>
      <c r="O44" s="182" t="n"/>
      <c r="P44" s="182" t="n"/>
      <c r="Q44" s="182" t="n"/>
      <c r="R44" s="182" t="n"/>
      <c r="S44" s="182" t="n"/>
      <c r="T44" s="183" t="n"/>
    </row>
    <row r="45" ht="13.5" customHeight="1">
      <c r="A45" s="197" t="n"/>
      <c r="B45" s="206" t="inlineStr">
        <is>
          <t>Verification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n"/>
      <c r="C46" s="201" t="n"/>
      <c r="D46" s="207" t="inlineStr">
        <is>
          <t>Service receives user, id, and dto</t>
        </is>
      </c>
      <c r="E46" s="199" t="n"/>
      <c r="F46" s="187" t="inlineStr">
        <is>
          <t>O</t>
        </is>
      </c>
      <c r="G46" s="182" t="n"/>
      <c r="H46" s="182" t="n"/>
      <c r="I46" s="187" t="n"/>
      <c r="J46" s="187" t="inlineStr">
        <is>
          <t>O</t>
        </is>
      </c>
      <c r="K46" s="182" t="n"/>
      <c r="L46" s="182" t="n"/>
      <c r="M46" s="182" t="n"/>
      <c r="N46" s="182" t="n"/>
      <c r="O46" s="182" t="n"/>
      <c r="P46" s="182" t="n"/>
      <c r="Q46" s="182" t="n"/>
      <c r="R46" s="182" t="n"/>
      <c r="S46" s="182" t="n"/>
      <c r="T46" s="183" t="n"/>
    </row>
    <row r="47" ht="13.5" customHeight="1">
      <c r="A47" s="197" t="n"/>
      <c r="B47" s="206" t="n"/>
      <c r="C47" s="208" t="n"/>
      <c r="D47" s="207" t="inlineStr">
        <is>
          <t>Rebuild terms, commercialContext, and contentHash</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Reset signature provider / legal progress</t>
        </is>
      </c>
      <c r="E48" s="209" t="n"/>
      <c r="F48" s="182" t="n"/>
      <c r="G48" s="187" t="inlineStr">
        <is>
          <t>O</t>
        </is>
      </c>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Update shell project currency and totalBudget</t>
        </is>
      </c>
      <c r="E49" s="209" t="n"/>
      <c r="F49" s="182" t="n"/>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Contract status is DRAFT</t>
        </is>
      </c>
      <c r="E12" s="186" t="n"/>
      <c r="F12" s="187" t="inlineStr">
        <is>
          <t>O</t>
        </is>
      </c>
      <c r="G12" s="187" t="inlineStr">
        <is>
          <t>O</t>
        </is>
      </c>
      <c r="H12" s="187" t="n"/>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No signatures exist before sending</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Snapshot / commercialContext are valid for signing</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Contract is not DRAFT anymore</t>
        </is>
      </c>
      <c r="E15" s="189" t="n"/>
      <c r="F15" s="182" t="n"/>
      <c r="G15" s="187" t="n"/>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brokerId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"broker-1"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contractId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"contract-1"</t>
        </is>
      </c>
      <c r="E19" s="189" t="n"/>
      <c r="F19" s="187" t="inlineStr">
        <is>
          <t>O</t>
        </is>
      </c>
      <c r="G19" s="187" t="inlineStr">
        <is>
          <t>O</t>
        </is>
      </c>
      <c r="H19" s="187" t="inlineStr">
        <is>
          <t>O</t>
        </is>
      </c>
      <c r="I19" s="187" t="inlineStr">
        <is>
          <t>O</t>
        </is>
      </c>
      <c r="J19" s="182" t="n"/>
      <c r="K19" s="187" t="n"/>
      <c r="L19" s="182" t="n"/>
      <c r="M19" s="187" t="n"/>
      <c r="N19" s="182" t="n"/>
      <c r="O19" s="182" t="n"/>
      <c r="P19" s="182" t="n"/>
      <c r="Q19" s="182" t="n"/>
      <c r="R19" s="182" t="n"/>
      <c r="S19" s="182" t="n"/>
      <c r="T19" s="183" t="n"/>
    </row>
    <row r="20" ht="13.5" customHeight="1">
      <c r="A20" s="184" t="n"/>
      <c r="B20" s="178" t="inlineStr">
        <is>
          <t>Exception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Send draft fails in service / controller</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inlineStr">
        <is>
          <t>Confirm</t>
        </is>
      </c>
      <c r="B41" s="203" t="inlineStr">
        <is>
          <t>Return</t>
        </is>
      </c>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Return sent draft result</t>
        </is>
      </c>
      <c r="E42" s="199" t="n"/>
      <c r="F42" s="187" t="inlineStr">
        <is>
          <t>O</t>
        </is>
      </c>
      <c r="G42" s="187" t="inlineStr">
        <is>
          <t>O</t>
        </is>
      </c>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Reject non-DRAFT contract send</t>
        </is>
      </c>
      <c r="E43" s="199"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Propagate send draft error</t>
        </is>
      </c>
      <c r="E45" s="199" t="n"/>
      <c r="F45" s="182" t="n"/>
      <c r="G45" s="182" t="n"/>
      <c r="H45" s="187" t="n"/>
      <c r="I45" s="187" t="inlineStr">
        <is>
          <t>O</t>
        </is>
      </c>
      <c r="J45" s="182" t="n"/>
      <c r="K45" s="182" t="n"/>
      <c r="L45" s="182" t="n"/>
      <c r="M45" s="182" t="n"/>
      <c r="N45" s="182" t="n"/>
      <c r="O45" s="182" t="n"/>
      <c r="P45" s="182" t="n"/>
      <c r="Q45" s="182" t="n"/>
      <c r="R45" s="182" t="n"/>
      <c r="S45" s="182" t="n"/>
      <c r="T45" s="183" t="n"/>
    </row>
    <row r="46" ht="13.5" customHeight="1">
      <c r="A46" s="197" t="n"/>
      <c r="B46" s="206" t="inlineStr">
        <is>
          <t>Log message</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Recompute terms and contentHash, then set status SENT</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Emit sent-for-signing update + participant notice</t>
        </is>
      </c>
      <c r="E48" s="209" t="n"/>
      <c r="F48" s="182" t="n"/>
      <c r="G48" s="187" t="inlineStr">
        <is>
          <t>O</t>
        </is>
      </c>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Service receives user and id</t>
        </is>
      </c>
      <c r="E49" s="209" t="n"/>
      <c r="F49" s="187" t="inlineStr">
        <is>
          <t>O</t>
        </is>
      </c>
      <c r="G49" s="182" t="n"/>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Contract "contract-1" is DRAFT or still SENT with zero signatures</t>
        </is>
      </c>
      <c r="E12" s="186" t="n"/>
      <c r="F12" s="187" t="n"/>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Linked project can be canceled</t>
        </is>
      </c>
      <c r="E13" s="189" t="n"/>
      <c r="F13" s="182" t="n"/>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inlineStr">
        <is>
          <t>brokerId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"broker-1"</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contractId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spec lock</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sourceSpec lock matches this contract</t>
        </is>
      </c>
      <c r="E19" s="189" t="n"/>
      <c r="F19" s="182" t="n"/>
      <c r="G19" s="182" t="n"/>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Exception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Discard fails in service / controller</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t="13.5" customHeight="1">
      <c r="A40" s="197" t="inlineStr">
        <is>
          <t>Confirm</t>
        </is>
      </c>
      <c r="B40" s="203" t="inlineStr">
        <is>
          <t>Return</t>
        </is>
      </c>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3" t="n"/>
      <c r="C41" s="204" t="n"/>
      <c r="D41" s="234" t="inlineStr">
        <is>
          <t>Return archived draft result</t>
        </is>
      </c>
      <c r="E41" s="199" t="n"/>
      <c r="F41" s="187" t="inlineStr">
        <is>
          <t>O</t>
        </is>
      </c>
      <c r="G41" s="187" t="inlineStr">
        <is>
          <t>O</t>
        </is>
      </c>
      <c r="H41" s="187" t="inlineStr">
        <is>
          <t>O</t>
        </is>
      </c>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Propagate discard error</t>
        </is>
      </c>
      <c r="E42" s="199" t="n"/>
      <c r="F42" s="182" t="n"/>
      <c r="G42" s="182" t="n"/>
      <c r="H42" s="182" t="n"/>
      <c r="I42" s="187" t="inlineStr">
        <is>
          <t>O</t>
        </is>
      </c>
      <c r="J42" s="182" t="n"/>
      <c r="K42" s="182" t="n"/>
      <c r="L42" s="182" t="n"/>
      <c r="M42" s="182" t="n"/>
      <c r="N42" s="182" t="n"/>
      <c r="O42" s="182" t="n"/>
      <c r="P42" s="182" t="n"/>
      <c r="Q42" s="182" t="n"/>
      <c r="R42" s="182" t="n"/>
      <c r="S42" s="182" t="n"/>
      <c r="T42" s="183" t="n"/>
    </row>
    <row r="43" ht="13.5" customHeight="1">
      <c r="A43" s="197" t="n"/>
      <c r="B43" s="206" t="inlineStr">
        <is>
          <t>Exception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idden="1" ht="13.5" customHeight="1">
      <c r="A44" s="197" t="n"/>
      <c r="B44" s="206" t="n"/>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inlineStr">
        <is>
          <t>Log message</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n"/>
      <c r="C46" s="201" t="n"/>
      <c r="D46" s="207" t="inlineStr">
        <is>
          <t>Set contract status ARCHIVED and reset legal progress</t>
        </is>
      </c>
      <c r="E46" s="199" t="n"/>
      <c r="F46" s="182" t="n"/>
      <c r="G46" s="187" t="inlineStr">
        <is>
          <t>O</t>
        </is>
      </c>
      <c r="H46" s="187" t="inlineStr">
        <is>
          <t>O</t>
        </is>
      </c>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Cancel shell project</t>
        </is>
      </c>
      <c r="E47" s="209" t="n"/>
      <c r="F47" s="187" t="n"/>
      <c r="G47" s="187" t="inlineStr">
        <is>
          <t>O</t>
        </is>
      </c>
      <c r="H47" s="187" t="inlineStr">
        <is>
          <t>O</t>
        </is>
      </c>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Unlock source spec when lock matches contract id</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Service receives user and id</t>
        </is>
      </c>
      <c r="E49" s="209" t="n"/>
      <c r="F49" s="187" t="inlineStr">
        <is>
          <t>O</t>
        </is>
      </c>
      <c r="G49" s="182" t="n"/>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N</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contract party "client-1"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Contract is SIGNED + legally verified</t>
        </is>
      </c>
      <c r="E12" s="186" t="n"/>
      <c r="F12" s="187" t="n"/>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All required parties have signed</t>
        </is>
      </c>
      <c r="E13" s="189" t="n"/>
      <c r="F13" s="182" t="n"/>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No existing milestones or they match snapshot</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Existing project milestones are stale vs snapshot</t>
        </is>
      </c>
      <c r="E15" s="189" t="n"/>
      <c r="F15" s="182" t="n"/>
      <c r="G15" s="187" t="n"/>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userId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"user-1"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contractId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"contract-1"</t>
        </is>
      </c>
      <c r="E19" s="189" t="n"/>
      <c r="F19" s="187" t="inlineStr">
        <is>
          <t>O</t>
        </is>
      </c>
      <c r="G19" s="187" t="inlineStr">
        <is>
          <t>O</t>
        </is>
      </c>
      <c r="H19" s="187" t="inlineStr">
        <is>
          <t>O</t>
        </is>
      </c>
      <c r="I19" s="187" t="inlineStr">
        <is>
          <t>O</t>
        </is>
      </c>
      <c r="J19" s="182" t="n"/>
      <c r="K19" s="187" t="n"/>
      <c r="L19" s="182" t="n"/>
      <c r="M19" s="187" t="n"/>
      <c r="N19" s="182" t="n"/>
      <c r="O19" s="182" t="n"/>
      <c r="P19" s="182" t="n"/>
      <c r="Q19" s="182" t="n"/>
      <c r="R19" s="182" t="n"/>
      <c r="S19" s="182" t="n"/>
      <c r="T19" s="183" t="n"/>
    </row>
    <row r="20" ht="13.5" customHeight="1">
      <c r="A20" s="184" t="n"/>
      <c r="B20" s="178" t="inlineStr">
        <is>
          <t>Exception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Activation fails in service / controller</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inlineStr">
        <is>
          <t>Confirm</t>
        </is>
      </c>
      <c r="B41" s="203" t="inlineStr">
        <is>
          <t>Return</t>
        </is>
      </c>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Return activated project result</t>
        </is>
      </c>
      <c r="E42" s="199" t="n"/>
      <c r="F42" s="187" t="inlineStr">
        <is>
          <t>O</t>
        </is>
      </c>
      <c r="G42" s="187" t="inlineStr">
        <is>
          <t>O</t>
        </is>
      </c>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Fail fast on stale milestone mismatch</t>
        </is>
      </c>
      <c r="E43" s="199"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Propagate activation error</t>
        </is>
      </c>
      <c r="E45" s="199" t="n"/>
      <c r="F45" s="182" t="n"/>
      <c r="G45" s="182" t="n"/>
      <c r="H45" s="187" t="n"/>
      <c r="I45" s="187" t="inlineStr">
        <is>
          <t>O</t>
        </is>
      </c>
      <c r="J45" s="182" t="n"/>
      <c r="K45" s="182" t="n"/>
      <c r="L45" s="182" t="n"/>
      <c r="M45" s="182" t="n"/>
      <c r="N45" s="182" t="n"/>
      <c r="O45" s="182" t="n"/>
      <c r="P45" s="182" t="n"/>
      <c r="Q45" s="182" t="n"/>
      <c r="R45" s="182" t="n"/>
      <c r="S45" s="182" t="n"/>
      <c r="T45" s="183" t="n"/>
    </row>
    <row r="46" ht="13.5" customHeight="1">
      <c r="A46" s="197" t="n"/>
      <c r="B46" s="206" t="inlineStr">
        <is>
          <t>Log message</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Clone runtime milestones + create escrows from snapshot</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Set project IN_PROGRESS + contract ACTIVATED</t>
        </is>
      </c>
      <c r="E48" s="209" t="n"/>
      <c r="F48" s="182" t="n"/>
      <c r="G48" s="187" t="inlineStr">
        <is>
          <t>O</t>
        </is>
      </c>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Service receives user and contractId</t>
        </is>
      </c>
      <c r="E49" s="209" t="n"/>
      <c r="F49" s="187" t="inlineStr">
        <is>
          <t>O</t>
        </is>
      </c>
      <c r="G49" s="182" t="n"/>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Response object supports set + end</t>
        </is>
      </c>
      <c r="E12" s="186" t="n"/>
      <c r="F12" s="187" t="inlineStr">
        <is>
          <t>O</t>
        </is>
      </c>
      <c r="G12" s="187" t="n"/>
      <c r="H12" s="187" t="n"/>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Archived PDF artifact exists for contract "contract-1" and is downloadable</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Archive artifact is missing so dynamic rendering is required</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inlineStr">
        <is>
          <t>userId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"user-1"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contractId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"contract-1"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Exception source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PDF generation fails before response write</t>
        </is>
      </c>
      <c r="E20" s="189" t="n"/>
      <c r="F20" s="182" t="n"/>
      <c r="G20" s="182" t="n"/>
      <c r="H20" s="182" t="n"/>
      <c r="I20" s="187" t="inlineStr">
        <is>
          <t>O</t>
        </is>
      </c>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inlineStr">
        <is>
          <t>Confirm</t>
        </is>
      </c>
      <c r="B41" s="203" t="inlineStr">
        <is>
          <t>Return</t>
        </is>
      </c>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Set PDF attachment headers and end response buffer</t>
        </is>
      </c>
      <c r="E42" s="199" t="n"/>
      <c r="F42" s="187" t="inlineStr">
        <is>
          <t>O</t>
        </is>
      </c>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archived PDF buffer</t>
        </is>
      </c>
      <c r="E43" s="199"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Propagate pdf generation error</t>
        </is>
      </c>
      <c r="E45" s="199" t="n"/>
      <c r="F45" s="182" t="n"/>
      <c r="G45" s="182" t="n"/>
      <c r="H45" s="187" t="n"/>
      <c r="I45" s="187" t="inlineStr">
        <is>
          <t>O</t>
        </is>
      </c>
      <c r="J45" s="182" t="n"/>
      <c r="K45" s="182" t="n"/>
      <c r="L45" s="182" t="n"/>
      <c r="M45" s="182" t="n"/>
      <c r="N45" s="182" t="n"/>
      <c r="O45" s="182" t="n"/>
      <c r="P45" s="182" t="n"/>
      <c r="Q45" s="182" t="n"/>
      <c r="R45" s="182" t="n"/>
      <c r="S45" s="182" t="n"/>
      <c r="T45" s="183" t="n"/>
    </row>
    <row r="46" ht="13.5" customHeight="1">
      <c r="A46" s="197" t="n"/>
      <c r="B46" s="206" t="inlineStr">
        <is>
          <t>Verification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Fallback to dynamic PDF rendering</t>
        </is>
      </c>
      <c r="E47" s="209" t="n"/>
      <c r="F47" s="187" t="n"/>
      <c r="G47" s="182" t="n"/>
      <c r="H47" s="187" t="inlineStr">
        <is>
          <t>O</t>
        </is>
      </c>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Do not write response when service fails</t>
        </is>
      </c>
      <c r="E48" s="209" t="n"/>
      <c r="F48" s="182" t="n"/>
      <c r="G48" s="187" t="n"/>
      <c r="H48" s="182" t="n"/>
      <c r="I48" s="187" t="inlineStr">
        <is>
          <t>O</t>
        </is>
      </c>
      <c r="J48" s="182" t="n"/>
      <c r="K48" s="187" t="n"/>
      <c r="L48" s="182" t="n"/>
      <c r="M48" s="182" t="n"/>
      <c r="N48" s="182" t="n"/>
      <c r="O48" s="182" t="n"/>
      <c r="P48" s="182" t="n"/>
      <c r="Q48" s="182" t="n"/>
      <c r="R48" s="182" t="n"/>
      <c r="S48" s="182" t="n"/>
      <c r="T48" s="183" t="n"/>
    </row>
    <row r="49" ht="13.5" customHeight="1">
      <c r="A49" s="197" t="n"/>
      <c r="B49" s="206" t="n"/>
      <c r="C49" s="208" t="n"/>
      <c r="D49" s="207" t="inlineStr">
        <is>
          <t>Service receives user and contractId</t>
        </is>
      </c>
      <c r="E49" s="209" t="n"/>
      <c r="F49" s="187" t="inlineStr">
        <is>
          <t>O</t>
        </is>
      </c>
      <c r="G49" s="182" t="n"/>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N</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/payment-methods with executed evidence for masked bank output, vaulted PayPal email fallback, empty-list handling, and unsupported-role rejection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User has a saved bank account method</t>
        </is>
      </c>
      <c r="E14" s="189" t="n"/>
      <c r="F14" s="187" t="inlineStr">
        <is>
          <t>O</t>
        </is>
      </c>
      <c r="G14" s="182" t="n"/>
      <c r="H14" s="182" t="n"/>
      <c r="I14" s="187" t="n"/>
      <c r="J14" s="182" t="n"/>
      <c r="K14" s="182" t="n"/>
      <c r="L14" s="182" t="n"/>
      <c r="M14" s="182" t="n"/>
      <c r="N14" s="182" t="n"/>
      <c r="O14" s="187" t="n"/>
      <c r="P14" s="187" t="n"/>
      <c r="Q14" s="182" t="n"/>
      <c r="R14" s="182" t="n"/>
      <c r="S14" s="182" t="n"/>
      <c r="T14" s="183" t="n"/>
    </row>
    <row r="15" ht="27" customHeight="1">
      <c r="A15" s="184" t="n"/>
      <c r="B15" s="178" t="n"/>
      <c r="C15" s="179" t="n"/>
      <c r="D15" s="185" t="inlineStr">
        <is>
          <t>User has a vaulted PayPal method with metadata email only</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User has no saved payment methods</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brokerId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"broker-1"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inlineStr">
        <is>
          <t>Confirm</t>
        </is>
      </c>
      <c r="B41" s="203" t="inlineStr">
        <is>
          <t>Return</t>
        </is>
      </c>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returns saved payment method list</t>
        </is>
      </c>
      <c r="E42" s="199" t="n"/>
      <c r="F42" s="187" t="inlineStr">
        <is>
          <t>O</t>
        </is>
      </c>
      <c r="G42" s="187" t="inlineStr">
        <is>
          <t>O</t>
        </is>
      </c>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returns empty array</t>
        </is>
      </c>
      <c r="E43" s="199"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ForbiddenException: unsupported role cannot list payment methods</t>
        </is>
      </c>
      <c r="E45" s="199" t="n"/>
      <c r="F45" s="182" t="n"/>
      <c r="G45" s="182" t="n"/>
      <c r="H45" s="187" t="n"/>
      <c r="I45" s="187" t="inlineStr">
        <is>
          <t>O</t>
        </is>
      </c>
      <c r="J45" s="182" t="n"/>
      <c r="K45" s="182" t="n"/>
      <c r="L45" s="182" t="n"/>
      <c r="M45" s="182" t="n"/>
      <c r="N45" s="182" t="n"/>
      <c r="O45" s="182" t="n"/>
      <c r="P45" s="182" t="n"/>
      <c r="Q45" s="182" t="n"/>
      <c r="R45" s="182" t="n"/>
      <c r="S45" s="182" t="n"/>
      <c r="T45" s="183" t="n"/>
    </row>
    <row r="46" ht="13.5" customHeight="1">
      <c r="A46" s="197" t="n"/>
      <c r="B46" s="206" t="inlineStr">
        <is>
          <t>Verification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masks bank account numbers in the response payload</t>
        </is>
      </c>
      <c r="E47" s="209" t="n"/>
      <c r="F47" s="187" t="inlineStr">
        <is>
          <t>O</t>
        </is>
      </c>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falls back to vaulted payer email when paypalEmail is empty</t>
        </is>
      </c>
      <c r="E48" s="209" t="n"/>
      <c r="F48" s="182" t="n"/>
      <c r="G48" s="187" t="inlineStr">
        <is>
          <t>O</t>
        </is>
      </c>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calls listForUser with authenticated user.id</t>
        </is>
      </c>
      <c r="E49" s="209" t="n"/>
      <c r="F49" s="187" t="inlineStr">
        <is>
          <t>O</t>
        </is>
      </c>
      <c r="G49" s="187" t="inlineStr">
        <is>
          <t>O</t>
        </is>
      </c>
      <c r="H49" s="187" t="inlineStr">
        <is>
          <t>O</t>
        </is>
      </c>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B</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POST /payment-methods with executed evidence for first-method default promotion, card creation, invalid card expiry, incomplete bank payload rejection, and unsupported-role blocking.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inlineStr">
        <is>
          <t>O</t>
        </is>
      </c>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2" t="n"/>
      <c r="I13" s="182" t="n"/>
      <c r="J13" s="187" t="inlineStr">
        <is>
          <t>O</t>
        </is>
      </c>
      <c r="K13" s="182" t="n"/>
      <c r="L13" s="182" t="n"/>
      <c r="M13" s="182" t="n"/>
      <c r="N13" s="182" t="n"/>
      <c r="O13" s="182" t="n"/>
      <c r="P13" s="182" t="n"/>
      <c r="Q13" s="182" t="n"/>
      <c r="R13" s="182" t="n"/>
      <c r="S13" s="182" t="n"/>
      <c r="T13" s="183" t="n"/>
    </row>
    <row r="14" ht="13.5" customHeight="1">
      <c r="A14" s="184" t="n"/>
      <c r="B14" s="178" t="n"/>
      <c r="C14" s="179" t="n"/>
      <c r="D14" s="185" t="inlineStr">
        <is>
          <t>Payload type is PAYPAL_ACCOUNT</t>
        </is>
      </c>
      <c r="E14" s="189" t="n"/>
      <c r="F14" s="187" t="inlineStr">
        <is>
          <t>O</t>
        </is>
      </c>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Payload type is CARD_ACCOUNT</t>
        </is>
      </c>
      <c r="E15" s="189" t="n"/>
      <c r="F15" s="182" t="n"/>
      <c r="G15" s="187" t="inlineStr">
        <is>
          <t>O</t>
        </is>
      </c>
      <c r="H15" s="187" t="inlineStr">
        <is>
          <t>O</t>
        </is>
      </c>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Payload type is BANK_ACCOUNT with incomplete required fields</t>
        </is>
      </c>
      <c r="E16" s="189" t="n"/>
      <c r="F16" s="182" t="n"/>
      <c r="G16" s="182" t="n"/>
      <c r="H16" s="182" t="n"/>
      <c r="I16" s="187" t="inlineStr">
        <is>
          <t>O</t>
        </is>
      </c>
      <c r="J16" s="187" t="n"/>
      <c r="K16" s="182" t="n"/>
      <c r="L16" s="182" t="n"/>
      <c r="M16" s="182" t="n"/>
      <c r="N16" s="182" t="n"/>
      <c r="O16" s="182" t="n"/>
      <c r="P16" s="182" t="n"/>
      <c r="Q16" s="182" t="n"/>
      <c r="R16" s="182" t="n"/>
      <c r="S16" s="182" t="n"/>
      <c r="T16" s="183" t="n"/>
    </row>
    <row r="17" ht="13.5" customHeight="1">
      <c r="A17" s="184" t="n"/>
      <c r="B17" s="178" t="inlineStr">
        <is>
          <t>brokerId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"broker-1"</t>
        </is>
      </c>
      <c r="E18" s="189" t="n"/>
      <c r="F18" s="187" t="inlineStr">
        <is>
          <t>O</t>
        </is>
      </c>
      <c r="G18" s="187" t="inlineStr">
        <is>
          <t>O</t>
        </is>
      </c>
      <c r="H18" s="187" t="inlineStr">
        <is>
          <t>O</t>
        </is>
      </c>
      <c r="I18" s="187" t="inlineStr">
        <is>
          <t>O</t>
        </is>
      </c>
      <c r="J18" s="187" t="inlineStr">
        <is>
          <t>O</t>
        </is>
      </c>
      <c r="K18" s="187" t="n"/>
      <c r="L18" s="187" t="n"/>
      <c r="M18" s="182" t="n"/>
      <c r="N18" s="182" t="n"/>
      <c r="O18" s="182" t="n"/>
      <c r="P18" s="182" t="n"/>
      <c r="Q18" s="182" t="n"/>
      <c r="R18" s="182" t="n"/>
      <c r="S18" s="182" t="n"/>
      <c r="T18" s="183" t="n"/>
    </row>
    <row r="19" ht="13.5" customHeight="1">
      <c r="A19" s="184" t="n"/>
      <c r="B19" s="178" t="inlineStr">
        <is>
          <t>default rule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This is the first saved method for the user</t>
        </is>
      </c>
      <c r="E20" s="189" t="n"/>
      <c r="F20" s="187" t="inlineStr">
        <is>
          <t>O</t>
        </is>
      </c>
      <c r="G20" s="182" t="n"/>
      <c r="H20" s="182" t="n"/>
      <c r="I20" s="182" t="n"/>
      <c r="J20" s="182" t="n"/>
      <c r="K20" s="182" t="n"/>
      <c r="L20" s="187" t="n"/>
      <c r="M20" s="182" t="n"/>
      <c r="N20" s="187" t="n"/>
      <c r="O20" s="182" t="n"/>
      <c r="P20" s="182" t="n"/>
      <c r="Q20" s="182" t="n"/>
      <c r="R20" s="182" t="n"/>
      <c r="S20" s="182" t="n"/>
      <c r="T20" s="183" t="n"/>
    </row>
    <row r="21" ht="13.5" customHeight="1">
      <c r="A21" s="184" t="n"/>
      <c r="B21" s="178" t="inlineStr">
        <is>
          <t>card expiry</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Card expiry month/year is already expired</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t="13.5" customHeight="1">
      <c r="A39" s="197" t="inlineStr">
        <is>
          <t>Confirm</t>
        </is>
      </c>
      <c r="B39" s="200" t="inlineStr">
        <is>
          <t>Return</t>
        </is>
      </c>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3" t="n"/>
      <c r="C40" s="204" t="n"/>
      <c r="D40" s="234" t="inlineStr">
        <is>
          <t>returns created PayPal method with isDefault = TRUE</t>
        </is>
      </c>
      <c r="E40" s="199" t="n"/>
      <c r="F40" s="187" t="inlineStr">
        <is>
          <t>O</t>
        </is>
      </c>
      <c r="G40" s="182" t="n"/>
      <c r="H40" s="182" t="n"/>
      <c r="I40" s="182" t="n"/>
      <c r="J40" s="182" t="n"/>
      <c r="K40" s="182" t="n"/>
      <c r="L40" s="182" t="n"/>
      <c r="M40" s="182" t="n"/>
      <c r="N40" s="182" t="n"/>
      <c r="O40" s="182" t="n"/>
      <c r="P40" s="182" t="n"/>
      <c r="Q40" s="182" t="n"/>
      <c r="R40" s="182" t="n"/>
      <c r="S40" s="182" t="n"/>
      <c r="T40" s="183" t="n"/>
    </row>
    <row r="41" ht="13.5" customHeight="1">
      <c r="A41" s="197" t="n"/>
      <c r="B41" s="203" t="n"/>
      <c r="C41" s="204" t="n"/>
      <c r="D41" s="234" t="inlineStr">
        <is>
          <t>returns created card method with masked card metadata</t>
        </is>
      </c>
      <c r="E41" s="199"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6" t="inlineStr">
        <is>
          <t>Exception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BadRequestException: expired card payload</t>
        </is>
      </c>
      <c r="E43" s="199"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BadRequestException: incomplete bank account payload</t>
        </is>
      </c>
      <c r="E44" s="199" t="n"/>
      <c r="F44" s="182" t="n"/>
      <c r="G44" s="187" t="n"/>
      <c r="H44" s="182" t="n"/>
      <c r="I44" s="187" t="inlineStr">
        <is>
          <t>O</t>
        </is>
      </c>
      <c r="J44" s="182" t="n"/>
      <c r="K44" s="182" t="n"/>
      <c r="L44" s="182" t="n"/>
      <c r="M44" s="182" t="n"/>
      <c r="N44" s="182" t="n"/>
      <c r="O44" s="182" t="n"/>
      <c r="P44" s="182" t="n"/>
      <c r="Q44" s="182" t="n"/>
      <c r="R44" s="182" t="n"/>
      <c r="S44" s="182" t="n"/>
      <c r="T44" s="183" t="n"/>
    </row>
    <row r="45" ht="27" customHeight="1">
      <c r="A45" s="197" t="n"/>
      <c r="B45" s="206" t="n"/>
      <c r="C45" s="201" t="n"/>
      <c r="D45" s="207" t="inlineStr">
        <is>
          <t>ForbiddenException: unsupported role cannot create payment methods</t>
        </is>
      </c>
      <c r="E45" s="199" t="n"/>
      <c r="F45" s="182" t="n"/>
      <c r="G45" s="182" t="n"/>
      <c r="H45" s="187" t="n"/>
      <c r="I45" s="182" t="n"/>
      <c r="J45" s="187" t="inlineStr">
        <is>
          <t>O</t>
        </is>
      </c>
      <c r="K45" s="182" t="n"/>
      <c r="L45" s="182" t="n"/>
      <c r="M45" s="182" t="n"/>
      <c r="N45" s="182" t="n"/>
      <c r="O45" s="182" t="n"/>
      <c r="P45" s="182" t="n"/>
      <c r="Q45" s="182" t="n"/>
      <c r="R45" s="182" t="n"/>
      <c r="S45" s="182" t="n"/>
      <c r="T45" s="183" t="n"/>
    </row>
    <row r="46" ht="13.5" customHeight="1">
      <c r="A46" s="197" t="n"/>
      <c r="B46" s="206" t="inlineStr">
        <is>
          <t>Verification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auto-clears previous defaults when the first method becomes default</t>
        </is>
      </c>
      <c r="E47" s="209" t="n"/>
      <c r="F47" s="187" t="inlineStr">
        <is>
          <t>O</t>
        </is>
      </c>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builds displayName from the saved payment-method payload</t>
        </is>
      </c>
      <c r="E48" s="209" t="n"/>
      <c r="F48" s="187" t="inlineStr">
        <is>
          <t>O</t>
        </is>
      </c>
      <c r="G48" s="187" t="inlineStr">
        <is>
          <t>O</t>
        </is>
      </c>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calls createForUser with authenticated user.id and dto</t>
        </is>
      </c>
      <c r="E49" s="209" t="n"/>
      <c r="F49" s="187" t="inlineStr">
        <is>
          <t>O</t>
        </is>
      </c>
      <c r="G49" s="187" t="inlineStr">
        <is>
          <t>O</t>
        </is>
      </c>
      <c r="H49" s="187" t="inlineStr">
        <is>
          <t>O</t>
        </is>
      </c>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B</t>
        </is>
      </c>
      <c r="I50" s="213" t="inlineStr">
        <is>
          <t>A</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PATCH /payment-methods/:id/default with executed evidence for successful default switching, missing-method rejection, and unsupported-role blocking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Authenticated user role is CLIENT, BROKER, or FREELANCER</t>
        </is>
      </c>
      <c r="E12" s="186" t="n"/>
      <c r="F12" s="187" t="inlineStr">
        <is>
          <t>O</t>
        </is>
      </c>
      <c r="G12" s="187" t="inlineStr">
        <is>
          <t>O</t>
        </is>
      </c>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unsupported for payment-method management</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Target payment method id does not exist for the current user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inlineStr">
        <is>
          <t>brokerId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"broker-1"</t>
        </is>
      </c>
      <c r="E16" s="189" t="n"/>
      <c r="F16" s="187" t="inlineStr">
        <is>
          <t>O</t>
        </is>
      </c>
      <c r="G16" s="187" t="inlineStr">
        <is>
          <t>O</t>
        </is>
      </c>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paymentMethodId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"payment-method-1"</t>
        </is>
      </c>
      <c r="E18" s="189" t="n"/>
      <c r="F18" s="187" t="inlineStr">
        <is>
          <t>O</t>
        </is>
      </c>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returns selected payment method with isDefault = TRUE</t>
        </is>
      </c>
      <c r="E43" s="199"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NotFoundException: payment method does not exist for the current user</t>
        </is>
      </c>
      <c r="E45" s="199" t="n"/>
      <c r="F45" s="182" t="n"/>
      <c r="G45" s="187" t="inlineStr">
        <is>
          <t>O</t>
        </is>
      </c>
      <c r="H45" s="187" t="n"/>
      <c r="I45" s="182" t="n"/>
      <c r="J45" s="182" t="n"/>
      <c r="K45" s="182" t="n"/>
      <c r="L45" s="182" t="n"/>
      <c r="M45" s="182" t="n"/>
      <c r="N45" s="182" t="n"/>
      <c r="O45" s="182" t="n"/>
      <c r="P45" s="182" t="n"/>
      <c r="Q45" s="182" t="n"/>
      <c r="R45" s="182" t="n"/>
      <c r="S45" s="182" t="n"/>
      <c r="T45" s="183" t="n"/>
    </row>
    <row r="46" ht="27" customHeight="1">
      <c r="A46" s="197" t="n"/>
      <c r="B46" s="206" t="n"/>
      <c r="C46" s="201" t="n"/>
      <c r="D46" s="207" t="inlineStr">
        <is>
          <t>ForbiddenException: unsupported role cannot set default payment method</t>
        </is>
      </c>
      <c r="E46" s="199" t="n"/>
      <c r="F46" s="182" t="n"/>
      <c r="G46" s="182" t="n"/>
      <c r="H46" s="187" t="inlineStr">
        <is>
          <t>O</t>
        </is>
      </c>
      <c r="I46" s="187" t="n"/>
      <c r="J46" s="182" t="n"/>
      <c r="K46" s="182" t="n"/>
      <c r="L46" s="182" t="n"/>
      <c r="M46" s="182" t="n"/>
      <c r="N46" s="182" t="n"/>
      <c r="O46" s="182" t="n"/>
      <c r="P46" s="182" t="n"/>
      <c r="Q46" s="182" t="n"/>
      <c r="R46" s="182" t="n"/>
      <c r="S46" s="182" t="n"/>
      <c r="T46" s="183" t="n"/>
    </row>
    <row r="47" ht="13.5" customHeight="1">
      <c r="A47" s="197" t="n"/>
      <c r="B47" s="206" t="inlineStr">
        <is>
          <t>Verification</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clears any previous default before saving the selected method</t>
        </is>
      </c>
      <c r="E48" s="209" t="n"/>
      <c r="F48" s="187" t="inlineStr">
        <is>
          <t>O</t>
        </is>
      </c>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calls setDefault with authenticated user.id and payment method id</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A</t>
        </is>
      </c>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172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milestone funding from controller header validation down to funding-service branches, including successful funding, card/sandbox flow, idempotent replay, key reuse conflicts, role checks, gateway checks, and escrow guardrails.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inlineStr">
        <is>
          <t>UTCID11</t>
        </is>
      </c>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"client-1" is available</t>
        </is>
      </c>
      <c r="E11" s="186" t="n"/>
      <c r="F11" s="187" t="n"/>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Authenticated user role is not CLIENT</t>
        </is>
      </c>
      <c r="E12" s="186" t="n"/>
      <c r="F12" s="187" t="n"/>
      <c r="G12" s="187" t="n"/>
      <c r="H12" s="187" t="n"/>
      <c r="I12" s="187" t="n"/>
      <c r="J12" s="187" t="n"/>
      <c r="K12" s="187" t="inlineStr">
        <is>
          <t>O</t>
        </is>
      </c>
      <c r="L12" s="187" t="n"/>
      <c r="M12" s="187" t="n"/>
      <c r="N12" s="187" t="n"/>
      <c r="O12" s="187" t="n"/>
      <c r="P12" s="187" t="n"/>
      <c r="Q12" s="187" t="n"/>
      <c r="R12" s="187" t="n"/>
      <c r="S12" s="187" t="n"/>
      <c r="T12" s="188" t="n"/>
    </row>
    <row r="13" ht="13.5" customHeight="1">
      <c r="A13" s="184" t="n"/>
      <c r="B13" s="178" t="n"/>
      <c r="C13" s="179" t="n"/>
      <c r="D13" s="185" t="inlineStr">
        <is>
          <t>Idempotency-Key header = "fund-key-1" is present</t>
        </is>
      </c>
      <c r="E13" s="189" t="n"/>
      <c r="F13" s="182" t="n"/>
      <c r="G13" s="187" t="inlineStr">
        <is>
          <t>O</t>
        </is>
      </c>
      <c r="H13" s="187" t="inlineStr">
        <is>
          <t>O</t>
        </is>
      </c>
      <c r="I13" s="187" t="inlineStr">
        <is>
          <t>O</t>
        </is>
      </c>
      <c r="J13" s="187" t="inlineStr">
        <is>
          <t>O</t>
        </is>
      </c>
      <c r="K13" s="187" t="inlineStr">
        <is>
          <t>O</t>
        </is>
      </c>
      <c r="L13" s="187" t="inlineStr">
        <is>
          <t>O</t>
        </is>
      </c>
      <c r="M13" s="187" t="inlineStr">
        <is>
          <t>O</t>
        </is>
      </c>
      <c r="N13" s="187" t="inlineStr">
        <is>
          <t>O</t>
        </is>
      </c>
      <c r="O13" s="187" t="inlineStr">
        <is>
          <t>O</t>
        </is>
      </c>
      <c r="P13" s="187" t="inlineStr">
        <is>
          <t>O</t>
        </is>
      </c>
      <c r="Q13" s="182" t="n"/>
      <c r="R13" s="182" t="n"/>
      <c r="S13" s="182" t="n"/>
      <c r="T13" s="183" t="n"/>
    </row>
    <row r="14" ht="13.5" customHeight="1">
      <c r="A14" s="184" t="n"/>
      <c r="B14" s="178" t="n"/>
      <c r="C14" s="179" t="n"/>
      <c r="D14" s="185" t="inlineStr">
        <is>
          <t>Funding gateway is unsupported</t>
        </is>
      </c>
      <c r="E14" s="189" t="n"/>
      <c r="F14" s="187" t="n"/>
      <c r="G14" s="182" t="n"/>
      <c r="H14" s="182" t="n"/>
      <c r="I14" s="187" t="n"/>
      <c r="J14" s="182" t="n"/>
      <c r="K14" s="182" t="n"/>
      <c r="L14" s="187" t="inlineStr">
        <is>
          <t>O</t>
        </is>
      </c>
      <c r="M14" s="182" t="n"/>
      <c r="N14" s="182" t="n"/>
      <c r="O14" s="187" t="n"/>
      <c r="P14" s="187" t="n"/>
      <c r="Q14" s="182" t="n"/>
      <c r="R14" s="182" t="n"/>
      <c r="S14" s="182" t="n"/>
      <c r="T14" s="183" t="n"/>
    </row>
    <row r="15" ht="13.5" customHeight="1">
      <c r="A15" s="184" t="n"/>
      <c r="B15" s="178" t="n"/>
      <c r="C15" s="179" t="n"/>
      <c r="D15" s="185" t="inlineStr">
        <is>
          <t>Payment method "payment-method-1" is CARD_ACCOUNT</t>
        </is>
      </c>
      <c r="E15" s="189" t="n"/>
      <c r="F15" s="182" t="n"/>
      <c r="G15" s="187" t="n"/>
      <c r="H15" s="187" t="inlineStr">
        <is>
          <t>O</t>
        </is>
      </c>
      <c r="I15" s="182" t="n"/>
      <c r="J15" s="187" t="inlineStr">
        <is>
          <t>O</t>
        </is>
      </c>
      <c r="K15" s="182" t="n"/>
      <c r="L15" s="182" t="n"/>
      <c r="M15" s="182" t="n"/>
      <c r="N15" s="182" t="n"/>
      <c r="O15" s="182" t="n"/>
      <c r="P15" s="182" t="n"/>
      <c r="Q15" s="182" t="n"/>
      <c r="R15" s="182" t="n"/>
      <c r="S15" s="182" t="n"/>
      <c r="T15" s="183" t="n"/>
    </row>
    <row r="16" ht="13.5" customHeight="1">
      <c r="A16" s="184" t="n"/>
      <c r="B16" s="178" t="n"/>
      <c r="C16" s="179" t="n"/>
      <c r="D16" s="185" t="inlineStr">
        <is>
          <t>Payment method "payment-method-1" is BANK_ACCOUNT</t>
        </is>
      </c>
      <c r="E16" s="189" t="n"/>
      <c r="F16" s="182" t="n"/>
      <c r="G16" s="182" t="n"/>
      <c r="H16" s="182" t="n"/>
      <c r="I16" s="182" t="n"/>
      <c r="J16" s="187" t="n"/>
      <c r="K16" s="182" t="n"/>
      <c r="L16" s="182" t="n"/>
      <c r="M16" s="187" t="inlineStr">
        <is>
          <t>O</t>
        </is>
      </c>
      <c r="N16" s="182" t="n"/>
      <c r="O16" s="182" t="n"/>
      <c r="P16" s="182" t="n"/>
      <c r="Q16" s="182" t="n"/>
      <c r="R16" s="182" t="n"/>
      <c r="S16" s="182" t="n"/>
      <c r="T16" s="183" t="n"/>
    </row>
    <row r="17" ht="27" customHeight="1">
      <c r="A17" s="184" t="n"/>
      <c r="B17" s="178" t="n"/>
      <c r="C17" s="179" t="n"/>
      <c r="D17" s="185" t="inlineStr">
        <is>
          <t>Idempotency key "fund-key-1" already completed a funding intent</t>
        </is>
      </c>
      <c r="E17" s="189" t="n"/>
      <c r="F17" s="182" t="n"/>
      <c r="G17" s="182" t="n"/>
      <c r="H17" s="182" t="n"/>
      <c r="I17" s="187" t="inlineStr">
        <is>
          <t>O</t>
        </is>
      </c>
      <c r="J17" s="182" t="n"/>
      <c r="K17" s="187" t="n"/>
      <c r="L17" s="182" t="n"/>
      <c r="M17" s="182" t="n"/>
      <c r="N17" s="182" t="n"/>
      <c r="O17" s="182" t="n"/>
      <c r="P17" s="182" t="n"/>
      <c r="Q17" s="182" t="n"/>
      <c r="R17" s="182" t="n"/>
      <c r="S17" s="182" t="n"/>
      <c r="T17" s="183" t="n"/>
    </row>
    <row r="18" ht="27" customHeight="1">
      <c r="A18" s="184" t="n"/>
      <c r="B18" s="178" t="n"/>
      <c r="C18" s="179" t="n"/>
      <c r="D18" s="185" t="inlineStr">
        <is>
          <t>Idempotency key "fund-key-1" is reused with a different payment method</t>
        </is>
      </c>
      <c r="E18" s="189" t="n"/>
      <c r="F18" s="182" t="n"/>
      <c r="G18" s="182" t="n"/>
      <c r="H18" s="182" t="n"/>
      <c r="I18" s="182" t="n"/>
      <c r="J18" s="187" t="inlineStr">
        <is>
          <t>O</t>
        </is>
      </c>
      <c r="K18" s="187" t="n"/>
      <c r="L18" s="187" t="n"/>
      <c r="M18" s="182" t="n"/>
      <c r="N18" s="182" t="n"/>
      <c r="O18" s="182" t="n"/>
      <c r="P18" s="182" t="n"/>
      <c r="Q18" s="182" t="n"/>
      <c r="R18" s="182" t="n"/>
      <c r="S18" s="182" t="n"/>
      <c r="T18" s="183" t="n"/>
    </row>
    <row r="19" ht="27" customHeight="1">
      <c r="A19" s="184" t="n"/>
      <c r="B19" s="178" t="n"/>
      <c r="C19" s="179" t="n"/>
      <c r="D19" s="185" t="inlineStr">
        <is>
          <t>Escrow linked to milestone "milestone-1" is already fully funded</t>
        </is>
      </c>
      <c r="E19" s="189" t="n"/>
      <c r="F19" s="182" t="n"/>
      <c r="G19" s="182" t="n"/>
      <c r="H19" s="182" t="n"/>
      <c r="I19" s="182" t="n"/>
      <c r="J19" s="182" t="n"/>
      <c r="K19" s="187" t="n"/>
      <c r="L19" s="182" t="n"/>
      <c r="M19" s="187" t="n"/>
      <c r="N19" s="187" t="inlineStr">
        <is>
          <t>O</t>
        </is>
      </c>
      <c r="O19" s="182" t="n"/>
      <c r="P19" s="182" t="n"/>
      <c r="Q19" s="182" t="n"/>
      <c r="R19" s="182" t="n"/>
      <c r="S19" s="182" t="n"/>
      <c r="T19" s="183" t="n"/>
    </row>
    <row r="20" ht="27" customHeight="1">
      <c r="A20" s="184" t="n"/>
      <c r="B20" s="178" t="n"/>
      <c r="C20" s="179" t="n"/>
      <c r="D20" s="185" t="inlineStr">
        <is>
          <t>Escrow linked to milestone "milestone-1" is currently under dispute</t>
        </is>
      </c>
      <c r="E20" s="189" t="n"/>
      <c r="F20" s="182" t="n"/>
      <c r="G20" s="182" t="n"/>
      <c r="H20" s="182" t="n"/>
      <c r="I20" s="182" t="n"/>
      <c r="J20" s="182" t="n"/>
      <c r="K20" s="182" t="n"/>
      <c r="L20" s="187" t="n"/>
      <c r="M20" s="182" t="n"/>
      <c r="N20" s="187" t="n"/>
      <c r="O20" s="187" t="inlineStr">
        <is>
          <t>O</t>
        </is>
      </c>
      <c r="P20" s="182" t="n"/>
      <c r="Q20" s="182" t="n"/>
      <c r="R20" s="182" t="n"/>
      <c r="S20" s="182" t="n"/>
      <c r="T20" s="183" t="n"/>
    </row>
    <row r="21" ht="27" customHeight="1">
      <c r="A21" s="184" t="n"/>
      <c r="B21" s="178" t="n"/>
      <c r="C21" s="179" t="n"/>
      <c r="D21" s="185" t="inlineStr">
        <is>
          <t>Escrow amount does not match milestone "milestone-1" amount</t>
        </is>
      </c>
      <c r="E21" s="189" t="n"/>
      <c r="F21" s="182" t="n"/>
      <c r="G21" s="182" t="n"/>
      <c r="H21" s="182" t="n"/>
      <c r="I21" s="182" t="n"/>
      <c r="J21" s="182" t="n"/>
      <c r="K21" s="182" t="n"/>
      <c r="L21" s="182" t="n"/>
      <c r="M21" s="182" t="n"/>
      <c r="N21" s="182" t="n"/>
      <c r="O21" s="182" t="n"/>
      <c r="P21" s="187" t="inlineStr">
        <is>
          <t>O</t>
        </is>
      </c>
      <c r="Q21" s="182" t="n"/>
      <c r="R21" s="182" t="n"/>
      <c r="S21" s="182" t="n"/>
      <c r="T21" s="183" t="n"/>
    </row>
    <row r="22" ht="13.5" customHeight="1">
      <c r="A22" s="184" t="n"/>
      <c r="B22" s="178" t="inlineStr">
        <is>
          <t>clientId</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"client-1"</t>
        </is>
      </c>
      <c r="E23" s="189" t="n"/>
      <c r="F23" s="182" t="n"/>
      <c r="G23" s="187" t="inlineStr">
        <is>
          <t>O</t>
        </is>
      </c>
      <c r="H23" s="187" t="inlineStr">
        <is>
          <t>O</t>
        </is>
      </c>
      <c r="I23" s="187" t="inlineStr">
        <is>
          <t>O</t>
        </is>
      </c>
      <c r="J23" s="187" t="inlineStr">
        <is>
          <t>O</t>
        </is>
      </c>
      <c r="K23" s="182" t="n"/>
      <c r="L23" s="182" t="n"/>
      <c r="M23" s="182" t="n"/>
      <c r="N23" s="182" t="n"/>
      <c r="O23" s="182" t="n"/>
      <c r="P23" s="182" t="n"/>
      <c r="Q23" s="182" t="n"/>
      <c r="R23" s="182" t="n"/>
      <c r="S23" s="182" t="n"/>
      <c r="T23" s="183" t="n"/>
    </row>
    <row r="24" ht="13.5" customHeight="1">
      <c r="A24" s="184" t="n"/>
      <c r="B24" s="178" t="inlineStr">
        <is>
          <t>milestoneId</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"milestone-1"</t>
        </is>
      </c>
      <c r="E25" s="189" t="n"/>
      <c r="F25" s="182" t="n"/>
      <c r="G25" s="187" t="inlineStr">
        <is>
          <t>O</t>
        </is>
      </c>
      <c r="H25" s="187" t="inlineStr">
        <is>
          <t>O</t>
        </is>
      </c>
      <c r="I25" s="187" t="inlineStr">
        <is>
          <t>O</t>
        </is>
      </c>
      <c r="J25" s="187" t="inlineStr">
        <is>
          <t>O</t>
        </is>
      </c>
      <c r="K25" s="187" t="inlineStr">
        <is>
          <t>O</t>
        </is>
      </c>
      <c r="L25" s="187" t="inlineStr">
        <is>
          <t>O</t>
        </is>
      </c>
      <c r="M25" s="187" t="inlineStr">
        <is>
          <t>O</t>
        </is>
      </c>
      <c r="N25" s="187" t="inlineStr">
        <is>
          <t>O</t>
        </is>
      </c>
      <c r="O25" s="187" t="inlineStr">
        <is>
          <t>O</t>
        </is>
      </c>
      <c r="P25" s="187" t="inlineStr">
        <is>
          <t>O</t>
        </is>
      </c>
      <c r="Q25" s="182" t="n"/>
      <c r="R25" s="182" t="n"/>
      <c r="S25" s="182" t="n"/>
      <c r="T25" s="183" t="n"/>
    </row>
    <row r="26" ht="13.5" customHeight="1">
      <c r="A26" s="184" t="n"/>
      <c r="B26" s="178" t="inlineStr">
        <is>
          <t>Idempotency-Key</t>
        </is>
      </c>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t="13.5" customHeight="1">
      <c r="A27" s="184" t="n"/>
      <c r="B27" s="178" t="n"/>
      <c r="C27" s="179" t="n"/>
      <c r="D27" s="185" t="inlineStr">
        <is>
          <t>Idempotency-Key header is blank or missing</t>
        </is>
      </c>
      <c r="E27" s="189" t="n"/>
      <c r="F27" s="187" t="inlineStr">
        <is>
          <t>O</t>
        </is>
      </c>
      <c r="G27" s="182" t="n"/>
      <c r="H27" s="182" t="n"/>
      <c r="I27" s="182" t="n"/>
      <c r="J27" s="182" t="n"/>
      <c r="K27" s="182" t="n"/>
      <c r="L27" s="187" t="n"/>
      <c r="M27" s="182" t="n"/>
      <c r="N27" s="182" t="n"/>
      <c r="O27" s="182" t="n"/>
      <c r="P27" s="182" t="n"/>
      <c r="Q27" s="182" t="n"/>
      <c r="R27" s="182" t="n"/>
      <c r="S27" s="182" t="n"/>
      <c r="T27" s="183" t="n"/>
    </row>
    <row r="28" ht="13.5" customHeight="1">
      <c r="A28" s="184" t="n"/>
      <c r="B28" s="178" t="inlineStr">
        <is>
          <t>gateway</t>
        </is>
      </c>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t="13.5" customHeight="1">
      <c r="A29" s="184" t="n"/>
      <c r="B29" s="178" t="n"/>
      <c r="C29" s="179" t="n"/>
      <c r="D29" s="185" t="inlineStr">
        <is>
          <t>"INTERNAL_SANDBOX"</t>
        </is>
      </c>
      <c r="E29" s="189" t="n"/>
      <c r="F29" s="182" t="n"/>
      <c r="G29" s="187" t="inlineStr">
        <is>
          <t>O</t>
        </is>
      </c>
      <c r="H29" s="182" t="n"/>
      <c r="I29" s="187" t="inlineStr">
        <is>
          <t>O</t>
        </is>
      </c>
      <c r="J29" s="187" t="inlineStr">
        <is>
          <t>O</t>
        </is>
      </c>
      <c r="K29" s="187" t="inlineStr">
        <is>
          <t>O</t>
        </is>
      </c>
      <c r="L29" s="187" t="n"/>
      <c r="M29" s="182" t="n"/>
      <c r="N29" s="182" t="n"/>
      <c r="O29" s="182" t="n"/>
      <c r="P29" s="187" t="n"/>
      <c r="Q29" s="182" t="n"/>
      <c r="R29" s="182" t="n"/>
      <c r="S29" s="182" t="n"/>
      <c r="T29" s="183" t="n"/>
    </row>
    <row r="30" ht="13.5" customHeight="1">
      <c r="A30" s="184" t="n"/>
      <c r="B30" s="178" t="inlineStr">
        <is>
          <t>gateway</t>
        </is>
      </c>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t="13.5" customHeight="1">
      <c r="A31" s="184" t="n"/>
      <c r="B31" s="178" t="n"/>
      <c r="C31" s="179" t="n"/>
      <c r="D31" s="185" t="inlineStr">
        <is>
          <t>"STRIPE"</t>
        </is>
      </c>
      <c r="E31" s="189" t="n"/>
      <c r="F31" s="187" t="n"/>
      <c r="G31" s="182" t="n"/>
      <c r="H31" s="187" t="inlineStr">
        <is>
          <t>O</t>
        </is>
      </c>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t="13.5" customHeight="1">
      <c r="A34" s="184" t="inlineStr">
        <is>
          <t>Confirm</t>
        </is>
      </c>
      <c r="B34" s="178" t="inlineStr">
        <is>
          <t>Return</t>
        </is>
      </c>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t="27" customHeight="1">
      <c r="A35" s="184" t="n"/>
      <c r="B35" s="178" t="n"/>
      <c r="C35" s="179" t="n"/>
      <c r="D35" s="185" t="inlineStr">
        <is>
          <t>returns successful funding result with escrow and wallet updates</t>
        </is>
      </c>
      <c r="E35" s="189" t="n"/>
      <c r="F35" s="182" t="n"/>
      <c r="G35" s="187" t="inlineStr">
        <is>
          <t>O</t>
        </is>
      </c>
      <c r="H35" s="187" t="inlineStr">
        <is>
          <t>O</t>
        </is>
      </c>
      <c r="I35" s="182" t="n"/>
      <c r="J35" s="182" t="n"/>
      <c r="K35" s="187" t="n"/>
      <c r="L35" s="182" t="n"/>
      <c r="M35" s="182" t="n"/>
      <c r="N35" s="182" t="n"/>
      <c r="O35" s="182" t="n"/>
      <c r="P35" s="182" t="n"/>
      <c r="Q35" s="182" t="n"/>
      <c r="R35" s="182" t="n"/>
      <c r="S35" s="182" t="n"/>
      <c r="T35" s="183" t="n"/>
    </row>
    <row r="36" ht="27" customHeight="1">
      <c r="A36" s="184" t="n"/>
      <c r="B36" s="178" t="n"/>
      <c r="C36" s="179" t="n"/>
      <c r="D36" s="185" t="inlineStr">
        <is>
          <t>returns previously completed funding intent without duplicating side effects</t>
        </is>
      </c>
      <c r="E36" s="189" t="n"/>
      <c r="F36" s="182" t="n"/>
      <c r="G36" s="182" t="n"/>
      <c r="H36" s="182" t="n"/>
      <c r="I36" s="187" t="inlineStr">
        <is>
          <t>O</t>
        </is>
      </c>
      <c r="J36" s="182" t="n"/>
      <c r="K36" s="182" t="n"/>
      <c r="L36" s="187" t="n"/>
      <c r="M36" s="182" t="n"/>
      <c r="N36" s="182" t="n"/>
      <c r="O36" s="182" t="n"/>
      <c r="P36" s="182" t="n"/>
      <c r="Q36" s="182" t="n"/>
      <c r="R36" s="182" t="n"/>
      <c r="S36" s="182" t="n"/>
      <c r="T36" s="183" t="n"/>
    </row>
    <row r="37" ht="13.5" customHeight="1">
      <c r="A37" s="190" t="n"/>
      <c r="B37" s="191" t="inlineStr">
        <is>
          <t>Exception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235" t="inlineStr">
        <is>
          <t>BadRequestException: Idempotency-Key header is required</t>
        </is>
      </c>
      <c r="E38" s="199" t="n"/>
      <c r="F38" s="187" t="inlineStr">
        <is>
          <t>O</t>
        </is>
      </c>
      <c r="G38" s="182" t="n"/>
      <c r="H38" s="182" t="n"/>
      <c r="I38" s="182" t="n"/>
      <c r="J38" s="182" t="n"/>
      <c r="K38" s="182" t="n"/>
      <c r="L38" s="182" t="n"/>
      <c r="M38" s="187" t="n"/>
      <c r="N38" s="182" t="n"/>
      <c r="O38" s="187" t="n"/>
      <c r="P38" s="182" t="n"/>
      <c r="Q38" s="182" t="n"/>
      <c r="R38" s="182" t="n"/>
      <c r="S38" s="182" t="n"/>
      <c r="T38" s="183" t="n"/>
    </row>
    <row r="39" ht="27" customHeight="1">
      <c r="A39" s="197" t="n"/>
      <c r="B39" s="200" t="n"/>
      <c r="C39" s="201" t="n"/>
      <c r="D39" s="207" t="inlineStr">
        <is>
          <t>ConflictException: idempotency key is reused with a different payment method</t>
        </is>
      </c>
      <c r="E39" s="199" t="n"/>
      <c r="F39" s="182" t="n"/>
      <c r="G39" s="187" t="n"/>
      <c r="H39" s="187" t="n"/>
      <c r="I39" s="187" t="n"/>
      <c r="J39" s="187" t="inlineStr">
        <is>
          <t>O</t>
        </is>
      </c>
      <c r="K39" s="182" t="n"/>
      <c r="L39" s="187" t="n"/>
      <c r="M39" s="182" t="n"/>
      <c r="N39" s="187" t="n"/>
      <c r="O39" s="182" t="n"/>
      <c r="P39" s="187" t="n"/>
      <c r="Q39" s="182" t="n"/>
      <c r="R39" s="182" t="n"/>
      <c r="S39" s="182" t="n"/>
      <c r="T39" s="183" t="n"/>
    </row>
    <row r="40" ht="27" customHeight="1">
      <c r="A40" s="197" t="n"/>
      <c r="B40" s="203" t="n"/>
      <c r="C40" s="204" t="n"/>
      <c r="D40" s="234" t="inlineStr">
        <is>
          <t>ForbiddenException: only the client can fund the milestone</t>
        </is>
      </c>
      <c r="E40" s="199" t="n"/>
      <c r="F40" s="182" t="n"/>
      <c r="G40" s="182" t="n"/>
      <c r="H40" s="182" t="n"/>
      <c r="I40" s="182" t="n"/>
      <c r="J40" s="182" t="n"/>
      <c r="K40" s="187" t="inlineStr">
        <is>
          <t>O</t>
        </is>
      </c>
      <c r="L40" s="182" t="n"/>
      <c r="M40" s="182" t="n"/>
      <c r="N40" s="182" t="n"/>
      <c r="O40" s="182" t="n"/>
      <c r="P40" s="182" t="n"/>
      <c r="Q40" s="182" t="n"/>
      <c r="R40" s="182" t="n"/>
      <c r="S40" s="182" t="n"/>
      <c r="T40" s="183" t="n"/>
    </row>
    <row r="41" ht="13.5" customHeight="1">
      <c r="A41" s="197" t="n"/>
      <c r="B41" s="203" t="n"/>
      <c r="C41" s="204" t="n"/>
      <c r="D41" s="234" t="inlineStr">
        <is>
          <t>NotImplementedException: gateway adapter is not wired</t>
        </is>
      </c>
      <c r="E41" s="199" t="n"/>
      <c r="F41" s="182" t="n"/>
      <c r="G41" s="182" t="n"/>
      <c r="H41" s="182" t="n"/>
      <c r="I41" s="187" t="n"/>
      <c r="J41" s="182" t="n"/>
      <c r="K41" s="187" t="n"/>
      <c r="L41" s="187" t="inlineStr">
        <is>
          <t>O</t>
        </is>
      </c>
      <c r="M41" s="182" t="n"/>
      <c r="N41" s="182" t="n"/>
      <c r="O41" s="182" t="n"/>
      <c r="P41" s="182" t="n"/>
      <c r="Q41" s="182" t="n"/>
      <c r="R41" s="182" t="n"/>
      <c r="S41" s="182" t="n"/>
      <c r="T41" s="183" t="n"/>
    </row>
    <row r="42" ht="27" customHeight="1">
      <c r="A42" s="197" t="n"/>
      <c r="B42" s="206" t="n"/>
      <c r="C42" s="201" t="n"/>
      <c r="D42" s="207" t="inlineStr">
        <is>
          <t>BadRequestException: bank methods cannot fund milestones</t>
        </is>
      </c>
      <c r="E42" s="199" t="n"/>
      <c r="F42" s="182" t="n"/>
      <c r="G42" s="182" t="n"/>
      <c r="H42" s="182" t="n"/>
      <c r="I42" s="182" t="n"/>
      <c r="J42" s="182" t="n"/>
      <c r="K42" s="182" t="n"/>
      <c r="L42" s="182" t="n"/>
      <c r="M42" s="187" t="inlineStr">
        <is>
          <t>O</t>
        </is>
      </c>
      <c r="N42" s="182" t="n"/>
      <c r="O42" s="182" t="n"/>
      <c r="P42" s="182" t="n"/>
      <c r="Q42" s="182" t="n"/>
      <c r="R42" s="182" t="n"/>
      <c r="S42" s="182" t="n"/>
      <c r="T42" s="183" t="n"/>
    </row>
    <row r="43" ht="13.5" customHeight="1">
      <c r="A43" s="197" t="n"/>
      <c r="B43" s="206" t="n"/>
      <c r="C43" s="201" t="n"/>
      <c r="D43" s="207" t="inlineStr">
        <is>
          <t>BadRequestException: escrow is already funded</t>
        </is>
      </c>
      <c r="E43" s="199" t="n"/>
      <c r="F43" s="187" t="n"/>
      <c r="G43" s="182" t="n"/>
      <c r="H43" s="182" t="n"/>
      <c r="I43" s="182" t="n"/>
      <c r="J43" s="182" t="n"/>
      <c r="K43" s="182" t="n"/>
      <c r="L43" s="182" t="n"/>
      <c r="M43" s="182" t="n"/>
      <c r="N43" s="187" t="inlineStr">
        <is>
          <t>O</t>
        </is>
      </c>
      <c r="O43" s="182" t="n"/>
      <c r="P43" s="182" t="n"/>
      <c r="Q43" s="182" t="n"/>
      <c r="R43" s="182" t="n"/>
      <c r="S43" s="182" t="n"/>
      <c r="T43" s="183" t="n"/>
    </row>
    <row r="44" ht="13.5" customHeight="1">
      <c r="A44" s="197" t="n"/>
      <c r="B44" s="206" t="n"/>
      <c r="C44" s="201" t="n"/>
      <c r="D44" s="207" t="inlineStr">
        <is>
          <t>ConflictException: disputed escrow cannot be funded</t>
        </is>
      </c>
      <c r="E44" s="199" t="n"/>
      <c r="F44" s="182" t="n"/>
      <c r="G44" s="187" t="n"/>
      <c r="H44" s="182" t="n"/>
      <c r="I44" s="182" t="n"/>
      <c r="J44" s="182" t="n"/>
      <c r="K44" s="182" t="n"/>
      <c r="L44" s="182" t="n"/>
      <c r="M44" s="182" t="n"/>
      <c r="N44" s="182" t="n"/>
      <c r="O44" s="187" t="inlineStr">
        <is>
          <t>O</t>
        </is>
      </c>
      <c r="P44" s="182" t="n"/>
      <c r="Q44" s="182" t="n"/>
      <c r="R44" s="182" t="n"/>
      <c r="S44" s="182" t="n"/>
      <c r="T44" s="183" t="n"/>
    </row>
    <row r="45" ht="27" customHeight="1">
      <c r="A45" s="197" t="n"/>
      <c r="B45" s="206" t="n"/>
      <c r="C45" s="201" t="n"/>
      <c r="D45" s="207" t="inlineStr">
        <is>
          <t>BadRequestException: milestone and escrow amounts do not match</t>
        </is>
      </c>
      <c r="E45" s="199" t="n"/>
      <c r="F45" s="182" t="n"/>
      <c r="G45" s="182" t="n"/>
      <c r="H45" s="187" t="n"/>
      <c r="I45" s="182" t="n"/>
      <c r="J45" s="182" t="n"/>
      <c r="K45" s="182" t="n"/>
      <c r="L45" s="182" t="n"/>
      <c r="M45" s="182" t="n"/>
      <c r="N45" s="182" t="n"/>
      <c r="O45" s="182" t="n"/>
      <c r="P45" s="187" t="inlineStr">
        <is>
          <t>O</t>
        </is>
      </c>
      <c r="Q45" s="182" t="n"/>
      <c r="R45" s="182" t="n"/>
      <c r="S45" s="182" t="n"/>
      <c r="T45" s="183" t="n"/>
    </row>
    <row r="46" ht="13.5" customHeight="1">
      <c r="A46" s="197" t="n"/>
      <c r="B46" s="206" t="inlineStr">
        <is>
          <t>Verification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persists one deposit transaction and one hold transaction on successful funding</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creates Stripe checkout session for saved card funding</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calls fundMilestone with milestoneId, payerId, dto, and idempotency key</t>
        </is>
      </c>
      <c r="E49" s="209" t="n"/>
      <c r="F49" s="182" t="n"/>
      <c r="G49" s="187" t="inlineStr">
        <is>
          <t>O</t>
        </is>
      </c>
      <c r="H49" s="187" t="inlineStr">
        <is>
          <t>O</t>
        </is>
      </c>
      <c r="I49" s="187" t="inlineStr">
        <is>
          <t>O</t>
        </is>
      </c>
      <c r="J49" s="187" t="inlineStr">
        <is>
          <t>O</t>
        </is>
      </c>
      <c r="K49" s="187" t="inlineStr">
        <is>
          <t>O</t>
        </is>
      </c>
      <c r="L49" s="187" t="inlineStr">
        <is>
          <t>O</t>
        </is>
      </c>
      <c r="M49" s="187" t="inlineStr">
        <is>
          <t>O</t>
        </is>
      </c>
      <c r="N49" s="187" t="inlineStr">
        <is>
          <t>O</t>
        </is>
      </c>
      <c r="O49" s="187" t="inlineStr">
        <is>
          <t>O</t>
        </is>
      </c>
      <c r="P49" s="187" t="inlineStr">
        <is>
          <t>O</t>
        </is>
      </c>
      <c r="Q49" s="182" t="n"/>
      <c r="R49" s="182" t="n"/>
      <c r="S49" s="182" t="n"/>
      <c r="T49" s="183" t="n"/>
    </row>
    <row r="50" ht="13.5" customHeight="1">
      <c r="A50" s="190" t="inlineStr">
        <is>
          <t>Result</t>
        </is>
      </c>
      <c r="B50" s="210" t="inlineStr">
        <is>
          <t>Type(N : Normal, A : Abnormal, B : Boundary)</t>
        </is>
      </c>
      <c r="C50" s="211" t="n"/>
      <c r="D50" s="212" t="n"/>
      <c r="E50" s="210" t="n"/>
      <c r="F50" s="213" t="inlineStr">
        <is>
          <t>A</t>
        </is>
      </c>
      <c r="G50" s="213" t="inlineStr">
        <is>
          <t>N</t>
        </is>
      </c>
      <c r="H50" s="213" t="inlineStr">
        <is>
          <t>N</t>
        </is>
      </c>
      <c r="I50" s="213" t="inlineStr">
        <is>
          <t>B</t>
        </is>
      </c>
      <c r="J50" s="213" t="inlineStr">
        <is>
          <t>A</t>
        </is>
      </c>
      <c r="K50" s="213" t="inlineStr">
        <is>
          <t>A</t>
        </is>
      </c>
      <c r="L50" s="213" t="inlineStr">
        <is>
          <t>A</t>
        </is>
      </c>
      <c r="M50" s="213" t="inlineStr">
        <is>
          <t>A</t>
        </is>
      </c>
      <c r="N50" s="213" t="inlineStr">
        <is>
          <t>A</t>
        </is>
      </c>
      <c r="O50" s="213" t="inlineStr">
        <is>
          <t>A</t>
        </is>
      </c>
      <c r="P50" s="213" t="inlineStr">
        <is>
          <t>A</t>
        </is>
      </c>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inlineStr">
        <is>
          <t>P</t>
        </is>
      </c>
      <c r="L51" s="218" t="inlineStr">
        <is>
          <t>P</t>
        </is>
      </c>
      <c r="M51" s="218" t="inlineStr">
        <is>
          <t>P</t>
        </is>
      </c>
      <c r="N51" s="218" t="inlineStr">
        <is>
          <t>P</t>
        </is>
      </c>
      <c r="O51" s="218" t="inlineStr">
        <is>
          <t>P</t>
        </is>
      </c>
      <c r="P51" s="218" t="inlineStr">
        <is>
          <t>P</t>
        </is>
      </c>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v>46112</v>
      </c>
      <c r="L52" s="222" t="n">
        <v>46112</v>
      </c>
      <c r="M52" s="222" t="n">
        <v>46112</v>
      </c>
      <c r="N52" s="222" t="n">
        <v>46112</v>
      </c>
      <c r="O52" s="222" t="n">
        <v>46112</v>
      </c>
      <c r="P52" s="222" t="n">
        <v>46112</v>
      </c>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 with executed evidence for first-time wallet creation, freelancer awaiting-release computation, and broker awaiting-release computation in the returned snapshot.</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Wallet does not exist yet for the current user</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Wallet already exists for the current user</t>
        </is>
      </c>
      <c r="E13" s="189" t="n"/>
      <c r="F13" s="182" t="n"/>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Authenticated user role is FREELANCER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Authenticated user role is BROKER</t>
        </is>
      </c>
      <c r="E15" s="189" t="n"/>
      <c r="F15" s="182" t="n"/>
      <c r="G15" s="187" t="n"/>
      <c r="H15" s="187" t="inlineStr">
        <is>
          <t>O</t>
        </is>
      </c>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Funded and disputed escrows contribute awaitingReleaseAmount</t>
        </is>
      </c>
      <c r="E16" s="189" t="n"/>
      <c r="F16" s="182" t="n"/>
      <c r="G16" s="187" t="inlineStr">
        <is>
          <t>O</t>
        </is>
      </c>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brokerId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"broker-1"</t>
        </is>
      </c>
      <c r="E18" s="189" t="n"/>
      <c r="F18" s="187" t="inlineStr">
        <is>
          <t>O</t>
        </is>
      </c>
      <c r="G18" s="187" t="inlineStr">
        <is>
          <t>O</t>
        </is>
      </c>
      <c r="H18" s="187" t="inlineStr">
        <is>
          <t>O</t>
        </is>
      </c>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inlineStr">
        <is>
          <t>Confirm</t>
        </is>
      </c>
      <c r="B41" s="203" t="inlineStr">
        <is>
          <t>Return</t>
        </is>
      </c>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returns wallet snapshot payload</t>
        </is>
      </c>
      <c r="E42" s="199" t="n"/>
      <c r="F42" s="187" t="inlineStr">
        <is>
          <t>O</t>
        </is>
      </c>
      <c r="G42" s="187" t="inlineStr">
        <is>
          <t>O</t>
        </is>
      </c>
      <c r="H42" s="187" t="inlineStr">
        <is>
          <t>O</t>
        </is>
      </c>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returns awaitingReleaseAmount derived from escrow state</t>
        </is>
      </c>
      <c r="E43" s="199" t="n"/>
      <c r="F43" s="187" t="n"/>
      <c r="G43" s="187" t="inlineStr">
        <is>
          <t>O</t>
        </is>
      </c>
      <c r="H43" s="187" t="inlineStr">
        <is>
          <t>O</t>
        </is>
      </c>
      <c r="I43" s="182" t="n"/>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6" t="n"/>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inlineStr">
        <is>
          <t>Verification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creates a wallet record with USD defaults on first access</t>
        </is>
      </c>
      <c r="E47" s="209" t="n"/>
      <c r="F47" s="187" t="inlineStr">
        <is>
          <t>O</t>
        </is>
      </c>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computes freelancer awaitingReleaseAmount from funded and disputed escrows</t>
        </is>
      </c>
      <c r="E48" s="209" t="n"/>
      <c r="F48" s="182" t="n"/>
      <c r="G48" s="187" t="inlineStr">
        <is>
          <t>O</t>
        </is>
      </c>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computes broker awaitingReleaseAmount from funded and disputed escrows</t>
        </is>
      </c>
      <c r="E49" s="209" t="n"/>
      <c r="F49" s="182" t="n"/>
      <c r="G49" s="182" t="n"/>
      <c r="H49" s="187" t="inlineStr">
        <is>
          <t>O</t>
        </is>
      </c>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B</t>
        </is>
      </c>
      <c r="G50" s="213" t="inlineStr">
        <is>
          <t>N</t>
        </is>
      </c>
      <c r="H50" s="213" t="inlineStr">
        <is>
          <t>N</t>
        </is>
      </c>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/wallet/me/transactions with executed evidence for paged transaction listing, plus feature-level UTCs for paging normalization and range-filter query handling.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"client-1"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page and limit values are positive integers</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page or limit values are invalid and need normalization</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range query is supplied</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WalletService resolves paged transactions</t>
        </is>
      </c>
      <c r="E15" s="189" t="n"/>
      <c r="F15" s="187" t="inlineStr">
        <is>
          <t>O</t>
        </is>
      </c>
      <c r="G15" s="187" t="inlineStr">
        <is>
          <t>O</t>
        </is>
      </c>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userId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"user-1"</t>
        </is>
      </c>
      <c r="E17" s="189" t="n"/>
      <c r="F17" s="187" t="inlineStr">
        <is>
          <t>O</t>
        </is>
      </c>
      <c r="G17" s="187" t="inlineStr">
        <is>
          <t>O</t>
        </is>
      </c>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page</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"1"</t>
        </is>
      </c>
      <c r="E19" s="189" t="n"/>
      <c r="F19" s="187" t="inlineStr">
        <is>
          <t>O</t>
        </is>
      </c>
      <c r="G19" s="187" t="inlineStr">
        <is>
          <t>O</t>
        </is>
      </c>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limit</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"10"</t>
        </is>
      </c>
      <c r="E21" s="189" t="n"/>
      <c r="F21" s="187" t="inlineStr">
        <is>
          <t>O</t>
        </is>
      </c>
      <c r="G21" s="187" t="inlineStr">
        <is>
          <t>O</t>
        </is>
      </c>
      <c r="H21" s="187" t="inlineStr">
        <is>
          <t>O</t>
        </is>
      </c>
      <c r="I21" s="182" t="n"/>
      <c r="J21" s="182" t="n"/>
      <c r="K21" s="182" t="n"/>
      <c r="L21" s="182" t="n"/>
      <c r="M21" s="182" t="n"/>
      <c r="N21" s="182" t="n"/>
      <c r="O21" s="182" t="n"/>
      <c r="P21" s="182" t="n"/>
      <c r="Q21" s="182" t="n"/>
      <c r="R21" s="182" t="n"/>
      <c r="S21" s="182" t="n"/>
      <c r="T21" s="183" t="n"/>
    </row>
    <row r="22" ht="13.5" customHeight="1">
      <c r="A22" s="184" t="n"/>
      <c r="B22" s="178" t="inlineStr">
        <is>
          <t>range</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"THIS_MONTH"</t>
        </is>
      </c>
      <c r="E23" s="189" t="n"/>
      <c r="F23" s="187" t="inlineStr">
        <is>
          <t>O</t>
        </is>
      </c>
      <c r="G23" s="187" t="inlineStr">
        <is>
          <t>O</t>
        </is>
      </c>
      <c r="H23" s="187" t="inlineStr">
        <is>
          <t>O</t>
        </is>
      </c>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returns paged wallet transactions with wallet snapshot</t>
        </is>
      </c>
      <c r="E43" s="199" t="n"/>
      <c r="F43" s="187" t="inlineStr">
        <is>
          <t>O</t>
        </is>
      </c>
      <c r="G43" s="187" t="inlineStr">
        <is>
          <t>O</t>
        </is>
      </c>
      <c r="H43" s="187" t="inlineStr">
        <is>
          <t>O</t>
        </is>
      </c>
      <c r="I43" s="182" t="n"/>
      <c r="J43" s="182" t="n"/>
      <c r="K43" s="182" t="n"/>
      <c r="L43" s="182" t="n"/>
      <c r="M43" s="182" t="n"/>
      <c r="N43" s="182" t="n"/>
      <c r="O43" s="182" t="n"/>
      <c r="P43" s="182" t="n"/>
      <c r="Q43" s="182" t="n"/>
      <c r="R43" s="182" t="n"/>
      <c r="S43" s="182" t="n"/>
      <c r="T43" s="183" t="n"/>
    </row>
    <row r="44" ht="13.5" customHeight="1">
      <c r="A44" s="197" t="n"/>
      <c r="B44" s="206" t="inlineStr">
        <is>
          <t>Exception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6" t="n"/>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inlineStr">
        <is>
          <t>Verification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normalizes invalid page and limit values to safe defaults</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applies the requested createdAt range filter before querying transactions</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calls listTransactions with authenticated user and paging filters</t>
        </is>
      </c>
      <c r="E49" s="209" t="n"/>
      <c r="F49" s="187" t="inlineStr">
        <is>
          <t>O</t>
        </is>
      </c>
      <c r="G49" s="187" t="inlineStr">
        <is>
          <t>O</t>
        </is>
      </c>
      <c r="H49" s="187" t="inlineStr">
        <is>
          <t>O</t>
        </is>
      </c>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B</t>
        </is>
      </c>
      <c r="H50" s="213" t="inlineStr">
        <is>
          <t>A</t>
        </is>
      </c>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approve-specs with executed evidence for controller delegation, propagated service failures, BROKER_ASSIGNED approval, and unexpected-status warning flow.</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27" customHeight="1">
      <c r="A11" s="184" t="n"/>
      <c r="B11" s="178" t="n"/>
      <c r="C11" s="179" t="n"/>
      <c r="D11" s="185" t="inlineStr">
        <is>
          <t>ProjectRequestsService.approveSpecs resolves successfully</t>
        </is>
      </c>
      <c r="E11" s="186" t="n"/>
      <c r="F11" s="187" t="inlineStr">
        <is>
          <t>O</t>
        </is>
      </c>
      <c r="G11" s="187" t="n"/>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ProjectRequestsService.approveSpecs throws an error</t>
        </is>
      </c>
      <c r="E12" s="186" t="n"/>
      <c r="F12" s="187" t="n"/>
      <c r="G12" s="187" t="inlineStr">
        <is>
          <t>O</t>
        </is>
      </c>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Request status is BROKER_ASSIGNED</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Request status is DRAFT and still enters the approval flow</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inlineStr">
        <is>
          <t>clientId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"client-1"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requestId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"req-1"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t="13.5" customHeight="1">
      <c r="A40" s="197" t="inlineStr">
        <is>
          <t>Confirm</t>
        </is>
      </c>
      <c r="B40" s="203" t="inlineStr">
        <is>
          <t>Return</t>
        </is>
      </c>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3" t="n"/>
      <c r="C41" s="204" t="n"/>
      <c r="D41" s="234" t="inlineStr">
        <is>
          <t>returns approve-specs result for request "req-1"</t>
        </is>
      </c>
      <c r="E41" s="199" t="n"/>
      <c r="F41" s="187" t="inlineStr">
        <is>
          <t>O</t>
        </is>
      </c>
      <c r="G41" s="182" t="n"/>
      <c r="H41" s="187" t="inlineStr">
        <is>
          <t>O</t>
        </is>
      </c>
      <c r="I41" s="187" t="inlineStr">
        <is>
          <t>O</t>
        </is>
      </c>
      <c r="J41" s="182" t="n"/>
      <c r="K41" s="187" t="n"/>
      <c r="L41" s="182" t="n"/>
      <c r="M41" s="182" t="n"/>
      <c r="N41" s="182" t="n"/>
      <c r="O41" s="182" t="n"/>
      <c r="P41" s="182" t="n"/>
      <c r="Q41" s="182" t="n"/>
      <c r="R41" s="182" t="n"/>
      <c r="S41" s="182" t="n"/>
      <c r="T41" s="183" t="n"/>
    </row>
    <row r="42" ht="13.5" customHeight="1">
      <c r="A42" s="197" t="n"/>
      <c r="B42" s="206" t="n"/>
      <c r="C42" s="201" t="n"/>
      <c r="D42" s="207" t="inlineStr">
        <is>
          <t>re-throws approve-specs service failure</t>
        </is>
      </c>
      <c r="E42" s="199" t="n"/>
      <c r="F42" s="182" t="n"/>
      <c r="G42" s="187" t="inlineStr">
        <is>
          <t>O</t>
        </is>
      </c>
      <c r="H42" s="182" t="n"/>
      <c r="I42" s="182" t="n"/>
      <c r="J42" s="182" t="n"/>
      <c r="K42" s="182" t="n"/>
      <c r="L42" s="182" t="n"/>
      <c r="M42" s="182" t="n"/>
      <c r="N42" s="182" t="n"/>
      <c r="O42" s="182" t="n"/>
      <c r="P42" s="182" t="n"/>
      <c r="Q42" s="182" t="n"/>
      <c r="R42" s="182" t="n"/>
      <c r="S42" s="182" t="n"/>
      <c r="T42" s="183" t="n"/>
    </row>
    <row r="43" ht="13.5" customHeight="1">
      <c r="A43" s="197" t="n"/>
      <c r="B43" s="206" t="inlineStr">
        <is>
          <t>Exception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idden="1" ht="13.5" customHeight="1">
      <c r="A44" s="197" t="n"/>
      <c r="B44" s="206" t="n"/>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inlineStr">
        <is>
          <t>Log message</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n"/>
      <c r="C46" s="201" t="n"/>
      <c r="D46" s="207" t="inlineStr">
        <is>
          <t>persists request status = SPEC_APPROVED</t>
        </is>
      </c>
      <c r="E46" s="199" t="n"/>
      <c r="F46" s="182" t="n"/>
      <c r="G46" s="182" t="n"/>
      <c r="H46" s="187" t="inlineStr">
        <is>
          <t>O</t>
        </is>
      </c>
      <c r="I46" s="187" t="inlineStr">
        <is>
          <t>O</t>
        </is>
      </c>
      <c r="J46" s="182" t="n"/>
      <c r="K46" s="182" t="n"/>
      <c r="L46" s="182" t="n"/>
      <c r="M46" s="182" t="n"/>
      <c r="N46" s="182" t="n"/>
      <c r="O46" s="182" t="n"/>
      <c r="P46" s="182" t="n"/>
      <c r="Q46" s="182" t="n"/>
      <c r="R46" s="182" t="n"/>
      <c r="S46" s="182" t="n"/>
      <c r="T46" s="183" t="n"/>
    </row>
    <row r="47" ht="27" customHeight="1">
      <c r="A47" s="197" t="n"/>
      <c r="B47" s="206" t="n"/>
      <c r="C47" s="208" t="n"/>
      <c r="D47" s="207" t="inlineStr">
        <is>
          <t>notifies both client and broker after the approval event</t>
        </is>
      </c>
      <c r="E47" s="209" t="n"/>
      <c r="F47" s="187" t="n"/>
      <c r="G47" s="182" t="n"/>
      <c r="H47" s="187" t="inlineStr">
        <is>
          <t>O</t>
        </is>
      </c>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records a warning when specs are approved from an unexpected status</t>
        </is>
      </c>
      <c r="E48" s="209" t="n"/>
      <c r="F48" s="182" t="n"/>
      <c r="G48" s="187" t="n"/>
      <c r="H48" s="182" t="n"/>
      <c r="I48" s="187" t="inlineStr">
        <is>
          <t>O</t>
        </is>
      </c>
      <c r="J48" s="182" t="n"/>
      <c r="K48" s="187" t="n"/>
      <c r="L48" s="182" t="n"/>
      <c r="M48" s="182" t="n"/>
      <c r="N48" s="182" t="n"/>
      <c r="O48" s="182" t="n"/>
      <c r="P48" s="182" t="n"/>
      <c r="Q48" s="182" t="n"/>
      <c r="R48" s="182" t="n"/>
      <c r="S48" s="182" t="n"/>
      <c r="T48" s="183" t="n"/>
    </row>
    <row r="49" ht="13.5" customHeight="1">
      <c r="A49" s="197" t="n"/>
      <c r="B49" s="206" t="n"/>
      <c r="C49" s="208" t="n"/>
      <c r="D49" s="207" t="inlineStr">
        <is>
          <t>calls approveSpecs with the supplied request id</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N</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convert-to-project with executed evidence for controller delegation, propagated service failures, successful linked-project conversion, missing finalized-spec rejection, and unauthorized-broker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actor is broker "broker-1"</t>
        </is>
      </c>
      <c r="E11" s="186" t="n"/>
      <c r="F11" s="187" t="inlineStr">
        <is>
          <t>O</t>
        </is>
      </c>
      <c r="G11" s="187" t="n"/>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Authenticated actor is broker "broker-2"</t>
        </is>
      </c>
      <c r="E12" s="186" t="n"/>
      <c r="F12" s="187" t="n"/>
      <c r="G12" s="187" t="n"/>
      <c r="H12" s="187" t="n"/>
      <c r="I12" s="187" t="n"/>
      <c r="J12" s="187" t="inlineStr">
        <is>
          <t>O</t>
        </is>
      </c>
      <c r="K12" s="187" t="n"/>
      <c r="L12" s="187" t="n"/>
      <c r="M12" s="187" t="n"/>
      <c r="N12" s="187" t="n"/>
      <c r="O12" s="187" t="n"/>
      <c r="P12" s="187" t="n"/>
      <c r="Q12" s="187" t="n"/>
      <c r="R12" s="187" t="n"/>
      <c r="S12" s="187" t="n"/>
      <c r="T12" s="188" t="n"/>
    </row>
    <row r="13" ht="27" customHeight="1">
      <c r="A13" s="184" t="n"/>
      <c r="B13" s="178" t="n"/>
      <c r="C13" s="179" t="n"/>
      <c r="D13" s="185" t="inlineStr">
        <is>
          <t>Project "project-1" is already linked to request "req-1"</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No finalized full spec exists for request "req-1"</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n"/>
      <c r="C15" s="179" t="n"/>
      <c r="D15" s="185" t="inlineStr">
        <is>
          <t>ProjectRequestsService.convertToProject throws an error</t>
        </is>
      </c>
      <c r="E15" s="189" t="n"/>
      <c r="F15" s="182" t="n"/>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inlineStr">
        <is>
          <t>brokerId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"broker-1"</t>
        </is>
      </c>
      <c r="E17" s="189" t="n"/>
      <c r="F17" s="187" t="inlineStr">
        <is>
          <t>O</t>
        </is>
      </c>
      <c r="G17" s="187" t="inlineStr">
        <is>
          <t>O</t>
        </is>
      </c>
      <c r="H17" s="187" t="inlineStr">
        <is>
          <t>O</t>
        </is>
      </c>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requestId</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"req-1"</t>
        </is>
      </c>
      <c r="E19" s="189" t="n"/>
      <c r="F19" s="187" t="inlineStr">
        <is>
          <t>O</t>
        </is>
      </c>
      <c r="G19" s="187" t="inlineStr">
        <is>
          <t>O</t>
        </is>
      </c>
      <c r="H19" s="187" t="inlineStr">
        <is>
          <t>O</t>
        </is>
      </c>
      <c r="I19" s="187" t="inlineStr">
        <is>
          <t>O</t>
        </is>
      </c>
      <c r="J19" s="187" t="inlineStr">
        <is>
          <t>O</t>
        </is>
      </c>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t="13.5" customHeight="1">
      <c r="A40" s="197" t="inlineStr">
        <is>
          <t>Confirm</t>
        </is>
      </c>
      <c r="B40" s="203" t="inlineStr">
        <is>
          <t>Return</t>
        </is>
      </c>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3" t="n"/>
      <c r="C41" s="204" t="n"/>
      <c r="D41" s="234" t="inlineStr">
        <is>
          <t>returns project-conversion result for request "req-1"</t>
        </is>
      </c>
      <c r="E41" s="199" t="n"/>
      <c r="F41" s="187" t="inlineStr">
        <is>
          <t>O</t>
        </is>
      </c>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6" t="n"/>
      <c r="C42" s="201" t="n"/>
      <c r="D42" s="207" t="inlineStr">
        <is>
          <t>re-throws convert-to-project service failure</t>
        </is>
      </c>
      <c r="E42" s="199" t="n"/>
      <c r="F42" s="182" t="n"/>
      <c r="G42" s="187" t="inlineStr">
        <is>
          <t>O</t>
        </is>
      </c>
      <c r="H42" s="182" t="n"/>
      <c r="I42" s="182" t="n"/>
      <c r="J42" s="182" t="n"/>
      <c r="K42" s="182" t="n"/>
      <c r="L42" s="182" t="n"/>
      <c r="M42" s="182" t="n"/>
      <c r="N42" s="182" t="n"/>
      <c r="O42" s="182" t="n"/>
      <c r="P42" s="182" t="n"/>
      <c r="Q42" s="182" t="n"/>
      <c r="R42" s="182" t="n"/>
      <c r="S42" s="182" t="n"/>
      <c r="T42" s="183" t="n"/>
    </row>
    <row r="43" ht="13.5" customHeight="1">
      <c r="A43" s="197" t="n"/>
      <c r="B43" s="206" t="inlineStr">
        <is>
          <t>Exception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27" customHeight="1">
      <c r="A44" s="197" t="n"/>
      <c r="B44" s="206" t="n"/>
      <c r="C44" s="201" t="n"/>
      <c r="D44" s="207" t="inlineStr">
        <is>
          <t>BadRequestException: cannot convert request without a finalized full specification</t>
        </is>
      </c>
      <c r="E44" s="199"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6" t="inlineStr">
        <is>
          <t>Log message</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27" customHeight="1">
      <c r="A46" s="197" t="n"/>
      <c r="B46" s="206" t="n"/>
      <c r="C46" s="201" t="n"/>
      <c r="D46" s="207" t="inlineStr">
        <is>
          <t>ForbiddenException: only the assigned broker or internal staff can convert this request</t>
        </is>
      </c>
      <c r="E46" s="199" t="n"/>
      <c r="F46" s="182" t="n"/>
      <c r="G46" s="182" t="n"/>
      <c r="H46" s="182" t="n"/>
      <c r="I46" s="187" t="n"/>
      <c r="J46" s="187" t="inlineStr">
        <is>
          <t>O</t>
        </is>
      </c>
      <c r="K46" s="182" t="n"/>
      <c r="L46" s="182" t="n"/>
      <c r="M46" s="182" t="n"/>
      <c r="N46" s="182" t="n"/>
      <c r="O46" s="182" t="n"/>
      <c r="P46" s="182" t="n"/>
      <c r="Q46" s="182" t="n"/>
      <c r="R46" s="182" t="n"/>
      <c r="S46" s="182" t="n"/>
      <c r="T46" s="183" t="n"/>
    </row>
    <row r="47" ht="13.5" customHeight="1">
      <c r="A47" s="197" t="n"/>
      <c r="B47" s="206" t="n"/>
      <c r="C47" s="208" t="n"/>
      <c r="D47" s="207" t="inlineStr">
        <is>
          <t>persists request status = CONVERTED_TO_PROJECT</t>
        </is>
      </c>
      <c r="E47" s="209" t="n"/>
      <c r="F47" s="187" t="n"/>
      <c r="G47" s="182" t="n"/>
      <c r="H47" s="187" t="inlineStr">
        <is>
          <t>O</t>
        </is>
      </c>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emits system message for linked project "Kickoff Project"</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calls convertToProject with request id and authenticated user</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N</t>
        </is>
      </c>
      <c r="I50" s="213" t="inlineStr">
        <is>
          <t>A</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/project-specs/pending with executed evidence for successful staff retrieval and propagated pending-spec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Pending-specs route is invoked by staff or admin</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ProjectSpecsService.findPendingSpecs resolves pending items</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ProjectSpecsService.findPendingSpecs throws an error</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inlineStr">
        <is>
          <t>O</t>
        </is>
      </c>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idden="1" ht="13.5" customHeight="1">
      <c r="A43" s="197" t="n"/>
      <c r="B43" s="206" t="n"/>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inlineStr">
        <is>
          <t>Confirm</t>
        </is>
      </c>
      <c r="B44" s="206" t="inlineStr">
        <is>
          <t>Return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returns pending specs for staff review</t>
        </is>
      </c>
      <c r="E45" s="199" t="n"/>
      <c r="F45" s="187" t="inlineStr">
        <is>
          <t>O</t>
        </is>
      </c>
      <c r="G45" s="182" t="n"/>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re-throws pending-spec lookup failure</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inlineStr">
        <is>
          <t>Verification</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calls findPendingSpecs without extra query parameters</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n"/>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n"/>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/project-specs/client-review with executed evidence for successful client-specific retrieval and propagated client-review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"client-1"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ProjectSpecsService.findPendingClientReview resolves specs</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ProjectSpecsService.findPendingClientReview throws an error</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clientId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"client-1"</t>
        </is>
      </c>
      <c r="E15" s="189" t="n"/>
      <c r="F15" s="187" t="inlineStr">
        <is>
          <t>O</t>
        </is>
      </c>
      <c r="G15" s="187" t="inlineStr">
        <is>
          <t>O</t>
        </is>
      </c>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idden="1" ht="13.5" customHeight="1">
      <c r="A43" s="197" t="n"/>
      <c r="B43" s="206" t="n"/>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inlineStr">
        <is>
          <t>Confirm</t>
        </is>
      </c>
      <c r="B44" s="206" t="inlineStr">
        <is>
          <t>Return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returns pending client-review specs for client "client-1"</t>
        </is>
      </c>
      <c r="E45" s="199" t="n"/>
      <c r="F45" s="187" t="inlineStr">
        <is>
          <t>O</t>
        </is>
      </c>
      <c r="G45" s="182" t="n"/>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re-throws pending client-review lookup failure</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inlineStr">
        <is>
          <t>Verification</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calls findPendingClientReview with authenticated client id "client-1"</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n"/>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n"/>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List'!E31</f>
        <v/>
      </c>
      <c r="D2" s="131" t="n"/>
      <c r="E2" s="133" t="n"/>
      <c r="F2" s="134" t="inlineStr">
        <is>
          <t>Function Name</t>
        </is>
      </c>
      <c r="G2" s="135" t="n"/>
      <c r="H2" s="135" t="n"/>
      <c r="I2" s="135" t="n"/>
      <c r="J2" s="135" t="n"/>
      <c r="K2" s="135" t="n"/>
      <c r="L2" s="136">
        <f>'Function List'!D31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/project-specs/final-review with executed evidence for successful party-specific retrieval and propagated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project party "user-1"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Final-review query resolves specs for the authenticated party</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Final-review query throws an unexpected error</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inlineStr">
        <is>
          <t>O</t>
        </is>
      </c>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idden="1" ht="13.5" customHeight="1">
      <c r="A43" s="197" t="n"/>
      <c r="B43" s="206" t="n"/>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inlineStr">
        <is>
          <t>Confirm</t>
        </is>
      </c>
      <c r="B44" s="206" t="inlineStr">
        <is>
          <t>Return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Return specs currently in FINAL_REVIEW for the authenticated party</t>
        </is>
      </c>
      <c r="E45" s="199" t="n"/>
      <c r="F45" s="187" t="inlineStr">
        <is>
          <t>O</t>
        </is>
      </c>
      <c r="G45" s="182" t="n"/>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Propagate final-review lookup failure</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inlineStr">
        <is>
          <t>Verification</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Call findSpecsInFinalReview with authenticated user id</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n"/>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n"/>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List'!E32</f>
        <v/>
      </c>
      <c r="D2" s="131" t="n"/>
      <c r="E2" s="133" t="n"/>
      <c r="F2" s="134" t="inlineStr">
        <is>
          <t>Function Name</t>
        </is>
      </c>
      <c r="G2" s="135" t="n"/>
      <c r="H2" s="135" t="n"/>
      <c r="I2" s="135" t="n"/>
      <c r="J2" s="135" t="n"/>
      <c r="K2" s="135" t="n"/>
      <c r="L2" s="136">
        <f>'Function List'!D32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/project-specs/by-request/:requestId with executed evidence for successful request-scoped retrieval and propagated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Request-scoped spec query resolves specs for request "req-1"</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Request-scoped spec query throws an unexpected error for request "req-1"</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inlineStr">
        <is>
          <t>requestId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"req-1"</t>
        </is>
      </c>
      <c r="E17" s="189" t="n"/>
      <c r="F17" s="187" t="inlineStr">
        <is>
          <t>O</t>
        </is>
      </c>
      <c r="G17" s="187" t="inlineStr">
        <is>
          <t>O</t>
        </is>
      </c>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idden="1" ht="13.5" customHeight="1">
      <c r="A43" s="197" t="n"/>
      <c r="B43" s="206" t="n"/>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inlineStr">
        <is>
          <t>Confirm</t>
        </is>
      </c>
      <c r="B44" s="206" t="inlineStr">
        <is>
          <t>Return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Return specs linked to request "req-1"</t>
        </is>
      </c>
      <c r="E45" s="199" t="n"/>
      <c r="F45" s="187" t="inlineStr">
        <is>
          <t>O</t>
        </is>
      </c>
      <c r="G45" s="182" t="n"/>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Propagate request-scoped spec lookup failure</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inlineStr">
        <is>
          <t>Verification</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 findSpecsByRequestIdForUser with authenticated user and request "req-1"</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n"/>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n"/>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List'!E33</f>
        <v/>
      </c>
      <c r="D2" s="131" t="n"/>
      <c r="E2" s="133" t="n"/>
      <c r="F2" s="134" t="inlineStr">
        <is>
          <t>Function Name</t>
        </is>
      </c>
      <c r="G2" s="135" t="n"/>
      <c r="H2" s="135" t="n"/>
      <c r="I2" s="135" t="n"/>
      <c r="J2" s="135" t="n"/>
      <c r="K2" s="135" t="n"/>
      <c r="L2" s="136">
        <f>'Function List'!D33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/project-specs/client-spec/:requestId with executed evidence for successful request-scoped client-spec retrieval and propagated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Client-spec lookup resolves the client spec for request "req-1"</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Client-spec lookup throws an unexpected error for request "req-1"</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clientId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"client-1"</t>
        </is>
      </c>
      <c r="E15" s="189" t="n"/>
      <c r="F15" s="187" t="inlineStr">
        <is>
          <t>O</t>
        </is>
      </c>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inlineStr">
        <is>
          <t>requestId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"req-1"</t>
        </is>
      </c>
      <c r="E17" s="189" t="n"/>
      <c r="F17" s="187" t="inlineStr">
        <is>
          <t>O</t>
        </is>
      </c>
      <c r="G17" s="187" t="inlineStr">
        <is>
          <t>O</t>
        </is>
      </c>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idden="1" ht="13.5" customHeight="1">
      <c r="A43" s="197" t="n"/>
      <c r="B43" s="206" t="n"/>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inlineStr">
        <is>
          <t>Confirm</t>
        </is>
      </c>
      <c r="B44" s="206" t="inlineStr">
        <is>
          <t>Return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Return the client spec linked to request "req-1"</t>
        </is>
      </c>
      <c r="E45" s="199" t="n"/>
      <c r="F45" s="187" t="inlineStr">
        <is>
          <t>O</t>
        </is>
      </c>
      <c r="G45" s="182" t="n"/>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Propagate client-spec lookup failure</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inlineStr">
        <is>
          <t>Verification</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 findClientSpecForUser with authenticated user and request "req-1"</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n"/>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n"/>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List'!E34</f>
        <v/>
      </c>
      <c r="D2" s="131" t="n"/>
      <c r="E2" s="133" t="n"/>
      <c r="F2" s="134" t="inlineStr">
        <is>
          <t>Function Name</t>
        </is>
      </c>
      <c r="G2" s="135" t="n"/>
      <c r="H2" s="135" t="n"/>
      <c r="I2" s="135" t="n"/>
      <c r="J2" s="135" t="n"/>
      <c r="K2" s="135" t="n"/>
      <c r="L2" s="136">
        <f>'Function List'!D34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/project-specs/full-spec/:parentSpecId with executed evidence for successful full-spec retrieval and propagated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"user-1"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Full-spec lookup resolves the linked full spec for parent "parent-spec-1"</t>
        </is>
      </c>
      <c r="E12" s="186" t="n"/>
      <c r="F12" s="187" t="inlineStr">
        <is>
          <t>O</t>
        </is>
      </c>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Full-spec lookup throws an unexpected error for parent "parent-spec-1"</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inlineStr">
        <is>
          <t>O</t>
        </is>
      </c>
      <c r="H15" s="187" t="n"/>
      <c r="I15" s="182" t="n"/>
      <c r="J15" s="182" t="n"/>
      <c r="K15" s="182" t="n"/>
      <c r="L15" s="182" t="n"/>
      <c r="M15" s="182" t="n"/>
      <c r="N15" s="182" t="n"/>
      <c r="O15" s="182" t="n"/>
      <c r="P15" s="182" t="n"/>
      <c r="Q15" s="182" t="n"/>
      <c r="R15" s="182" t="n"/>
      <c r="S15" s="182" t="n"/>
      <c r="T15" s="183" t="n"/>
    </row>
    <row r="16" ht="13.5" customHeight="1">
      <c r="A16" s="184" t="n"/>
      <c r="B16" s="178" t="inlineStr">
        <is>
          <t>parentSpecId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Parent full-spec id "parent-spec-1" is supplied</t>
        </is>
      </c>
      <c r="E17" s="189" t="n"/>
      <c r="F17" s="187" t="inlineStr">
        <is>
          <t>O</t>
        </is>
      </c>
      <c r="G17" s="187" t="inlineStr">
        <is>
          <t>O</t>
        </is>
      </c>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idden="1" ht="13.5" customHeight="1">
      <c r="A43" s="197" t="n"/>
      <c r="B43" s="206" t="n"/>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inlineStr">
        <is>
          <t>Confirm</t>
        </is>
      </c>
      <c r="B44" s="206" t="inlineStr">
        <is>
          <t>Return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Return the full spec linked to parent spec "parent-spec-1"</t>
        </is>
      </c>
      <c r="E45" s="199" t="n"/>
      <c r="F45" s="187" t="inlineStr">
        <is>
          <t>O</t>
        </is>
      </c>
      <c r="G45" s="182" t="n"/>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Propagate full-spec lookup failure</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inlineStr">
        <is>
          <t>Verification</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 findFullSpecForUser with authenticated user and parent spec "parent-spec-1"</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n"/>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n"/>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List'!E35</f>
        <v/>
      </c>
      <c r="D2" s="131" t="n"/>
      <c r="E2" s="133" t="n"/>
      <c r="F2" s="134" t="inlineStr">
        <is>
          <t>Function Name</t>
        </is>
      </c>
      <c r="G2" s="135" t="n"/>
      <c r="H2" s="135" t="n"/>
      <c r="I2" s="135" t="n"/>
      <c r="J2" s="135" t="n"/>
      <c r="K2" s="135" t="n"/>
      <c r="L2" s="136">
        <f>'Function List'!D35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/project-specs/:id with executed evidence for authorized access, accepted-freelancer access, outsider rejection, and propagated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project party "user-1"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Accepted freelancer "freelancer-1" is linked to the request proposals</t>
        </is>
      </c>
      <c r="E12" s="186" t="n"/>
      <c r="F12" s="187" t="n"/>
      <c r="G12" s="187" t="inlineStr">
        <is>
          <t>O</t>
        </is>
      </c>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Authenticated viewer is unrelated to the request participants</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Single-spec lookup throws an unexpected error</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inlineStr">
        <is>
          <t>userId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"user-1"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specId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"spec-1"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request membership</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27" customHeight="1">
      <c r="A20" s="184" t="n"/>
      <c r="B20" s="178" t="n"/>
      <c r="C20" s="179" t="n"/>
      <c r="D20" s="185" t="inlineStr">
        <is>
          <t>Authenticated viewer belongs to the request participants</t>
        </is>
      </c>
      <c r="E20" s="189" t="n"/>
      <c r="F20" s="187" t="inlineStr">
        <is>
          <t>O</t>
        </is>
      </c>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the requested spec for an authorized viewer</t>
        </is>
      </c>
      <c r="E43" s="199"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Include the request-linked spec detail in the response</t>
        </is>
      </c>
      <c r="E44" s="199"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n"/>
      <c r="C46" s="201" t="n"/>
      <c r="D46" s="207" t="inlineStr">
        <is>
          <t>Reject viewers who are not authorized to view the spec</t>
        </is>
      </c>
      <c r="E46" s="199" t="n"/>
      <c r="F46" s="182" t="n"/>
      <c r="G46" s="182" t="n"/>
      <c r="H46" s="187" t="inlineStr">
        <is>
          <t>O</t>
        </is>
      </c>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Propagate single-spec lookup failure</t>
        </is>
      </c>
      <c r="E47" s="209" t="n"/>
      <c r="F47" s="187" t="n"/>
      <c r="G47" s="182" t="n"/>
      <c r="H47" s="182" t="n"/>
      <c r="I47" s="187" t="inlineStr">
        <is>
          <t>O</t>
        </is>
      </c>
      <c r="J47" s="187" t="n"/>
      <c r="K47" s="182" t="n"/>
      <c r="L47" s="182" t="n"/>
      <c r="M47" s="182" t="n"/>
      <c r="N47" s="182" t="n"/>
      <c r="O47" s="182" t="n"/>
      <c r="P47" s="182" t="n"/>
      <c r="Q47" s="182" t="n"/>
      <c r="R47" s="182" t="n"/>
      <c r="S47" s="182" t="n"/>
      <c r="T47" s="183" t="n"/>
    </row>
    <row r="48" ht="13.5" customHeight="1">
      <c r="A48" s="197" t="n"/>
      <c r="B48" s="206" t="inlineStr">
        <is>
          <t>Verification</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Enforce request membership before returning spec data</t>
        </is>
      </c>
      <c r="E49" s="209" t="n"/>
      <c r="F49" s="187" t="inlineStr">
        <is>
          <t>O</t>
        </is>
      </c>
      <c r="G49" s="187" t="inlineStr">
        <is>
          <t>O</t>
        </is>
      </c>
      <c r="H49" s="187" t="inlineStr">
        <is>
          <t>O</t>
        </is>
      </c>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List'!E36</f>
        <v/>
      </c>
      <c r="D2" s="131" t="n"/>
      <c r="E2" s="133" t="n"/>
      <c r="F2" s="134" t="inlineStr">
        <is>
          <t>Function Name</t>
        </is>
      </c>
      <c r="G2" s="135" t="n"/>
      <c r="H2" s="135" t="n"/>
      <c r="I2" s="135" t="n"/>
      <c r="J2" s="135" t="n"/>
      <c r="K2" s="135" t="n"/>
      <c r="L2" s="136">
        <f>'Function List'!D36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createClientSpec with executed evidence for controller delegation, successful draft creation, audit logging, broker-ownership rejection, and propagated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Request "req-1" belongs to another broker</t>
        </is>
      </c>
      <c r="E12" s="186" t="n"/>
      <c r="F12" s="187" t="n"/>
      <c r="G12" s="187" t="n"/>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Client-spec creation throws an unexpected error</t>
        </is>
      </c>
      <c r="E13" s="189" t="n"/>
      <c r="F13" s="182" t="n"/>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inlineStr">
        <is>
          <t>brokerId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"broker-1"</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requestId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"req-1"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request body</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Client-spec draft data is supplied in the request body</t>
        </is>
      </c>
      <c r="E19" s="189" t="n"/>
      <c r="F19" s="187" t="inlineStr">
        <is>
          <t>O</t>
        </is>
      </c>
      <c r="G19" s="187" t="inlineStr">
        <is>
          <t>O</t>
        </is>
      </c>
      <c r="H19" s="187" t="inlineStr">
        <is>
          <t>O</t>
        </is>
      </c>
      <c r="I19" s="187" t="inlineStr">
        <is>
          <t>O</t>
        </is>
      </c>
      <c r="J19" s="182" t="n"/>
      <c r="K19" s="187" t="n"/>
      <c r="L19" s="182" t="n"/>
      <c r="M19" s="187" t="n"/>
      <c r="N19" s="182" t="n"/>
      <c r="O19" s="182" t="n"/>
      <c r="P19" s="182" t="n"/>
      <c r="Q19" s="182" t="n"/>
      <c r="R19" s="182" t="n"/>
      <c r="S19" s="182" t="n"/>
      <c r="T19" s="183" t="n"/>
    </row>
    <row r="20" ht="13.5" customHeight="1">
      <c r="A20" s="184" t="n"/>
      <c r="B20" s="178" t="inlineStr">
        <is>
          <t>ownership</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Request "req-1" belongs to broker "broker-1"</t>
        </is>
      </c>
      <c r="E21" s="189" t="n"/>
      <c r="F21" s="187" t="inlineStr">
        <is>
          <t>O</t>
        </is>
      </c>
      <c r="G21" s="187" t="inlineStr">
        <is>
          <t>O</t>
        </is>
      </c>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the created client-spec draft</t>
        </is>
      </c>
      <c r="E43" s="199"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t="27" customHeight="1">
      <c r="A44" s="197" t="n"/>
      <c r="B44" s="206" t="n"/>
      <c r="C44" s="201" t="n"/>
      <c r="D44" s="207" t="inlineStr">
        <is>
          <t>Persist the draft in DRAFT status and hydrate the saved read model</t>
        </is>
      </c>
      <c r="E44" s="199"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27" customHeight="1">
      <c r="A46" s="197" t="n"/>
      <c r="B46" s="206" t="n"/>
      <c r="C46" s="201" t="n"/>
      <c r="D46" s="207" t="inlineStr">
        <is>
          <t>Reject brokers who do not own the project request or propagate service failure</t>
        </is>
      </c>
      <c r="E46" s="199" t="n"/>
      <c r="F46" s="182" t="n"/>
      <c r="G46" s="182" t="n"/>
      <c r="H46" s="187" t="inlineStr">
        <is>
          <t>O</t>
        </is>
      </c>
      <c r="I46" s="187" t="inlineStr">
        <is>
          <t>O</t>
        </is>
      </c>
      <c r="J46" s="182" t="n"/>
      <c r="K46" s="182" t="n"/>
      <c r="L46" s="182" t="n"/>
      <c r="M46" s="182" t="n"/>
      <c r="N46" s="182" t="n"/>
      <c r="O46" s="182" t="n"/>
      <c r="P46" s="182" t="n"/>
      <c r="Q46" s="182" t="n"/>
      <c r="R46" s="182" t="n"/>
      <c r="S46" s="182" t="n"/>
      <c r="T46" s="183" t="n"/>
    </row>
    <row r="47" ht="13.5" customHeight="1">
      <c r="A47" s="197" t="n"/>
      <c r="B47" s="206" t="inlineStr">
        <is>
          <t>Log message</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Create Client Spec Successful: request "req-1" opens a client-spec draft</t>
        </is>
      </c>
      <c r="E48" s="209" t="n"/>
      <c r="F48" s="182" t="n"/>
      <c r="G48" s="187" t="inlineStr">
        <is>
          <t>O</t>
        </is>
      </c>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Create Client Spec Failed: broker is not authorized for request "req-1"</t>
        </is>
      </c>
      <c r="E49" s="209" t="n"/>
      <c r="F49" s="182" t="n"/>
      <c r="G49" s="182" t="n"/>
      <c r="H49" s="187" t="inlineStr">
        <is>
          <t>O</t>
        </is>
      </c>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List'!E37</f>
        <v/>
      </c>
      <c r="D2" s="131" t="n"/>
      <c r="E2" s="133" t="n"/>
      <c r="F2" s="134" t="inlineStr">
        <is>
          <t>Function Name</t>
        </is>
      </c>
      <c r="G2" s="135" t="n"/>
      <c r="H2" s="135" t="n"/>
      <c r="I2" s="135" t="n"/>
      <c r="J2" s="135" t="n"/>
      <c r="K2" s="135" t="n"/>
      <c r="L2" s="136">
        <f>'Function List'!D37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updateClientSpec with executed evidence for controller delegation, successful rejected-draft updates, wrong-phase rejection, and propagated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27" customHeight="1">
      <c r="A12" s="184" t="n"/>
      <c r="B12" s="178" t="n"/>
      <c r="C12" s="179" t="n"/>
      <c r="D12" s="185" t="inlineStr">
        <is>
          <t>Target spec "spec-1" is a FULL_SPEC and cannot be edited here</t>
        </is>
      </c>
      <c r="E12" s="186" t="n"/>
      <c r="F12" s="187" t="n"/>
      <c r="G12" s="187" t="n"/>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Client-spec update throws an unexpected error</t>
        </is>
      </c>
      <c r="E13" s="189" t="n"/>
      <c r="F13" s="182" t="n"/>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inlineStr">
        <is>
          <t>brokerId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"broker-1"</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specId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"spec-1"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request body</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27" customHeight="1">
      <c r="A19" s="184" t="n"/>
      <c r="B19" s="178" t="n"/>
      <c r="C19" s="179" t="n"/>
      <c r="D19" s="185" t="inlineStr">
        <is>
          <t>Updated client-spec draft data is supplied in the request body</t>
        </is>
      </c>
      <c r="E19" s="189" t="n"/>
      <c r="F19" s="187" t="inlineStr">
        <is>
          <t>O</t>
        </is>
      </c>
      <c r="G19" s="187" t="inlineStr">
        <is>
          <t>O</t>
        </is>
      </c>
      <c r="H19" s="187" t="inlineStr">
        <is>
          <t>O</t>
        </is>
      </c>
      <c r="I19" s="187" t="inlineStr">
        <is>
          <t>O</t>
        </is>
      </c>
      <c r="J19" s="182" t="n"/>
      <c r="K19" s="187" t="n"/>
      <c r="L19" s="182" t="n"/>
      <c r="M19" s="187" t="n"/>
      <c r="N19" s="182" t="n"/>
      <c r="O19" s="182" t="n"/>
      <c r="P19" s="182" t="n"/>
      <c r="Q19" s="182" t="n"/>
      <c r="R19" s="182" t="n"/>
      <c r="S19" s="182" t="n"/>
      <c r="T19" s="183" t="n"/>
    </row>
    <row r="20" ht="13.5" customHeight="1">
      <c r="A20" s="184" t="n"/>
      <c r="B20" s="178" t="inlineStr">
        <is>
          <t>spec phase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27" customHeight="1">
      <c r="A21" s="184" t="n"/>
      <c r="B21" s="178" t="n"/>
      <c r="C21" s="179" t="n"/>
      <c r="D21" s="185" t="inlineStr">
        <is>
          <t>Target spec "spec-1" is a client-spec draft or rejected client spec</t>
        </is>
      </c>
      <c r="E21" s="189" t="n"/>
      <c r="F21" s="187" t="inlineStr">
        <is>
          <t>O</t>
        </is>
      </c>
      <c r="G21" s="187" t="inlineStr">
        <is>
          <t>O</t>
        </is>
      </c>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inlineStr">
        <is>
          <t>Confirm</t>
        </is>
      </c>
      <c r="B43" s="206" t="inlineStr">
        <is>
          <t>Return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Return the updated client-spec draft</t>
        </is>
      </c>
      <c r="E44" s="199"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Preserve REJECTED status until the broker resubmits the spec</t>
        </is>
      </c>
      <c r="E45" s="199" t="n"/>
      <c r="F45" s="182" t="n"/>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Reject invalid spec phase or propagate update-client-spec failure</t>
        </is>
      </c>
      <c r="E47" s="209" t="n"/>
      <c r="F47" s="187" t="n"/>
      <c r="G47" s="182" t="n"/>
      <c r="H47" s="187" t="inlineStr">
        <is>
          <t>O</t>
        </is>
      </c>
      <c r="I47" s="187" t="inlineStr">
        <is>
          <t>O</t>
        </is>
      </c>
      <c r="J47" s="187" t="n"/>
      <c r="K47" s="182" t="n"/>
      <c r="L47" s="182" t="n"/>
      <c r="M47" s="182" t="n"/>
      <c r="N47" s="182" t="n"/>
      <c r="O47" s="182" t="n"/>
      <c r="P47" s="182" t="n"/>
      <c r="Q47" s="182" t="n"/>
      <c r="R47" s="182" t="n"/>
      <c r="S47" s="182" t="n"/>
      <c r="T47" s="183" t="n"/>
    </row>
    <row r="48" ht="13.5" customHeight="1">
      <c r="A48" s="197" t="n"/>
      <c r="B48" s="206" t="inlineStr">
        <is>
          <t>Log message</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Update Client Spec Successful: draft changes are saved for spec "spec-1"</t>
        </is>
      </c>
      <c r="E49" s="209" t="n"/>
      <c r="F49" s="182" t="n"/>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List'!E38</f>
        <v/>
      </c>
      <c r="D2" s="131" t="n"/>
      <c r="E2" s="133" t="n"/>
      <c r="F2" s="134" t="inlineStr">
        <is>
          <t>Function Name</t>
        </is>
      </c>
      <c r="G2" s="135" t="n"/>
      <c r="H2" s="135" t="n"/>
      <c r="I2" s="135" t="n"/>
      <c r="J2" s="135" t="n"/>
      <c r="K2" s="135" t="n"/>
      <c r="L2" s="136">
        <f>'Function List'!D38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submitForClientReview with executed evidence for controller delegation, successful submission, client notification, no-feature rejection, and propagated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Client spec "spec-1" is in DRAFT or REJECTED status</t>
        </is>
      </c>
      <c r="E12" s="186" t="n"/>
      <c r="F12" s="187" t="inlineStr">
        <is>
          <t>O</t>
        </is>
      </c>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Client spec "spec-1" has no client features</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27" customHeight="1">
      <c r="A14" s="184" t="n"/>
      <c r="B14" s="178" t="n"/>
      <c r="C14" s="179" t="n"/>
      <c r="D14" s="185" t="inlineStr">
        <is>
          <t>Submit-for-client-review flow throws an unexpected error</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inlineStr">
        <is>
          <t>brokerId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"broker-1"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specId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"spec-1"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features</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27" customHeight="1">
      <c r="A20" s="184" t="n"/>
      <c r="B20" s="178" t="n"/>
      <c r="C20" s="179" t="n"/>
      <c r="D20" s="185" t="inlineStr">
        <is>
          <t>Client spec "spec-1" contains at least one client feature</t>
        </is>
      </c>
      <c r="E20" s="189" t="n"/>
      <c r="F20" s="187" t="inlineStr">
        <is>
          <t>O</t>
        </is>
      </c>
      <c r="G20" s="187" t="inlineStr">
        <is>
          <t>O</t>
        </is>
      </c>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inlineStr">
        <is>
          <t>Confirm</t>
        </is>
      </c>
      <c r="B43" s="206" t="inlineStr">
        <is>
          <t>Return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Return the submitted client spec</t>
        </is>
      </c>
      <c r="E44" s="199"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Persist CLIENT_REVIEW status and notify the client reviewer</t>
        </is>
      </c>
      <c r="E45" s="199" t="n"/>
      <c r="F45" s="182" t="n"/>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Reject client specs without features or propagate submit-for-client-review failure</t>
        </is>
      </c>
      <c r="E47" s="209" t="n"/>
      <c r="F47" s="187" t="n"/>
      <c r="G47" s="182" t="n"/>
      <c r="H47" s="187" t="inlineStr">
        <is>
          <t>O</t>
        </is>
      </c>
      <c r="I47" s="187" t="inlineStr">
        <is>
          <t>O</t>
        </is>
      </c>
      <c r="J47" s="187" t="n"/>
      <c r="K47" s="182" t="n"/>
      <c r="L47" s="182" t="n"/>
      <c r="M47" s="182" t="n"/>
      <c r="N47" s="182" t="n"/>
      <c r="O47" s="182" t="n"/>
      <c r="P47" s="182" t="n"/>
      <c r="Q47" s="182" t="n"/>
      <c r="R47" s="182" t="n"/>
      <c r="S47" s="182" t="n"/>
      <c r="T47" s="183" t="n"/>
    </row>
    <row r="48" ht="13.5" customHeight="1">
      <c r="A48" s="197" t="n"/>
      <c r="B48" s="206" t="inlineStr">
        <is>
          <t>Log message</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Submit Client Spec Successful: "spec-1" -&gt; "CLIENT_REVIEW"</t>
        </is>
      </c>
      <c r="E49" s="209" t="n"/>
      <c r="F49" s="182" t="n"/>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List'!E39</f>
        <v/>
      </c>
      <c r="D2" s="131" t="n"/>
      <c r="E2" s="133" t="n"/>
      <c r="F2" s="134" t="inlineStr">
        <is>
          <t>Function Name</t>
        </is>
      </c>
      <c r="G2" s="135" t="n"/>
      <c r="H2" s="135" t="n"/>
      <c r="I2" s="135" t="n"/>
      <c r="J2" s="135" t="n"/>
      <c r="K2" s="135" t="n"/>
      <c r="L2" s="136">
        <f>'Function List'!D39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clientReviewSpec with executed evidence for controller approve/reject routing, approval transition, short-reason rejection, and propagated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"client-1"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Review action = "REJECT" with a rejection reason</t>
        </is>
      </c>
      <c r="E12" s="186" t="n"/>
      <c r="F12" s="187" t="n"/>
      <c r="G12" s="187" t="inlineStr">
        <is>
          <t>O</t>
        </is>
      </c>
      <c r="H12" s="187" t="n"/>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Client-review flow throws an unexpected error</t>
        </is>
      </c>
      <c r="E13" s="189" t="n"/>
      <c r="F13" s="182" t="n"/>
      <c r="G13" s="182" t="n"/>
      <c r="H13" s="182" t="n"/>
      <c r="I13" s="182" t="n"/>
      <c r="J13" s="187" t="inlineStr">
        <is>
          <t>O</t>
        </is>
      </c>
      <c r="K13" s="182" t="n"/>
      <c r="L13" s="182" t="n"/>
      <c r="M13" s="182" t="n"/>
      <c r="N13" s="182" t="n"/>
      <c r="O13" s="182" t="n"/>
      <c r="P13" s="182" t="n"/>
      <c r="Q13" s="182" t="n"/>
      <c r="R13" s="182" t="n"/>
      <c r="S13" s="182" t="n"/>
      <c r="T13" s="183" t="n"/>
    </row>
    <row r="14" ht="13.5" customHeight="1">
      <c r="A14" s="184" t="n"/>
      <c r="B14" s="178" t="inlineStr">
        <is>
          <t>clientId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"client-1"</t>
        </is>
      </c>
      <c r="E15" s="189" t="n"/>
      <c r="F15" s="187" t="inlineStr">
        <is>
          <t>O</t>
        </is>
      </c>
      <c r="G15" s="187" t="inlineStr">
        <is>
          <t>O</t>
        </is>
      </c>
      <c r="H15" s="187" t="inlineStr">
        <is>
          <t>O</t>
        </is>
      </c>
      <c r="I15" s="187" t="inlineStr">
        <is>
          <t>O</t>
        </is>
      </c>
      <c r="J15" s="187" t="inlineStr">
        <is>
          <t>O</t>
        </is>
      </c>
      <c r="K15" s="182" t="n"/>
      <c r="L15" s="182" t="n"/>
      <c r="M15" s="182" t="n"/>
      <c r="N15" s="182" t="n"/>
      <c r="O15" s="182" t="n"/>
      <c r="P15" s="182" t="n"/>
      <c r="Q15" s="182" t="n"/>
      <c r="R15" s="182" t="n"/>
      <c r="S15" s="182" t="n"/>
      <c r="T15" s="183" t="n"/>
    </row>
    <row r="16" ht="13.5" customHeight="1">
      <c r="A16" s="184" t="n"/>
      <c r="B16" s="178" t="inlineStr">
        <is>
          <t>specId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"spec-1"</t>
        </is>
      </c>
      <c r="E17" s="189" t="n"/>
      <c r="F17" s="187" t="inlineStr">
        <is>
          <t>O</t>
        </is>
      </c>
      <c r="G17" s="187" t="inlineStr">
        <is>
          <t>O</t>
        </is>
      </c>
      <c r="H17" s="187" t="inlineStr">
        <is>
          <t>O</t>
        </is>
      </c>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action</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Review action = "APPROVE"</t>
        </is>
      </c>
      <c r="E19" s="189" t="n"/>
      <c r="F19" s="187" t="inlineStr">
        <is>
          <t>O</t>
        </is>
      </c>
      <c r="G19" s="182" t="n"/>
      <c r="H19" s="187" t="inlineStr">
        <is>
          <t>O</t>
        </is>
      </c>
      <c r="I19" s="182" t="n"/>
      <c r="J19" s="187" t="inlineStr">
        <is>
          <t>O</t>
        </is>
      </c>
      <c r="K19" s="187" t="n"/>
      <c r="L19" s="182" t="n"/>
      <c r="M19" s="187" t="n"/>
      <c r="N19" s="182" t="n"/>
      <c r="O19" s="182" t="n"/>
      <c r="P19" s="182" t="n"/>
      <c r="Q19" s="182" t="n"/>
      <c r="R19" s="182" t="n"/>
      <c r="S19" s="182" t="n"/>
      <c r="T19" s="183" t="n"/>
    </row>
    <row r="20" ht="13.5" customHeight="1">
      <c r="A20" s="184" t="n"/>
      <c r="B20" s="178" t="inlineStr">
        <is>
          <t>reason</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Rejection reason is shorter than 10 characters</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the reviewed client spec</t>
        </is>
      </c>
      <c r="E43" s="199" t="n"/>
      <c r="F43" s="187" t="inlineStr">
        <is>
          <t>O</t>
        </is>
      </c>
      <c r="G43" s="187" t="inlineStr">
        <is>
          <t>O</t>
        </is>
      </c>
      <c r="H43" s="187" t="inlineStr">
        <is>
          <t>O</t>
        </is>
      </c>
      <c r="I43" s="182" t="n"/>
      <c r="J43" s="182" t="n"/>
      <c r="K43" s="182" t="n"/>
      <c r="L43" s="182" t="n"/>
      <c r="M43" s="182" t="n"/>
      <c r="N43" s="182" t="n"/>
      <c r="O43" s="182" t="n"/>
      <c r="P43" s="182" t="n"/>
      <c r="Q43" s="182" t="n"/>
      <c r="R43" s="182" t="n"/>
      <c r="S43" s="182" t="n"/>
      <c r="T43" s="183" t="n"/>
    </row>
    <row r="44" ht="27" customHeight="1">
      <c r="A44" s="197" t="n"/>
      <c r="B44" s="206" t="n"/>
      <c r="C44" s="201" t="n"/>
      <c r="D44" s="207" t="inlineStr">
        <is>
          <t>Move the request to SPEC_APPROVED when the client approves the spec</t>
        </is>
      </c>
      <c r="E44" s="199" t="n"/>
      <c r="F44" s="182" t="n"/>
      <c r="G44" s="187" t="n"/>
      <c r="H44" s="187" t="inlineStr">
        <is>
          <t>O</t>
        </is>
      </c>
      <c r="I44" s="182" t="n"/>
      <c r="J44" s="182" t="n"/>
      <c r="K44" s="182" t="n"/>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27" customHeight="1">
      <c r="A46" s="197" t="n"/>
      <c r="B46" s="206" t="n"/>
      <c r="C46" s="201" t="n"/>
      <c r="D46" s="207" t="inlineStr">
        <is>
          <t>Reject short rejection reasons or propagate client-review failure</t>
        </is>
      </c>
      <c r="E46" s="199" t="n"/>
      <c r="F46" s="182" t="n"/>
      <c r="G46" s="182" t="n"/>
      <c r="H46" s="182" t="n"/>
      <c r="I46" s="187" t="inlineStr">
        <is>
          <t>O</t>
        </is>
      </c>
      <c r="J46" s="187" t="inlineStr">
        <is>
          <t>O</t>
        </is>
      </c>
      <c r="K46" s="182" t="n"/>
      <c r="L46" s="182" t="n"/>
      <c r="M46" s="182" t="n"/>
      <c r="N46" s="182" t="n"/>
      <c r="O46" s="182" t="n"/>
      <c r="P46" s="182" t="n"/>
      <c r="Q46" s="182" t="n"/>
      <c r="R46" s="182" t="n"/>
      <c r="S46" s="182" t="n"/>
      <c r="T46" s="183" t="n"/>
    </row>
    <row r="47" ht="13.5" customHeight="1">
      <c r="A47" s="197" t="n"/>
      <c r="B47" s="206" t="inlineStr">
        <is>
          <t>Log message</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Client Review Successful: "spec-1" -&gt; "APPROVED"</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Client Review Rejected: "spec-1" -&gt; "REJECTED"</t>
        </is>
      </c>
      <c r="E49" s="209" t="n"/>
      <c r="F49" s="182" t="n"/>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N</t>
        </is>
      </c>
      <c r="I50" s="213" t="inlineStr">
        <is>
          <t>A</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List'!E40</f>
        <v/>
      </c>
      <c r="D2" s="131" t="n"/>
      <c r="E2" s="133" t="n"/>
      <c r="F2" s="134" t="inlineStr">
        <is>
          <t>Function Name</t>
        </is>
      </c>
      <c r="G2" s="135" t="n"/>
      <c r="H2" s="135" t="n"/>
      <c r="I2" s="135" t="n"/>
      <c r="J2" s="135" t="n"/>
      <c r="K2" s="135" t="n"/>
      <c r="L2" s="136">
        <f>'Function List'!D40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209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createFullSpec with executed evidence for successful draft creation, propagated failures, approved-budget cap enforcement, and milestone-retention validation.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Create-full-spec flow throws an unexpected error</t>
        </is>
      </c>
      <c r="E12" s="186" t="n"/>
      <c r="F12" s="187" t="n"/>
      <c r="G12" s="187" t="inlineStr">
        <is>
          <t>O</t>
        </is>
      </c>
      <c r="H12" s="187" t="n"/>
      <c r="I12" s="187" t="n"/>
      <c r="J12" s="187" t="n"/>
      <c r="K12" s="187" t="n"/>
      <c r="L12" s="187" t="n"/>
      <c r="M12" s="187" t="n"/>
      <c r="N12" s="187" t="n"/>
      <c r="O12" s="187" t="n"/>
      <c r="P12" s="187" t="n"/>
      <c r="Q12" s="187" t="n"/>
      <c r="R12" s="187" t="n"/>
      <c r="S12" s="187" t="n"/>
      <c r="T12" s="188" t="n"/>
    </row>
    <row r="13" ht="13.5" customHeight="1">
      <c r="A13" s="184" t="n"/>
      <c r="B13" s="178" t="inlineStr">
        <is>
          <t>brokerId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"broker-1"</t>
        </is>
      </c>
      <c r="E14" s="189" t="n"/>
      <c r="F14" s="187" t="inlineStr">
        <is>
          <t>O</t>
        </is>
      </c>
      <c r="G14" s="187" t="inlineStr">
        <is>
          <t>O</t>
        </is>
      </c>
      <c r="H14" s="187" t="inlineStr">
        <is>
          <t>O</t>
        </is>
      </c>
      <c r="I14" s="187" t="inlineStr">
        <is>
          <t>O</t>
        </is>
      </c>
      <c r="J14" s="182" t="n"/>
      <c r="K14" s="182" t="n"/>
      <c r="L14" s="182" t="n"/>
      <c r="M14" s="182" t="n"/>
      <c r="N14" s="182" t="n"/>
      <c r="O14" s="187" t="n"/>
      <c r="P14" s="187" t="n"/>
      <c r="Q14" s="182" t="n"/>
      <c r="R14" s="182" t="n"/>
      <c r="S14" s="182" t="n"/>
      <c r="T14" s="183" t="n"/>
    </row>
    <row r="15" ht="13.5" customHeight="1">
      <c r="A15" s="184" t="n"/>
      <c r="B15" s="178" t="inlineStr">
        <is>
          <t>requestId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"req-1"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client spec</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Approved client spec exists for request "req-1"</t>
        </is>
      </c>
      <c r="E18" s="189" t="n"/>
      <c r="F18" s="187" t="inlineStr">
        <is>
          <t>O</t>
        </is>
      </c>
      <c r="G18" s="182" t="n"/>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budget cap</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27" customHeight="1">
      <c r="A20" s="184" t="n"/>
      <c r="B20" s="178" t="n"/>
      <c r="C20" s="179" t="n"/>
      <c r="D20" s="185" t="inlineStr">
        <is>
          <t>Submitted full-spec budget exceeds the approved client-spec budget</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retention</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27" customHeight="1">
      <c r="A22" s="184" t="n"/>
      <c r="B22" s="178" t="n"/>
      <c r="C22" s="179" t="n"/>
      <c r="D22" s="185" t="inlineStr">
        <is>
          <t>Submitted milestone retention exceeds the milestone amount</t>
        </is>
      </c>
      <c r="E22" s="189" t="n"/>
      <c r="F22" s="187" t="n"/>
      <c r="G22" s="182" t="n"/>
      <c r="H22" s="182" t="n"/>
      <c r="I22" s="187" t="inlineStr">
        <is>
          <t>O</t>
        </is>
      </c>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inlineStr">
        <is>
          <t>Confirm</t>
        </is>
      </c>
      <c r="B43" s="206" t="inlineStr">
        <is>
          <t>Return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Return the created full-spec draft</t>
        </is>
      </c>
      <c r="E44" s="199" t="n"/>
      <c r="F44" s="187" t="inlineStr">
        <is>
          <t>O</t>
        </is>
      </c>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Reject invalid full-spec budget or retention data</t>
        </is>
      </c>
      <c r="E45" s="199" t="n"/>
      <c r="F45" s="182" t="n"/>
      <c r="G45" s="182" t="n"/>
      <c r="H45" s="187" t="inlineStr">
        <is>
          <t>O</t>
        </is>
      </c>
      <c r="I45" s="187" t="inlineStr">
        <is>
          <t>O</t>
        </is>
      </c>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Propagate create-full-spec failure</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inlineStr">
        <is>
          <t>Log message</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Create Full Spec Successful: request "req-1" opens a full-spec draft</t>
        </is>
      </c>
      <c r="E49" s="209" t="n"/>
      <c r="F49" s="187" t="inlineStr">
        <is>
          <t>O</t>
        </is>
      </c>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List'!E41</f>
        <v/>
      </c>
      <c r="D2" s="131" t="n"/>
      <c r="E2" s="133" t="n"/>
      <c r="F2" s="134" t="inlineStr">
        <is>
          <t>Function Name</t>
        </is>
      </c>
      <c r="G2" s="135" t="n"/>
      <c r="H2" s="135" t="n"/>
      <c r="I2" s="135" t="n"/>
      <c r="J2" s="135" t="n"/>
      <c r="K2" s="135" t="n"/>
      <c r="L2" s="136">
        <f>'Function List'!D41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174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updateFullSpec with executed evidence for successful updates, propagated failures, approved-budget cap enforcement, draft-lock rejection, and due-date validation.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Update-full-spec flow throws an unexpected error</t>
        </is>
      </c>
      <c r="E12" s="186" t="n"/>
      <c r="F12" s="187" t="n"/>
      <c r="G12" s="187" t="inlineStr">
        <is>
          <t>O</t>
        </is>
      </c>
      <c r="H12" s="187" t="n"/>
      <c r="I12" s="187" t="n"/>
      <c r="J12" s="187" t="n"/>
      <c r="K12" s="187" t="n"/>
      <c r="L12" s="187" t="n"/>
      <c r="M12" s="187" t="n"/>
      <c r="N12" s="187" t="n"/>
      <c r="O12" s="187" t="n"/>
      <c r="P12" s="187" t="n"/>
      <c r="Q12" s="187" t="n"/>
      <c r="R12" s="187" t="n"/>
      <c r="S12" s="187" t="n"/>
      <c r="T12" s="188" t="n"/>
    </row>
    <row r="13" ht="13.5" customHeight="1">
      <c r="A13" s="184" t="n"/>
      <c r="B13" s="178" t="inlineStr">
        <is>
          <t>brokerId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"broker-1"</t>
        </is>
      </c>
      <c r="E14" s="189" t="n"/>
      <c r="F14" s="187" t="inlineStr">
        <is>
          <t>O</t>
        </is>
      </c>
      <c r="G14" s="187" t="inlineStr">
        <is>
          <t>O</t>
        </is>
      </c>
      <c r="H14" s="187" t="inlineStr">
        <is>
          <t>O</t>
        </is>
      </c>
      <c r="I14" s="187" t="inlineStr">
        <is>
          <t>O</t>
        </is>
      </c>
      <c r="J14" s="187" t="inlineStr">
        <is>
          <t>O</t>
        </is>
      </c>
      <c r="K14" s="182" t="n"/>
      <c r="L14" s="182" t="n"/>
      <c r="M14" s="182" t="n"/>
      <c r="N14" s="182" t="n"/>
      <c r="O14" s="187" t="n"/>
      <c r="P14" s="187" t="n"/>
      <c r="Q14" s="182" t="n"/>
      <c r="R14" s="182" t="n"/>
      <c r="S14" s="182" t="n"/>
      <c r="T14" s="183" t="n"/>
    </row>
    <row r="15" ht="13.5" customHeight="1">
      <c r="A15" s="184" t="n"/>
      <c r="B15" s="178" t="inlineStr">
        <is>
          <t>specId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"spec-1"</t>
        </is>
      </c>
      <c r="E16" s="189" t="n"/>
      <c r="F16" s="187" t="inlineStr">
        <is>
          <t>O</t>
        </is>
      </c>
      <c r="G16" s="187" t="inlineStr">
        <is>
          <t>O</t>
        </is>
      </c>
      <c r="H16" s="187" t="inlineStr">
        <is>
          <t>O</t>
        </is>
      </c>
      <c r="I16" s="187" t="inlineStr">
        <is>
          <t>O</t>
        </is>
      </c>
      <c r="J16" s="187" t="inlineStr">
        <is>
          <t>O</t>
        </is>
      </c>
      <c r="K16" s="182" t="n"/>
      <c r="L16" s="182" t="n"/>
      <c r="M16" s="182" t="n"/>
      <c r="N16" s="182" t="n"/>
      <c r="O16" s="182" t="n"/>
      <c r="P16" s="182" t="n"/>
      <c r="Q16" s="182" t="n"/>
      <c r="R16" s="182" t="n"/>
      <c r="S16" s="182" t="n"/>
      <c r="T16" s="183" t="n"/>
    </row>
    <row r="17" ht="13.5" customHeight="1">
      <c r="A17" s="184" t="n"/>
      <c r="B17" s="178" t="inlineStr">
        <is>
          <t>budget cap</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27" customHeight="1">
      <c r="A18" s="184" t="n"/>
      <c r="B18" s="178" t="n"/>
      <c r="C18" s="179" t="n"/>
      <c r="D18" s="185" t="inlineStr">
        <is>
          <t>Updated full-spec budget exceeds the approved client-spec budget</t>
        </is>
      </c>
      <c r="E18" s="189" t="n"/>
      <c r="F18" s="182" t="n"/>
      <c r="G18" s="182" t="n"/>
      <c r="H18" s="187" t="inlineStr">
        <is>
          <t>O</t>
        </is>
      </c>
      <c r="I18" s="182" t="n"/>
      <c r="J18" s="182" t="n"/>
      <c r="K18" s="187" t="n"/>
      <c r="L18" s="187" t="n"/>
      <c r="M18" s="182" t="n"/>
      <c r="N18" s="182" t="n"/>
      <c r="O18" s="182" t="n"/>
      <c r="P18" s="182" t="n"/>
      <c r="Q18" s="182" t="n"/>
      <c r="R18" s="182" t="n"/>
      <c r="S18" s="182" t="n"/>
      <c r="T18" s="183" t="n"/>
    </row>
    <row r="19" ht="13.5" customHeight="1">
      <c r="A19" s="184" t="n"/>
      <c r="B19" s="178" t="inlineStr">
        <is>
          <t>draft lock</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27" customHeight="1">
      <c r="A20" s="184" t="n"/>
      <c r="B20" s="178" t="n"/>
      <c r="C20" s="179" t="n"/>
      <c r="D20" s="185" t="inlineStr">
        <is>
          <t>Full spec "spec-1" is locked by an active contract draft</t>
        </is>
      </c>
      <c r="E20" s="189" t="n"/>
      <c r="F20" s="182" t="n"/>
      <c r="G20" s="182" t="n"/>
      <c r="H20" s="182" t="n"/>
      <c r="I20" s="187" t="inlineStr">
        <is>
          <t>O</t>
        </is>
      </c>
      <c r="J20" s="182" t="n"/>
      <c r="K20" s="182" t="n"/>
      <c r="L20" s="187" t="n"/>
      <c r="M20" s="182" t="n"/>
      <c r="N20" s="187" t="n"/>
      <c r="O20" s="182" t="n"/>
      <c r="P20" s="182" t="n"/>
      <c r="Q20" s="182" t="n"/>
      <c r="R20" s="182" t="n"/>
      <c r="S20" s="182" t="n"/>
      <c r="T20" s="183" t="n"/>
    </row>
    <row r="21" ht="13.5" customHeight="1">
      <c r="A21" s="184" t="n"/>
      <c r="B21" s="178" t="inlineStr">
        <is>
          <t>date validation</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Milestone due date is before milestone start date</t>
        </is>
      </c>
      <c r="E22" s="189" t="n"/>
      <c r="F22" s="187" t="n"/>
      <c r="G22" s="182" t="n"/>
      <c r="H22" s="182" t="n"/>
      <c r="I22" s="182" t="n"/>
      <c r="J22" s="187" t="inlineStr">
        <is>
          <t>O</t>
        </is>
      </c>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inlineStr">
        <is>
          <t>Confirm</t>
        </is>
      </c>
      <c r="B43" s="206" t="inlineStr">
        <is>
          <t>Return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Return the updated full-spec draft</t>
        </is>
      </c>
      <c r="E44" s="199" t="n"/>
      <c r="F44" s="187" t="inlineStr">
        <is>
          <t>O</t>
        </is>
      </c>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Reject invalid budget, lock, or date changes</t>
        </is>
      </c>
      <c r="E45" s="199" t="n"/>
      <c r="F45" s="182" t="n"/>
      <c r="G45" s="182" t="n"/>
      <c r="H45" s="187" t="inlineStr">
        <is>
          <t>O</t>
        </is>
      </c>
      <c r="I45" s="187" t="inlineStr">
        <is>
          <t>O</t>
        </is>
      </c>
      <c r="J45" s="187" t="inlineStr">
        <is>
          <t>O</t>
        </is>
      </c>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13.5" customHeight="1">
      <c r="A47" s="197" t="n"/>
      <c r="B47" s="206" t="n"/>
      <c r="C47" s="208" t="n"/>
      <c r="D47" s="207" t="inlineStr">
        <is>
          <t>Propagate update-full-spec failure</t>
        </is>
      </c>
      <c r="E47" s="209" t="n"/>
      <c r="F47" s="187" t="n"/>
      <c r="G47" s="187" t="inlineStr">
        <is>
          <t>O</t>
        </is>
      </c>
      <c r="H47" s="182" t="n"/>
      <c r="I47" s="182" t="n"/>
      <c r="J47" s="187" t="n"/>
      <c r="K47" s="182" t="n"/>
      <c r="L47" s="182" t="n"/>
      <c r="M47" s="182" t="n"/>
      <c r="N47" s="182" t="n"/>
      <c r="O47" s="182" t="n"/>
      <c r="P47" s="182" t="n"/>
      <c r="Q47" s="182" t="n"/>
      <c r="R47" s="182" t="n"/>
      <c r="S47" s="182" t="n"/>
      <c r="T47" s="183" t="n"/>
    </row>
    <row r="48" ht="13.5" customHeight="1">
      <c r="A48" s="197" t="n"/>
      <c r="B48" s="206" t="inlineStr">
        <is>
          <t>Log message</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Update Full Spec Successful: draft changes are saved for spec "spec-1"</t>
        </is>
      </c>
      <c r="E49" s="209" t="n"/>
      <c r="F49" s="187" t="inlineStr">
        <is>
          <t>O</t>
        </is>
      </c>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A</t>
        </is>
      </c>
      <c r="I50" s="213" t="inlineStr">
        <is>
          <t>A</t>
        </is>
      </c>
      <c r="J50" s="213" t="inlineStr">
        <is>
          <t>B</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List'!E42</f>
        <v/>
      </c>
      <c r="D2" s="131" t="n"/>
      <c r="E2" s="133" t="n"/>
      <c r="F2" s="134" t="inlineStr">
        <is>
          <t>Function Name</t>
        </is>
      </c>
      <c r="G2" s="135" t="n"/>
      <c r="H2" s="135" t="n"/>
      <c r="I2" s="135" t="n"/>
      <c r="J2" s="135" t="n"/>
      <c r="K2" s="135" t="n"/>
      <c r="L2" s="136">
        <f>'Function List'!D42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submitForFinalReview with executed evidence for controller delegation, successful submission, reviewer notifications, no-freelancer rejection, and propagated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Full spec "spec-1" is in DRAFT or REJECTED status</t>
        </is>
      </c>
      <c r="E12" s="186" t="n"/>
      <c r="F12" s="187" t="inlineStr">
        <is>
          <t>O</t>
        </is>
      </c>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No accepted freelancer exists for request "req-1"</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Submit-for-final-review flow throws an unexpected error</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inlineStr">
        <is>
          <t>brokerId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"broker-1"</t>
        </is>
      </c>
      <c r="E16" s="189" t="n"/>
      <c r="F16" s="187" t="inlineStr">
        <is>
          <t>O</t>
        </is>
      </c>
      <c r="G16" s="187" t="inlineStr">
        <is>
          <t>O</t>
        </is>
      </c>
      <c r="H16" s="187" t="inlineStr">
        <is>
          <t>O</t>
        </is>
      </c>
      <c r="I16" s="187" t="inlineStr">
        <is>
          <t>O</t>
        </is>
      </c>
      <c r="J16" s="187" t="n"/>
      <c r="K16" s="182" t="n"/>
      <c r="L16" s="182" t="n"/>
      <c r="M16" s="182" t="n"/>
      <c r="N16" s="182" t="n"/>
      <c r="O16" s="182" t="n"/>
      <c r="P16" s="182" t="n"/>
      <c r="Q16" s="182" t="n"/>
      <c r="R16" s="182" t="n"/>
      <c r="S16" s="182" t="n"/>
      <c r="T16" s="183" t="n"/>
    </row>
    <row r="17" ht="13.5" customHeight="1">
      <c r="A17" s="184" t="n"/>
      <c r="B17" s="178" t="inlineStr">
        <is>
          <t>specId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"spec-1"</t>
        </is>
      </c>
      <c r="E18" s="189" t="n"/>
      <c r="F18" s="187" t="inlineStr">
        <is>
          <t>O</t>
        </is>
      </c>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freelancer handoff</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An accepted freelancer exists for request "req-1"</t>
        </is>
      </c>
      <c r="E20" s="189" t="n"/>
      <c r="F20" s="187" t="inlineStr">
        <is>
          <t>O</t>
        </is>
      </c>
      <c r="G20" s="187" t="inlineStr">
        <is>
          <t>O</t>
        </is>
      </c>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inlineStr">
        <is>
          <t>Confirm</t>
        </is>
      </c>
      <c r="B43" s="206" t="inlineStr">
        <is>
          <t>Return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Return the submitted full spec</t>
        </is>
      </c>
      <c r="E44" s="199"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Persist FINAL_REVIEW status and notify the client and freelancer</t>
        </is>
      </c>
      <c r="E45" s="199" t="n"/>
      <c r="F45" s="182" t="n"/>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40" customHeight="1">
      <c r="A47" s="197" t="n"/>
      <c r="B47" s="206" t="n"/>
      <c r="C47" s="208" t="n"/>
      <c r="D47" s="207" t="inlineStr">
        <is>
          <t>Reject submissions without an accepted freelancer or propagate submit-for-final-review failure</t>
        </is>
      </c>
      <c r="E47" s="209" t="n"/>
      <c r="F47" s="187" t="n"/>
      <c r="G47" s="182" t="n"/>
      <c r="H47" s="187" t="inlineStr">
        <is>
          <t>O</t>
        </is>
      </c>
      <c r="I47" s="187" t="inlineStr">
        <is>
          <t>O</t>
        </is>
      </c>
      <c r="J47" s="187" t="n"/>
      <c r="K47" s="182" t="n"/>
      <c r="L47" s="182" t="n"/>
      <c r="M47" s="182" t="n"/>
      <c r="N47" s="182" t="n"/>
      <c r="O47" s="182" t="n"/>
      <c r="P47" s="182" t="n"/>
      <c r="Q47" s="182" t="n"/>
      <c r="R47" s="182" t="n"/>
      <c r="S47" s="182" t="n"/>
      <c r="T47" s="183" t="n"/>
    </row>
    <row r="48" ht="13.5" customHeight="1">
      <c r="A48" s="197" t="n"/>
      <c r="B48" s="206" t="inlineStr">
        <is>
          <t>Log message</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Submit Full Spec Successful: "spec-1" -&gt; "FINAL_REVIEW"</t>
        </is>
      </c>
      <c r="E49" s="209" t="n"/>
      <c r="F49" s="182" t="n"/>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List'!E43</f>
        <v/>
      </c>
      <c r="D2" s="131" t="n"/>
      <c r="E2" s="133" t="n"/>
      <c r="F2" s="134" t="inlineStr">
        <is>
          <t>Function Name</t>
        </is>
      </c>
      <c r="G2" s="135" t="n"/>
      <c r="H2" s="135" t="n"/>
      <c r="I2" s="135" t="n"/>
      <c r="J2" s="135" t="n"/>
      <c r="K2" s="135" t="n"/>
      <c r="L2" s="136">
        <f>'Function List'!D43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88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signSpec with executed evidence for controller delegation, successful eligible signing, ineligible-signer rejection, and propagated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signing party "user-1"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Current signer is not an eligible full-spec signer</t>
        </is>
      </c>
      <c r="E12" s="186" t="n"/>
      <c r="F12" s="187" t="n"/>
      <c r="G12" s="187" t="n"/>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Spec-signing flow throws an unexpected error</t>
        </is>
      </c>
      <c r="E13" s="189" t="n"/>
      <c r="F13" s="182" t="n"/>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specId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"spec-1"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review status</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Full spec "spec-1" is in FINAL_REVIEW status</t>
        </is>
      </c>
      <c r="E19" s="189" t="n"/>
      <c r="F19" s="187" t="inlineStr">
        <is>
          <t>O</t>
        </is>
      </c>
      <c r="G19" s="187" t="inlineStr">
        <is>
          <t>O</t>
        </is>
      </c>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signer eligibility</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Current signer is one of the required parties</t>
        </is>
      </c>
      <c r="E21" s="189" t="n"/>
      <c r="F21" s="187" t="inlineStr">
        <is>
          <t>O</t>
        </is>
      </c>
      <c r="G21" s="187" t="inlineStr">
        <is>
          <t>O</t>
        </is>
      </c>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inlineStr">
        <is>
          <t>Confirm</t>
        </is>
      </c>
      <c r="B43" s="206" t="inlineStr">
        <is>
          <t>Return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Return the signed full spec result</t>
        </is>
      </c>
      <c r="E44" s="199"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Persist the signer record and notify remaining reviewers</t>
        </is>
      </c>
      <c r="E45" s="199" t="n"/>
      <c r="F45" s="182" t="n"/>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Reject ineligible signers or propagate sign-spec failure</t>
        </is>
      </c>
      <c r="E47" s="209" t="n"/>
      <c r="F47" s="187" t="n"/>
      <c r="G47" s="182" t="n"/>
      <c r="H47" s="187" t="inlineStr">
        <is>
          <t>O</t>
        </is>
      </c>
      <c r="I47" s="187" t="inlineStr">
        <is>
          <t>O</t>
        </is>
      </c>
      <c r="J47" s="187" t="n"/>
      <c r="K47" s="182" t="n"/>
      <c r="L47" s="182" t="n"/>
      <c r="M47" s="182" t="n"/>
      <c r="N47" s="182" t="n"/>
      <c r="O47" s="182" t="n"/>
      <c r="P47" s="182" t="n"/>
      <c r="Q47" s="182" t="n"/>
      <c r="R47" s="182" t="n"/>
      <c r="S47" s="182" t="n"/>
      <c r="T47" s="183" t="n"/>
    </row>
    <row r="48" ht="13.5" customHeight="1">
      <c r="A48" s="197" t="n"/>
      <c r="B48" s="206" t="inlineStr">
        <is>
          <t>Log message</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Sign Full Spec Successful: signer record is stored for spec "spec-1"</t>
        </is>
      </c>
      <c r="E49" s="209" t="n"/>
      <c r="F49" s="182" t="n"/>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List'!E44</f>
        <v/>
      </c>
      <c r="D2" s="131" t="n"/>
      <c r="E2" s="133" t="n"/>
      <c r="F2" s="134" t="inlineStr">
        <is>
          <t>Function Name</t>
        </is>
      </c>
      <c r="G2" s="135" t="n"/>
      <c r="H2" s="135" t="n"/>
      <c r="I2" s="135" t="n"/>
      <c r="J2" s="135" t="n"/>
      <c r="K2" s="135" t="n"/>
      <c r="L2" s="136">
        <f>'Function List'!D44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requestFullSpecChanges with executed evidence for successful rejection flow, propagated controller failures, signature clearing, and ineligible-reviewer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final-review party "user-1"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Current user is not an eligible final-spec reviewer</t>
        </is>
      </c>
      <c r="E12" s="186" t="n"/>
      <c r="F12" s="187" t="n"/>
      <c r="G12" s="187" t="n"/>
      <c r="H12" s="187" t="n"/>
      <c r="I12" s="187" t="inlineStr">
        <is>
          <t>O</t>
        </is>
      </c>
      <c r="J12" s="187" t="n"/>
      <c r="K12" s="187" t="n"/>
      <c r="L12" s="187" t="n"/>
      <c r="M12" s="187" t="n"/>
      <c r="N12" s="187" t="n"/>
      <c r="O12" s="187" t="n"/>
      <c r="P12" s="187" t="n"/>
      <c r="Q12" s="187" t="n"/>
      <c r="R12" s="187" t="n"/>
      <c r="S12" s="187" t="n"/>
      <c r="T12" s="188" t="n"/>
    </row>
    <row r="13" ht="13.5" customHeight="1">
      <c r="A13" s="184" t="n"/>
      <c r="B13" s="178" t="n"/>
      <c r="C13" s="179" t="n"/>
      <c r="D13" s="185" t="inlineStr">
        <is>
          <t>Request-changes flow throws an unexpected error</t>
        </is>
      </c>
      <c r="E13" s="189" t="n"/>
      <c r="F13" s="182" t="n"/>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specId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"spec-1"</t>
        </is>
      </c>
      <c r="E17" s="189" t="n"/>
      <c r="F17" s="187" t="inlineStr">
        <is>
          <t>O</t>
        </is>
      </c>
      <c r="G17" s="187" t="inlineStr">
        <is>
          <t>O</t>
        </is>
      </c>
      <c r="H17" s="187" t="inlineStr">
        <is>
          <t>O</t>
        </is>
      </c>
      <c r="I17" s="187" t="inlineStr">
        <is>
          <t>O</t>
        </is>
      </c>
      <c r="J17" s="182" t="n"/>
      <c r="K17" s="187" t="n"/>
      <c r="L17" s="182" t="n"/>
      <c r="M17" s="182" t="n"/>
      <c r="N17" s="182" t="n"/>
      <c r="O17" s="182" t="n"/>
      <c r="P17" s="182" t="n"/>
      <c r="Q17" s="182" t="n"/>
      <c r="R17" s="182" t="n"/>
      <c r="S17" s="182" t="n"/>
      <c r="T17" s="183" t="n"/>
    </row>
    <row r="18" ht="13.5" customHeight="1">
      <c r="A18" s="184" t="n"/>
      <c r="B18" s="178" t="inlineStr">
        <is>
          <t>reason</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Change-request reason is supplied</t>
        </is>
      </c>
      <c r="E19" s="189" t="n"/>
      <c r="F19" s="187" t="inlineStr">
        <is>
          <t>O</t>
        </is>
      </c>
      <c r="G19" s="187" t="inlineStr">
        <is>
          <t>O</t>
        </is>
      </c>
      <c r="H19" s="187" t="inlineStr">
        <is>
          <t>O</t>
        </is>
      </c>
      <c r="I19" s="187" t="inlineStr">
        <is>
          <t>O</t>
        </is>
      </c>
      <c r="J19" s="182" t="n"/>
      <c r="K19" s="187" t="n"/>
      <c r="L19" s="182" t="n"/>
      <c r="M19" s="187" t="n"/>
      <c r="N19" s="182" t="n"/>
      <c r="O19" s="182" t="n"/>
      <c r="P19" s="182" t="n"/>
      <c r="Q19" s="182" t="n"/>
      <c r="R19" s="182" t="n"/>
      <c r="S19" s="182" t="n"/>
      <c r="T19" s="183" t="n"/>
    </row>
    <row r="20" ht="13.5" customHeight="1">
      <c r="A20" s="184" t="n"/>
      <c r="B20" s="178" t="inlineStr">
        <is>
          <t>review eligibility</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Current user is an eligible final-spec reviewer</t>
        </is>
      </c>
      <c r="E21" s="189" t="n"/>
      <c r="F21" s="187" t="inlineStr">
        <is>
          <t>O</t>
        </is>
      </c>
      <c r="G21" s="182" t="n"/>
      <c r="H21" s="187" t="inlineStr">
        <is>
          <t>O</t>
        </is>
      </c>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inlineStr">
        <is>
          <t>Confirm</t>
        </is>
      </c>
      <c r="B43" s="206" t="inlineStr">
        <is>
          <t>Return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27" customHeight="1">
      <c r="A44" s="197" t="n"/>
      <c r="B44" s="206" t="n"/>
      <c r="C44" s="201" t="n"/>
      <c r="D44" s="207" t="inlineStr">
        <is>
          <t>Return the rejected full spec after changes are requested</t>
        </is>
      </c>
      <c r="E44" s="199" t="n"/>
      <c r="F44" s="187" t="inlineStr">
        <is>
          <t>O</t>
        </is>
      </c>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6" t="n"/>
      <c r="C45" s="201" t="n"/>
      <c r="D45" s="207" t="inlineStr">
        <is>
          <t>Clear collected signatures when the full spec returns to editing</t>
        </is>
      </c>
      <c r="E45" s="199"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Propagate request-changes failure or reject ineligible reviewers</t>
        </is>
      </c>
      <c r="E47" s="209" t="n"/>
      <c r="F47" s="187" t="n"/>
      <c r="G47" s="187" t="inlineStr">
        <is>
          <t>O</t>
        </is>
      </c>
      <c r="H47" s="182" t="n"/>
      <c r="I47" s="187" t="inlineStr">
        <is>
          <t>O</t>
        </is>
      </c>
      <c r="J47" s="187" t="n"/>
      <c r="K47" s="182" t="n"/>
      <c r="L47" s="182" t="n"/>
      <c r="M47" s="182" t="n"/>
      <c r="N47" s="182" t="n"/>
      <c r="O47" s="182" t="n"/>
      <c r="P47" s="182" t="n"/>
      <c r="Q47" s="182" t="n"/>
      <c r="R47" s="182" t="n"/>
      <c r="S47" s="182" t="n"/>
      <c r="T47" s="183" t="n"/>
    </row>
    <row r="48" ht="13.5" customHeight="1">
      <c r="A48" s="197" t="n"/>
      <c r="B48" s="206" t="inlineStr">
        <is>
          <t>Log message</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Request Changes Successful: "spec-1" -&gt; "REJECTED"</t>
        </is>
      </c>
      <c r="E49" s="209" t="n"/>
      <c r="F49" s="182" t="n"/>
      <c r="G49" s="182" t="n"/>
      <c r="H49" s="187" t="inlineStr">
        <is>
          <t>O</t>
        </is>
      </c>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N</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List'!E45</f>
        <v/>
      </c>
      <c r="D2" s="131" t="n"/>
      <c r="E2" s="133" t="n"/>
      <c r="F2" s="134" t="inlineStr">
        <is>
          <t>Function Name</t>
        </is>
      </c>
      <c r="G2" s="135" t="n"/>
      <c r="H2" s="135" t="n"/>
      <c r="I2" s="135" t="n"/>
      <c r="J2" s="135" t="n"/>
      <c r="K2" s="135" t="n"/>
      <c r="L2" s="136">
        <f>'Function List'!D45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legacy createSpec with executed evidence for happy-path creation, milestone-budget warnings, keyword warnings, and feature-validation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27" customHeight="1">
      <c r="A12" s="184" t="n"/>
      <c r="B12" s="178" t="n"/>
      <c r="C12" s="179" t="n"/>
      <c r="D12" s="185" t="inlineStr">
        <is>
          <t>Last milestone is below the recommended 20% budget share</t>
        </is>
      </c>
      <c r="E12" s="186" t="n"/>
      <c r="F12" s="187" t="n"/>
      <c r="G12" s="187" t="n"/>
      <c r="H12" s="187" t="inlineStr">
        <is>
          <t>O</t>
        </is>
      </c>
      <c r="I12" s="187" t="n"/>
      <c r="J12" s="187" t="n"/>
      <c r="K12" s="187" t="n"/>
      <c r="L12" s="187" t="n"/>
      <c r="M12" s="187" t="n"/>
      <c r="N12" s="187" t="n"/>
      <c r="O12" s="187" t="n"/>
      <c r="P12" s="187" t="n"/>
      <c r="Q12" s="187" t="n"/>
      <c r="R12" s="187" t="n"/>
      <c r="S12" s="187" t="n"/>
      <c r="T12" s="188" t="n"/>
    </row>
    <row r="13" ht="13.5" customHeight="1">
      <c r="A13" s="184" t="n"/>
      <c r="B13" s="178" t="inlineStr">
        <is>
          <t>brokerId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"broker-1"</t>
        </is>
      </c>
      <c r="E14" s="189" t="n"/>
      <c r="F14" s="187" t="inlineStr">
        <is>
          <t>O</t>
        </is>
      </c>
      <c r="G14" s="187" t="inlineStr">
        <is>
          <t>O</t>
        </is>
      </c>
      <c r="H14" s="187" t="inlineStr">
        <is>
          <t>O</t>
        </is>
      </c>
      <c r="I14" s="187" t="inlineStr">
        <is>
          <t>O</t>
        </is>
      </c>
      <c r="J14" s="187" t="inlineStr">
        <is>
          <t>O</t>
        </is>
      </c>
      <c r="K14" s="182" t="n"/>
      <c r="L14" s="182" t="n"/>
      <c r="M14" s="182" t="n"/>
      <c r="N14" s="182" t="n"/>
      <c r="O14" s="187" t="n"/>
      <c r="P14" s="187" t="n"/>
      <c r="Q14" s="182" t="n"/>
      <c r="R14" s="182" t="n"/>
      <c r="S14" s="182" t="n"/>
      <c r="T14" s="183" t="n"/>
    </row>
    <row r="15" ht="13.5" customHeight="1">
      <c r="A15" s="184" t="n"/>
      <c r="B15" s="178" t="inlineStr">
        <is>
          <t>requestId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"req-1"</t>
        </is>
      </c>
      <c r="E16" s="189" t="n"/>
      <c r="F16" s="187" t="inlineStr">
        <is>
          <t>O</t>
        </is>
      </c>
      <c r="G16" s="187" t="inlineStr">
        <is>
          <t>O</t>
        </is>
      </c>
      <c r="H16" s="187" t="inlineStr">
        <is>
          <t>O</t>
        </is>
      </c>
      <c r="I16" s="187" t="inlineStr">
        <is>
          <t>O</t>
        </is>
      </c>
      <c r="J16" s="187" t="inlineStr">
        <is>
          <t>O</t>
        </is>
      </c>
      <c r="K16" s="182" t="n"/>
      <c r="L16" s="182" t="n"/>
      <c r="M16" s="182" t="n"/>
      <c r="N16" s="182" t="n"/>
      <c r="O16" s="182" t="n"/>
      <c r="P16" s="182" t="n"/>
      <c r="Q16" s="182" t="n"/>
      <c r="R16" s="182" t="n"/>
      <c r="S16" s="182" t="n"/>
      <c r="T16" s="183" t="n"/>
    </row>
    <row r="17" ht="13.5" customHeight="1">
      <c r="A17" s="184" t="n"/>
      <c r="B17" s="178" t="inlineStr">
        <is>
          <t>milestone budget</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27" customHeight="1">
      <c r="A18" s="184" t="n"/>
      <c r="B18" s="178" t="n"/>
      <c r="C18" s="179" t="n"/>
      <c r="D18" s="185" t="inlineStr">
        <is>
          <t>First milestone exceeds the recommended 30% budget share</t>
        </is>
      </c>
      <c r="E18" s="189" t="n"/>
      <c r="F18" s="182" t="n"/>
      <c r="G18" s="187" t="inlineStr">
        <is>
          <t>O</t>
        </is>
      </c>
      <c r="H18" s="182" t="n"/>
      <c r="I18" s="182" t="n"/>
      <c r="J18" s="182" t="n"/>
      <c r="K18" s="187" t="n"/>
      <c r="L18" s="187" t="n"/>
      <c r="M18" s="182" t="n"/>
      <c r="N18" s="182" t="n"/>
      <c r="O18" s="182" t="n"/>
      <c r="P18" s="182" t="n"/>
      <c r="Q18" s="182" t="n"/>
      <c r="R18" s="182" t="n"/>
      <c r="S18" s="182" t="n"/>
      <c r="T18" s="183" t="n"/>
    </row>
    <row r="19" ht="13.5" customHeight="1">
      <c r="A19" s="184" t="n"/>
      <c r="B19" s="178" t="inlineStr">
        <is>
          <t>warnings</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Keyword scans produce non-blocking warnings</t>
        </is>
      </c>
      <c r="E20" s="189" t="n"/>
      <c r="F20" s="182" t="n"/>
      <c r="G20" s="182" t="n"/>
      <c r="H20" s="182" t="n"/>
      <c r="I20" s="187" t="inlineStr">
        <is>
          <t>O</t>
        </is>
      </c>
      <c r="J20" s="182" t="n"/>
      <c r="K20" s="182" t="n"/>
      <c r="L20" s="187" t="n"/>
      <c r="M20" s="182" t="n"/>
      <c r="N20" s="187" t="n"/>
      <c r="O20" s="182" t="n"/>
      <c r="P20" s="182" t="n"/>
      <c r="Q20" s="182" t="n"/>
      <c r="R20" s="182" t="n"/>
      <c r="S20" s="182" t="n"/>
      <c r="T20" s="183" t="n"/>
    </row>
    <row r="21" ht="13.5" customHeight="1">
      <c r="A21" s="184" t="n"/>
      <c r="B21" s="178" t="inlineStr">
        <is>
          <t>feature validation</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Feature acceptance criteria are too short</t>
        </is>
      </c>
      <c r="E22" s="189" t="n"/>
      <c r="F22" s="187" t="n"/>
      <c r="G22" s="182" t="n"/>
      <c r="H22" s="182" t="n"/>
      <c r="I22" s="182" t="n"/>
      <c r="J22" s="187" t="inlineStr">
        <is>
          <t>O</t>
        </is>
      </c>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the created legacy project spec draft</t>
        </is>
      </c>
      <c r="E43" s="199" t="n"/>
      <c r="F43" s="187" t="inlineStr">
        <is>
          <t>O</t>
        </is>
      </c>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6" t="n"/>
      <c r="C44" s="201" t="n"/>
      <c r="D44" s="207" t="inlineStr">
        <is>
          <t>Reject invalid milestone or feature validation input</t>
        </is>
      </c>
      <c r="E44" s="199" t="n"/>
      <c r="F44" s="182" t="n"/>
      <c r="G44" s="187" t="inlineStr">
        <is>
          <t>O</t>
        </is>
      </c>
      <c r="H44" s="187" t="inlineStr">
        <is>
          <t>O</t>
        </is>
      </c>
      <c r="I44" s="182" t="n"/>
      <c r="J44" s="187" t="inlineStr">
        <is>
          <t>O</t>
        </is>
      </c>
      <c r="K44" s="182" t="n"/>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n"/>
      <c r="C46" s="201" t="n"/>
      <c r="D46" s="207" t="inlineStr">
        <is>
          <t>Surface non-blocking keyword warnings in the result</t>
        </is>
      </c>
      <c r="E46" s="199" t="n"/>
      <c r="F46" s="182" t="n"/>
      <c r="G46" s="182" t="n"/>
      <c r="H46" s="182" t="n"/>
      <c r="I46" s="187" t="inlineStr">
        <is>
          <t>O</t>
        </is>
      </c>
      <c r="J46" s="182" t="n"/>
      <c r="K46" s="182" t="n"/>
      <c r="L46" s="182" t="n"/>
      <c r="M46" s="182" t="n"/>
      <c r="N46" s="182" t="n"/>
      <c r="O46" s="182" t="n"/>
      <c r="P46" s="182" t="n"/>
      <c r="Q46" s="182" t="n"/>
      <c r="R46" s="182" t="n"/>
      <c r="S46" s="182" t="n"/>
      <c r="T46" s="183" t="n"/>
    </row>
    <row r="47" ht="13.5" customHeight="1">
      <c r="A47" s="197" t="n"/>
      <c r="B47" s="206" t="inlineStr">
        <is>
          <t>Log message</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Create Spec Successful: legacy project spec draft is saved for request "req-1"</t>
        </is>
      </c>
      <c r="E48" s="209" t="n"/>
      <c r="F48" s="187" t="inlineStr">
        <is>
          <t>O</t>
        </is>
      </c>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Create Spec Warning: keyword checks return non-blocking warnings</t>
        </is>
      </c>
      <c r="E49" s="209" t="n"/>
      <c r="F49" s="182" t="n"/>
      <c r="G49" s="182" t="n"/>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B</t>
        </is>
      </c>
      <c r="H50" s="213" t="inlineStr">
        <is>
          <t>B</t>
        </is>
      </c>
      <c r="I50" s="213" t="inlineStr">
        <is>
          <t>N</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List'!E46</f>
        <v/>
      </c>
      <c r="D2" s="131" t="n"/>
      <c r="E2" s="133" t="n"/>
      <c r="F2" s="134" t="inlineStr">
        <is>
          <t>Function Name</t>
        </is>
      </c>
      <c r="G2" s="135" t="n"/>
      <c r="H2" s="135" t="n"/>
      <c r="I2" s="135" t="n"/>
      <c r="J2" s="135" t="n"/>
      <c r="K2" s="135" t="n"/>
      <c r="L2" s="136">
        <f>'Function List'!D46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audit-spec with executed evidence for approve routing, reject routing with reason, and guard-clause rejection when reject reason is missing.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staff "staff-1"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Audit action = "REJECT" with a rejection reason</t>
        </is>
      </c>
      <c r="E12" s="186" t="n"/>
      <c r="F12" s="187" t="n"/>
      <c r="G12" s="187" t="inlineStr">
        <is>
          <t>O</t>
        </is>
      </c>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Audit action = "REJECT" without a rejection reason</t>
        </is>
      </c>
      <c r="E13" s="189" t="n"/>
      <c r="F13" s="182" t="n"/>
      <c r="G13" s="182" t="n"/>
      <c r="H13" s="187" t="inlineStr">
        <is>
          <t>O</t>
        </is>
      </c>
      <c r="I13" s="182" t="n"/>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inlineStr">
        <is>
          <t>O</t>
        </is>
      </c>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specId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"spec-1"</t>
        </is>
      </c>
      <c r="E17" s="189" t="n"/>
      <c r="F17" s="187" t="inlineStr">
        <is>
          <t>O</t>
        </is>
      </c>
      <c r="G17" s="187" t="inlineStr">
        <is>
          <t>O</t>
        </is>
      </c>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action</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Audit action = "APPROVE"</t>
        </is>
      </c>
      <c r="E19" s="189" t="n"/>
      <c r="F19" s="187" t="inlineStr">
        <is>
          <t>O</t>
        </is>
      </c>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inlineStr">
        <is>
          <t>Confirm</t>
        </is>
      </c>
      <c r="B43" s="206" t="inlineStr">
        <is>
          <t>Return</t>
        </is>
      </c>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n"/>
      <c r="B44" s="206" t="n"/>
      <c r="C44" s="201" t="n"/>
      <c r="D44" s="207" t="inlineStr">
        <is>
          <t>Return the audited spec result</t>
        </is>
      </c>
      <c r="E44" s="199"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n"/>
      <c r="C46" s="201" t="n"/>
      <c r="D46" s="207" t="inlineStr">
        <is>
          <t>Reject REJECT actions that do not include a reason</t>
        </is>
      </c>
      <c r="E46" s="199" t="n"/>
      <c r="F46" s="182" t="n"/>
      <c r="G46" s="182" t="n"/>
      <c r="H46" s="187" t="inlineStr">
        <is>
          <t>O</t>
        </is>
      </c>
      <c r="I46" s="187" t="n"/>
      <c r="J46" s="182" t="n"/>
      <c r="K46" s="182" t="n"/>
      <c r="L46" s="182" t="n"/>
      <c r="M46" s="182" t="n"/>
      <c r="N46" s="182" t="n"/>
      <c r="O46" s="182" t="n"/>
      <c r="P46" s="182" t="n"/>
      <c r="Q46" s="182" t="n"/>
      <c r="R46" s="182" t="n"/>
      <c r="S46" s="182" t="n"/>
      <c r="T46" s="183" t="n"/>
    </row>
    <row r="47" ht="13.5" customHeight="1">
      <c r="A47" s="197" t="n"/>
      <c r="B47" s="206" t="inlineStr">
        <is>
          <t>Log message</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13.5" customHeight="1">
      <c r="A48" s="197" t="n"/>
      <c r="B48" s="206" t="n"/>
      <c r="C48" s="208" t="n"/>
      <c r="D48" s="207" t="inlineStr">
        <is>
          <t>Audit Spec Approved: "spec-1" -&gt; "APPROVED"</t>
        </is>
      </c>
      <c r="E48" s="209" t="n"/>
      <c r="F48" s="187" t="inlineStr">
        <is>
          <t>O</t>
        </is>
      </c>
      <c r="G48" s="187" t="n"/>
      <c r="H48" s="182" t="n"/>
      <c r="I48" s="182" t="n"/>
      <c r="J48" s="182" t="n"/>
      <c r="K48" s="187" t="n"/>
      <c r="L48" s="182" t="n"/>
      <c r="M48" s="182" t="n"/>
      <c r="N48" s="182" t="n"/>
      <c r="O48" s="182" t="n"/>
      <c r="P48" s="182" t="n"/>
      <c r="Q48" s="182" t="n"/>
      <c r="R48" s="182" t="n"/>
      <c r="S48" s="182" t="n"/>
      <c r="T48" s="183" t="n"/>
    </row>
    <row r="49" ht="13.5" customHeight="1">
      <c r="A49" s="197" t="n"/>
      <c r="B49" s="206" t="n"/>
      <c r="C49" s="208" t="n"/>
      <c r="D49" s="207" t="inlineStr">
        <is>
          <t>Audit Spec Rejected: "spec-1" -&gt; "REJECTED"</t>
        </is>
      </c>
      <c r="E49" s="209" t="n"/>
      <c r="F49" s="182" t="n"/>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A</t>
        </is>
      </c>
      <c r="I50" s="213" t="n"/>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n"/>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List'!E47</f>
        <v/>
      </c>
      <c r="D2" s="131" t="n"/>
      <c r="E2" s="133" t="n"/>
      <c r="F2" s="134" t="inlineStr">
        <is>
          <t>Function Name</t>
        </is>
      </c>
      <c r="G2" s="135" t="n"/>
      <c r="H2" s="135" t="n"/>
      <c r="I2" s="135" t="n"/>
      <c r="J2" s="135" t="n"/>
      <c r="K2" s="135" t="n"/>
      <c r="L2" s="136">
        <f>'Function List'!D47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/projects/list/:userId with executed evidence for owner access, admin access, forbidden outsider access, and missing-auth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requester "user-1"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n"/>
      <c r="C12" s="179" t="n"/>
      <c r="D12" s="185" t="inlineStr">
        <is>
          <t>Target user id "user-2" is supplied</t>
        </is>
      </c>
      <c r="E12" s="186" t="n"/>
      <c r="F12" s="187" t="n"/>
      <c r="G12" s="187" t="inlineStr">
        <is>
          <t>O</t>
        </is>
      </c>
      <c r="H12" s="187" t="inlineStr">
        <is>
          <t>O</t>
        </is>
      </c>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Requester owns the target project list</t>
        </is>
      </c>
      <c r="E13" s="189" t="n"/>
      <c r="F13" s="187"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Requester is admin "admin-1"</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Requester is neither owner nor admin</t>
        </is>
      </c>
      <c r="E15" s="189" t="n"/>
      <c r="F15" s="182" t="n"/>
      <c r="G15" s="187" t="n"/>
      <c r="H15" s="187" t="inlineStr">
        <is>
          <t>O</t>
        </is>
      </c>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Requester is missing from auth context</t>
        </is>
      </c>
      <c r="E16" s="189" t="n"/>
      <c r="F16" s="182" t="n"/>
      <c r="G16" s="182" t="n"/>
      <c r="H16" s="182" t="n"/>
      <c r="I16" s="187" t="inlineStr">
        <is>
          <t>O</t>
        </is>
      </c>
      <c r="J16" s="187" t="n"/>
      <c r="K16" s="182" t="n"/>
      <c r="L16" s="182" t="n"/>
      <c r="M16" s="182" t="n"/>
      <c r="N16" s="182" t="n"/>
      <c r="O16" s="182" t="n"/>
      <c r="P16" s="182" t="n"/>
      <c r="Q16" s="182" t="n"/>
      <c r="R16" s="182" t="n"/>
      <c r="S16" s="182" t="n"/>
      <c r="T16" s="183" t="n"/>
    </row>
    <row r="17" ht="13.5" customHeight="1">
      <c r="A17" s="184" t="n"/>
      <c r="B17" s="178" t="inlineStr">
        <is>
          <t>userId</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Target user id "user-1" is supplied</t>
        </is>
      </c>
      <c r="E18" s="189" t="n"/>
      <c r="F18" s="187" t="inlineStr">
        <is>
          <t>O</t>
        </is>
      </c>
      <c r="G18" s="182" t="n"/>
      <c r="H18" s="182" t="n"/>
      <c r="I18" s="187" t="inlineStr">
        <is>
          <t>O</t>
        </is>
      </c>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idden="1" ht="13.5" customHeight="1">
      <c r="A42" s="197" t="n"/>
      <c r="B42" s="206" t="n"/>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idden="1" ht="13.5" customHeight="1">
      <c r="A43" s="197" t="n"/>
      <c r="B43" s="206" t="n"/>
      <c r="C43" s="201" t="n"/>
      <c r="D43" s="202" t="n"/>
      <c r="E43" s="199" t="n"/>
      <c r="F43" s="187" t="n"/>
      <c r="G43" s="182" t="n"/>
      <c r="H43" s="182" t="n"/>
      <c r="I43" s="182" t="n"/>
      <c r="J43" s="182" t="n"/>
      <c r="K43" s="182" t="n"/>
      <c r="L43" s="182" t="n"/>
      <c r="M43" s="182" t="n"/>
      <c r="N43" s="182" t="n"/>
      <c r="O43" s="182" t="n"/>
      <c r="P43" s="182" t="n"/>
      <c r="Q43" s="182" t="n"/>
      <c r="R43" s="182" t="n"/>
      <c r="S43" s="182" t="n"/>
      <c r="T43" s="183" t="n"/>
    </row>
    <row r="44" ht="13.5" customHeight="1">
      <c r="A44" s="197" t="inlineStr">
        <is>
          <t>Confirm</t>
        </is>
      </c>
      <c r="B44" s="206" t="inlineStr">
        <is>
          <t>Return</t>
        </is>
      </c>
      <c r="C44" s="201" t="n"/>
      <c r="D44" s="202" t="n"/>
      <c r="E44" s="199" t="n"/>
      <c r="F44" s="182" t="n"/>
      <c r="G44" s="187" t="n"/>
      <c r="H44" s="182" t="n"/>
      <c r="I44" s="182" t="n"/>
      <c r="J44" s="182" t="n"/>
      <c r="K44" s="182" t="n"/>
      <c r="L44" s="182" t="n"/>
      <c r="M44" s="182" t="n"/>
      <c r="N44" s="182" t="n"/>
      <c r="O44" s="182" t="n"/>
      <c r="P44" s="182" t="n"/>
      <c r="Q44" s="182" t="n"/>
      <c r="R44" s="182" t="n"/>
      <c r="S44" s="182" t="n"/>
      <c r="T44" s="183" t="n"/>
    </row>
    <row r="45" ht="13.5" customHeight="1">
      <c r="A45" s="197" t="n"/>
      <c r="B45" s="206" t="n"/>
      <c r="C45" s="201" t="n"/>
      <c r="D45" s="207" t="inlineStr">
        <is>
          <t>Return the requested user's project list</t>
        </is>
      </c>
      <c r="E45" s="199" t="n"/>
      <c r="F45" s="187" t="inlineStr">
        <is>
          <t>O</t>
        </is>
      </c>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6" t="inlineStr">
        <is>
          <t>Exception</t>
        </is>
      </c>
      <c r="C46" s="201" t="n"/>
      <c r="D46" s="202" t="n"/>
      <c r="E46" s="199" t="n"/>
      <c r="F46" s="182" t="n"/>
      <c r="G46" s="182" t="n"/>
      <c r="H46" s="182" t="n"/>
      <c r="I46" s="187" t="n"/>
      <c r="J46" s="182" t="n"/>
      <c r="K46" s="182" t="n"/>
      <c r="L46" s="182" t="n"/>
      <c r="M46" s="182" t="n"/>
      <c r="N46" s="182" t="n"/>
      <c r="O46" s="182" t="n"/>
      <c r="P46" s="182" t="n"/>
      <c r="Q46" s="182" t="n"/>
      <c r="R46" s="182" t="n"/>
      <c r="S46" s="182" t="n"/>
      <c r="T46" s="183" t="n"/>
    </row>
    <row r="47" ht="27" customHeight="1">
      <c r="A47" s="197" t="n"/>
      <c r="B47" s="206" t="n"/>
      <c r="C47" s="208" t="n"/>
      <c r="D47" s="207" t="inlineStr">
        <is>
          <t>Reject unauthorized or unauthenticated project-list access</t>
        </is>
      </c>
      <c r="E47" s="209" t="n"/>
      <c r="F47" s="187" t="n"/>
      <c r="G47" s="182" t="n"/>
      <c r="H47" s="187" t="inlineStr">
        <is>
          <t>O</t>
        </is>
      </c>
      <c r="I47" s="187" t="inlineStr">
        <is>
          <t>O</t>
        </is>
      </c>
      <c r="J47" s="187" t="n"/>
      <c r="K47" s="182" t="n"/>
      <c r="L47" s="182" t="n"/>
      <c r="M47" s="182" t="n"/>
      <c r="N47" s="182" t="n"/>
      <c r="O47" s="182" t="n"/>
      <c r="P47" s="182" t="n"/>
      <c r="Q47" s="182" t="n"/>
      <c r="R47" s="182" t="n"/>
      <c r="S47" s="182" t="n"/>
      <c r="T47" s="183" t="n"/>
    </row>
    <row r="48" ht="13.5" customHeight="1">
      <c r="A48" s="197" t="n"/>
      <c r="B48" s="206" t="inlineStr">
        <is>
          <t>Verification</t>
        </is>
      </c>
      <c r="C48" s="208" t="n"/>
      <c r="D48" s="202" t="n"/>
      <c r="E48" s="209" t="n"/>
      <c r="F48" s="182" t="n"/>
      <c r="G48" s="187" t="n"/>
      <c r="H48" s="182" t="n"/>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Call listByUser with the target user id and current viewer id</t>
        </is>
      </c>
      <c r="E49" s="209" t="n"/>
      <c r="F49" s="187" t="inlineStr">
        <is>
          <t>O</t>
        </is>
      </c>
      <c r="G49" s="187" t="inlineStr">
        <is>
          <t>O</t>
        </is>
      </c>
      <c r="H49" s="187" t="n"/>
      <c r="I49" s="182" t="n"/>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N</t>
        </is>
      </c>
      <c r="H50" s="213" t="inlineStr">
        <is>
          <t>A</t>
        </is>
      </c>
      <c r="I50" s="213" t="inlineStr">
        <is>
          <t>A</t>
        </is>
      </c>
      <c r="J50" s="213" t="n"/>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n"/>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List'!E48</f>
        <v/>
      </c>
      <c r="D2" s="131" t="n"/>
      <c r="E2" s="133" t="n"/>
      <c r="F2" s="134" t="inlineStr">
        <is>
          <t>Function Name</t>
        </is>
      </c>
      <c r="G2" s="135" t="n"/>
      <c r="H2" s="135" t="n"/>
      <c r="I2" s="135" t="n"/>
      <c r="J2" s="135" t="n"/>
      <c r="K2" s="135" t="n"/>
      <c r="L2" s="136">
        <f>'Function List'!D48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createMilestone with executed evidence for controller payload mapping, successful save, budget rollback, retention validation, and missing-auth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n"/>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27" customHeight="1">
      <c r="A12" s="184" t="n"/>
      <c r="B12" s="178" t="n"/>
      <c r="C12" s="179" t="n"/>
      <c r="D12" s="185" t="inlineStr">
        <is>
          <t>New milestone would push project "project-1" over budget</t>
        </is>
      </c>
      <c r="E12" s="186" t="n"/>
      <c r="F12" s="187" t="n"/>
      <c r="G12" s="187" t="n"/>
      <c r="H12" s="187" t="n"/>
      <c r="I12" s="187" t="inlineStr">
        <is>
          <t>O</t>
        </is>
      </c>
      <c r="J12" s="187" t="n"/>
      <c r="K12" s="187" t="n"/>
      <c r="L12" s="187" t="n"/>
      <c r="M12" s="187" t="n"/>
      <c r="N12" s="187" t="n"/>
      <c r="O12" s="187" t="n"/>
      <c r="P12" s="187" t="n"/>
      <c r="Q12" s="187" t="n"/>
      <c r="R12" s="187" t="n"/>
      <c r="S12" s="187" t="n"/>
      <c r="T12" s="188" t="n"/>
    </row>
    <row r="13" ht="13.5" customHeight="1">
      <c r="A13" s="184" t="n"/>
      <c r="B13" s="178" t="inlineStr">
        <is>
          <t>userId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"user-1"</t>
        </is>
      </c>
      <c r="E14" s="189" t="n"/>
      <c r="F14" s="187" t="inlineStr">
        <is>
          <t>O</t>
        </is>
      </c>
      <c r="G14" s="182" t="n"/>
      <c r="H14" s="187" t="inlineStr">
        <is>
          <t>O</t>
        </is>
      </c>
      <c r="I14" s="187" t="inlineStr">
        <is>
          <t>O</t>
        </is>
      </c>
      <c r="J14" s="187" t="inlineStr">
        <is>
          <t>O</t>
        </is>
      </c>
      <c r="K14" s="182" t="n"/>
      <c r="L14" s="182" t="n"/>
      <c r="M14" s="182" t="n"/>
      <c r="N14" s="182" t="n"/>
      <c r="O14" s="187" t="n"/>
      <c r="P14" s="187" t="n"/>
      <c r="Q14" s="182" t="n"/>
      <c r="R14" s="182" t="n"/>
      <c r="S14" s="182" t="n"/>
      <c r="T14" s="183" t="n"/>
    </row>
    <row r="15" ht="13.5" customHeight="1">
      <c r="A15" s="184" t="n"/>
      <c r="B15" s="178" t="inlineStr">
        <is>
          <t>projectId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Project id "project-1" is supplied</t>
        </is>
      </c>
      <c r="E16" s="189" t="n"/>
      <c r="F16" s="187" t="inlineStr">
        <is>
          <t>O</t>
        </is>
      </c>
      <c r="G16" s="187" t="inlineStr">
        <is>
          <t>O</t>
        </is>
      </c>
      <c r="H16" s="187" t="inlineStr">
        <is>
          <t>O</t>
        </is>
      </c>
      <c r="I16" s="187" t="inlineStr">
        <is>
          <t>O</t>
        </is>
      </c>
      <c r="J16" s="187" t="inlineStr">
        <is>
          <t>O</t>
        </is>
      </c>
      <c r="K16" s="182" t="n"/>
      <c r="L16" s="182" t="n"/>
      <c r="M16" s="182" t="n"/>
      <c r="N16" s="182" t="n"/>
      <c r="O16" s="182" t="n"/>
      <c r="P16" s="182" t="n"/>
      <c r="Q16" s="182" t="n"/>
      <c r="R16" s="182" t="n"/>
      <c r="S16" s="182" t="n"/>
      <c r="T16" s="183" t="n"/>
    </row>
    <row r="17" ht="13.5" customHeight="1">
      <c r="A17" s="184" t="n"/>
      <c r="B17" s="178" t="inlineStr">
        <is>
          <t>request body</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27" customHeight="1">
      <c r="A18" s="184" t="n"/>
      <c r="B18" s="178" t="n"/>
      <c r="C18" s="179" t="n"/>
      <c r="D18" s="185" t="inlineStr">
        <is>
          <t>Milestone creation payload is supplied in the request body</t>
        </is>
      </c>
      <c r="E18" s="189" t="n"/>
      <c r="F18" s="187" t="inlineStr">
        <is>
          <t>O</t>
        </is>
      </c>
      <c r="G18" s="187" t="inlineStr">
        <is>
          <t>O</t>
        </is>
      </c>
      <c r="H18" s="187" t="inlineStr">
        <is>
          <t>O</t>
        </is>
      </c>
      <c r="I18" s="187" t="inlineStr">
        <is>
          <t>O</t>
        </is>
      </c>
      <c r="J18" s="187" t="inlineStr">
        <is>
          <t>O</t>
        </is>
      </c>
      <c r="K18" s="187" t="n"/>
      <c r="L18" s="187" t="n"/>
      <c r="M18" s="182" t="n"/>
      <c r="N18" s="182" t="n"/>
      <c r="O18" s="182" t="n"/>
      <c r="P18" s="182" t="n"/>
      <c r="Q18" s="182" t="n"/>
      <c r="R18" s="182" t="n"/>
      <c r="S18" s="182" t="n"/>
      <c r="T18" s="183" t="n"/>
    </row>
    <row r="19" ht="13.5" customHeight="1">
      <c r="A19" s="184" t="n"/>
      <c r="B19" s="178" t="inlineStr">
        <is>
          <t>budget</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27" customHeight="1">
      <c r="A20" s="184" t="n"/>
      <c r="B20" s="178" t="n"/>
      <c r="C20" s="179" t="n"/>
      <c r="D20" s="185" t="inlineStr">
        <is>
          <t>Project "project-1" remains within total budget after the new milestone is saved</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retention</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Milestone retentionAmount exceeds milestone amount</t>
        </is>
      </c>
      <c r="E22" s="189" t="n"/>
      <c r="F22" s="187" t="n"/>
      <c r="G22" s="182" t="n"/>
      <c r="H22" s="182" t="n"/>
      <c r="I22" s="182" t="n"/>
      <c r="J22" s="187" t="inlineStr">
        <is>
          <t>O</t>
        </is>
      </c>
      <c r="K22" s="182" t="n"/>
      <c r="L22" s="182" t="n"/>
      <c r="M22" s="187" t="n"/>
      <c r="N22" s="187" t="n"/>
      <c r="O22" s="182" t="n"/>
      <c r="P22" s="182" t="n"/>
      <c r="Q22" s="182" t="n"/>
      <c r="R22" s="182" t="n"/>
      <c r="S22" s="182" t="n"/>
      <c r="T22" s="183" t="n"/>
    </row>
    <row r="23" ht="13.5" customHeight="1">
      <c r="A23" s="184" t="n"/>
      <c r="B23" s="178" t="inlineStr">
        <is>
          <t>auth</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Authenticated user is missing from auth context</t>
        </is>
      </c>
      <c r="E24" s="189" t="n"/>
      <c r="F24" s="182" t="n"/>
      <c r="G24" s="187" t="inlineStr">
        <is>
          <t>O</t>
        </is>
      </c>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the created milestone result</t>
        </is>
      </c>
      <c r="E43" s="199" t="n"/>
      <c r="F43" s="187" t="inlineStr">
        <is>
          <t>O</t>
        </is>
      </c>
      <c r="G43" s="182" t="n"/>
      <c r="H43" s="187" t="inlineStr">
        <is>
          <t>O</t>
        </is>
      </c>
      <c r="I43" s="182" t="n"/>
      <c r="J43" s="182" t="n"/>
      <c r="K43" s="182" t="n"/>
      <c r="L43" s="182" t="n"/>
      <c r="M43" s="182" t="n"/>
      <c r="N43" s="182" t="n"/>
      <c r="O43" s="182" t="n"/>
      <c r="P43" s="182" t="n"/>
      <c r="Q43" s="182" t="n"/>
      <c r="R43" s="182" t="n"/>
      <c r="S43" s="182" t="n"/>
      <c r="T43" s="183" t="n"/>
    </row>
    <row r="44" ht="27" customHeight="1">
      <c r="A44" s="197" t="n"/>
      <c r="B44" s="206" t="n"/>
      <c r="C44" s="201" t="n"/>
      <c r="D44" s="207" t="inlineStr">
        <is>
          <t>Remove the just-saved milestone when budget validation fails after save</t>
        </is>
      </c>
      <c r="E44" s="199"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27" customHeight="1">
      <c r="A46" s="197" t="n"/>
      <c r="B46" s="206" t="n"/>
      <c r="C46" s="201" t="n"/>
      <c r="D46" s="207" t="inlineStr">
        <is>
          <t>Reject missing authentication or invalid retention input</t>
        </is>
      </c>
      <c r="E46" s="199" t="n"/>
      <c r="F46" s="182" t="n"/>
      <c r="G46" s="187" t="inlineStr">
        <is>
          <t>O</t>
        </is>
      </c>
      <c r="H46" s="182" t="n"/>
      <c r="I46" s="187" t="n"/>
      <c r="J46" s="187" t="inlineStr">
        <is>
          <t>O</t>
        </is>
      </c>
      <c r="K46" s="182" t="n"/>
      <c r="L46" s="182" t="n"/>
      <c r="M46" s="182" t="n"/>
      <c r="N46" s="182" t="n"/>
      <c r="O46" s="182" t="n"/>
      <c r="P46" s="182" t="n"/>
      <c r="Q46" s="182" t="n"/>
      <c r="R46" s="182" t="n"/>
      <c r="S46" s="182" t="n"/>
      <c r="T46" s="183" t="n"/>
    </row>
    <row r="47" ht="13.5" customHeight="1">
      <c r="A47" s="197" t="n"/>
      <c r="B47" s="206" t="inlineStr">
        <is>
          <t>Log message</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Create Milestone Successful: project "project-1" receives a new milestone</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Create Milestone Failed: over-budget milestone is rolled back</t>
        </is>
      </c>
      <c r="E49" s="209" t="n"/>
      <c r="F49" s="182" t="n"/>
      <c r="G49" s="182" t="n"/>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N</t>
        </is>
      </c>
      <c r="I50" s="213" t="inlineStr">
        <is>
          <t>A</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List'!E49</f>
        <v/>
      </c>
      <c r="D2" s="131" t="n"/>
      <c r="E2" s="133" t="n"/>
      <c r="F2" s="134" t="inlineStr">
        <is>
          <t>Function Name</t>
        </is>
      </c>
      <c r="G2" s="135" t="n"/>
      <c r="H2" s="135" t="n"/>
      <c r="I2" s="135" t="n"/>
      <c r="J2" s="135" t="n"/>
      <c r="K2" s="135" t="n"/>
      <c r="L2" s="136">
        <f>'Function List'!D49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updateMilestoneStructure with executed evidence for controller payload mapping, successful update, empty-payload rejection, budget rollback, and missing-auth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n"/>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No milestone structure fields are provided for update</t>
        </is>
      </c>
      <c r="E12" s="186" t="n"/>
      <c r="F12" s="187" t="n"/>
      <c r="G12" s="187" t="n"/>
      <c r="H12" s="187" t="n"/>
      <c r="I12" s="187" t="inlineStr">
        <is>
          <t>O</t>
        </is>
      </c>
      <c r="J12" s="187" t="n"/>
      <c r="K12" s="187" t="n"/>
      <c r="L12" s="187" t="n"/>
      <c r="M12" s="187" t="n"/>
      <c r="N12" s="187" t="n"/>
      <c r="O12" s="187" t="n"/>
      <c r="P12" s="187" t="n"/>
      <c r="Q12" s="187" t="n"/>
      <c r="R12" s="187" t="n"/>
      <c r="S12" s="187" t="n"/>
      <c r="T12" s="188" t="n"/>
    </row>
    <row r="13" ht="27" customHeight="1">
      <c r="A13" s="184" t="n"/>
      <c r="B13" s="178" t="n"/>
      <c r="C13" s="179" t="n"/>
      <c r="D13" s="185" t="inlineStr">
        <is>
          <t>Updated milestone would push project "project-1" over budget</t>
        </is>
      </c>
      <c r="E13" s="189" t="n"/>
      <c r="F13" s="182" t="n"/>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n"/>
      <c r="H15" s="187" t="inlineStr">
        <is>
          <t>O</t>
        </is>
      </c>
      <c r="I15" s="187" t="inlineStr">
        <is>
          <t>O</t>
        </is>
      </c>
      <c r="J15" s="187" t="inlineStr">
        <is>
          <t>O</t>
        </is>
      </c>
      <c r="K15" s="182" t="n"/>
      <c r="L15" s="182" t="n"/>
      <c r="M15" s="182" t="n"/>
      <c r="N15" s="182" t="n"/>
      <c r="O15" s="182" t="n"/>
      <c r="P15" s="182" t="n"/>
      <c r="Q15" s="182" t="n"/>
      <c r="R15" s="182" t="n"/>
      <c r="S15" s="182" t="n"/>
      <c r="T15" s="183" t="n"/>
    </row>
    <row r="16" ht="13.5" customHeight="1">
      <c r="A16" s="184" t="n"/>
      <c r="B16" s="178" t="inlineStr">
        <is>
          <t>milestoneId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"milestone-1"</t>
        </is>
      </c>
      <c r="E17" s="189" t="n"/>
      <c r="F17" s="187" t="inlineStr">
        <is>
          <t>O</t>
        </is>
      </c>
      <c r="G17" s="187" t="inlineStr">
        <is>
          <t>O</t>
        </is>
      </c>
      <c r="H17" s="187" t="inlineStr">
        <is>
          <t>O</t>
        </is>
      </c>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request body</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27" customHeight="1">
      <c r="A19" s="184" t="n"/>
      <c r="B19" s="178" t="n"/>
      <c r="C19" s="179" t="n"/>
      <c r="D19" s="185" t="inlineStr">
        <is>
          <t>Milestone update payload is supplied in the request body</t>
        </is>
      </c>
      <c r="E19" s="189" t="n"/>
      <c r="F19" s="187" t="inlineStr">
        <is>
          <t>O</t>
        </is>
      </c>
      <c r="G19" s="187" t="inlineStr">
        <is>
          <t>O</t>
        </is>
      </c>
      <c r="H19" s="187" t="inlineStr">
        <is>
          <t>O</t>
        </is>
      </c>
      <c r="I19" s="187" t="inlineStr">
        <is>
          <t>O</t>
        </is>
      </c>
      <c r="J19" s="187" t="inlineStr">
        <is>
          <t>O</t>
        </is>
      </c>
      <c r="K19" s="187" t="n"/>
      <c r="L19" s="182" t="n"/>
      <c r="M19" s="187" t="n"/>
      <c r="N19" s="182" t="n"/>
      <c r="O19" s="182" t="n"/>
      <c r="P19" s="182" t="n"/>
      <c r="Q19" s="182" t="n"/>
      <c r="R19" s="182" t="n"/>
      <c r="S19" s="182" t="n"/>
      <c r="T19" s="183" t="n"/>
    </row>
    <row r="20" ht="13.5" customHeight="1">
      <c r="A20" s="184" t="n"/>
      <c r="B20" s="178" t="inlineStr">
        <is>
          <t>payload</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27" customHeight="1">
      <c r="A21" s="184" t="n"/>
      <c r="B21" s="178" t="n"/>
      <c r="C21" s="179" t="n"/>
      <c r="D21" s="185" t="inlineStr">
        <is>
          <t>At least one milestone structure field is provided for update</t>
        </is>
      </c>
      <c r="E21" s="189" t="n"/>
      <c r="F21" s="182" t="n"/>
      <c r="G21" s="182" t="n"/>
      <c r="H21" s="187" t="inlineStr">
        <is>
          <t>O</t>
        </is>
      </c>
      <c r="I21" s="182" t="n"/>
      <c r="J21" s="182" t="n"/>
      <c r="K21" s="182" t="n"/>
      <c r="L21" s="182" t="n"/>
      <c r="M21" s="182" t="n"/>
      <c r="N21" s="182" t="n"/>
      <c r="O21" s="182" t="n"/>
      <c r="P21" s="182" t="n"/>
      <c r="Q21" s="182" t="n"/>
      <c r="R21" s="182" t="n"/>
      <c r="S21" s="182" t="n"/>
      <c r="T21" s="183" t="n"/>
    </row>
    <row r="22" ht="13.5" customHeight="1">
      <c r="A22" s="184" t="n"/>
      <c r="B22" s="178" t="inlineStr">
        <is>
          <t>budget</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27" customHeight="1">
      <c r="A23" s="184" t="n"/>
      <c r="B23" s="178" t="n"/>
      <c r="C23" s="179" t="n"/>
      <c r="D23" s="185" t="inlineStr">
        <is>
          <t>Updated milestone keeps project "project-1" within budget</t>
        </is>
      </c>
      <c r="E23" s="189" t="n"/>
      <c r="F23" s="182" t="n"/>
      <c r="G23" s="187" t="n"/>
      <c r="H23" s="187" t="inlineStr">
        <is>
          <t>O</t>
        </is>
      </c>
      <c r="I23" s="187" t="n"/>
      <c r="J23" s="182" t="n"/>
      <c r="K23" s="182" t="n"/>
      <c r="L23" s="182" t="n"/>
      <c r="M23" s="182" t="n"/>
      <c r="N23" s="182" t="n"/>
      <c r="O23" s="182" t="n"/>
      <c r="P23" s="182" t="n"/>
      <c r="Q23" s="182" t="n"/>
      <c r="R23" s="182" t="n"/>
      <c r="S23" s="182" t="n"/>
      <c r="T23" s="183" t="n"/>
    </row>
    <row r="24" ht="13.5" customHeight="1">
      <c r="A24" s="184" t="n"/>
      <c r="B24" s="178" t="inlineStr">
        <is>
          <t>auth</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Authenticated user is missing from auth context</t>
        </is>
      </c>
      <c r="E25" s="189" t="n"/>
      <c r="F25" s="182" t="n"/>
      <c r="G25" s="187" t="inlineStr">
        <is>
          <t>O</t>
        </is>
      </c>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the updated milestone result</t>
        </is>
      </c>
      <c r="E43" s="199" t="n"/>
      <c r="F43" s="187" t="inlineStr">
        <is>
          <t>O</t>
        </is>
      </c>
      <c r="G43" s="182" t="n"/>
      <c r="H43" s="187" t="inlineStr">
        <is>
          <t>O</t>
        </is>
      </c>
      <c r="I43" s="182" t="n"/>
      <c r="J43" s="182" t="n"/>
      <c r="K43" s="182" t="n"/>
      <c r="L43" s="182" t="n"/>
      <c r="M43" s="182" t="n"/>
      <c r="N43" s="182" t="n"/>
      <c r="O43" s="182" t="n"/>
      <c r="P43" s="182" t="n"/>
      <c r="Q43" s="182" t="n"/>
      <c r="R43" s="182" t="n"/>
      <c r="S43" s="182" t="n"/>
      <c r="T43" s="183" t="n"/>
    </row>
    <row r="44" ht="27" customHeight="1">
      <c r="A44" s="197" t="n"/>
      <c r="B44" s="206" t="n"/>
      <c r="C44" s="201" t="n"/>
      <c r="D44" s="207" t="inlineStr">
        <is>
          <t>Restore the previous milestone state when post-save budget validation fails</t>
        </is>
      </c>
      <c r="E44" s="199"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13.5" customHeight="1">
      <c r="A46" s="197" t="n"/>
      <c r="B46" s="206" t="n"/>
      <c r="C46" s="201" t="n"/>
      <c r="D46" s="207" t="inlineStr">
        <is>
          <t>Reject missing authentication or empty update payloads</t>
        </is>
      </c>
      <c r="E46" s="199" t="n"/>
      <c r="F46" s="182" t="n"/>
      <c r="G46" s="187" t="inlineStr">
        <is>
          <t>O</t>
        </is>
      </c>
      <c r="H46" s="182" t="n"/>
      <c r="I46" s="187" t="inlineStr">
        <is>
          <t>O</t>
        </is>
      </c>
      <c r="J46" s="182" t="n"/>
      <c r="K46" s="182" t="n"/>
      <c r="L46" s="182" t="n"/>
      <c r="M46" s="182" t="n"/>
      <c r="N46" s="182" t="n"/>
      <c r="O46" s="182" t="n"/>
      <c r="P46" s="182" t="n"/>
      <c r="Q46" s="182" t="n"/>
      <c r="R46" s="182" t="n"/>
      <c r="S46" s="182" t="n"/>
      <c r="T46" s="183" t="n"/>
    </row>
    <row r="47" ht="13.5" customHeight="1">
      <c r="A47" s="197" t="n"/>
      <c r="B47" s="206" t="inlineStr">
        <is>
          <t>Log message</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Update Milestone Successful: structural changes are saved for milestone "milestone-1"</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Update Milestone Failed: invalid budget change is rolled back</t>
        </is>
      </c>
      <c r="E49" s="209" t="n"/>
      <c r="F49" s="182" t="n"/>
      <c r="G49" s="182" t="n"/>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N</t>
        </is>
      </c>
      <c r="I50" s="213" t="inlineStr">
        <is>
          <t>A</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List'!E50</f>
        <v/>
      </c>
      <c r="D2" s="131" t="n"/>
      <c r="E2" s="133" t="n"/>
      <c r="F2" s="134" t="inlineStr">
        <is>
          <t>Function Name</t>
        </is>
      </c>
      <c r="G2" s="135" t="n"/>
      <c r="H2" s="135" t="n"/>
      <c r="I2" s="135" t="n"/>
      <c r="J2" s="135" t="n"/>
      <c r="K2" s="135" t="n"/>
      <c r="L2" s="136">
        <f>'Function List'!D50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deleteMilestoneStructure with executed evidence for controller deletion, successful service deletion, rollback on budget failure, not-linked rejection, and missing-auth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broker "broker-1" is available</t>
        </is>
      </c>
      <c r="E11" s="186" t="n"/>
      <c r="F11" s="187" t="inlineStr">
        <is>
          <t>O</t>
        </is>
      </c>
      <c r="G11" s="187" t="n"/>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n"/>
      <c r="C12" s="179" t="n"/>
      <c r="D12" s="185" t="inlineStr">
        <is>
          <t>Milestone "milestone-1" is not linked to any project</t>
        </is>
      </c>
      <c r="E12" s="186" t="n"/>
      <c r="F12" s="187" t="n"/>
      <c r="G12" s="187" t="n"/>
      <c r="H12" s="187" t="n"/>
      <c r="I12" s="187" t="n"/>
      <c r="J12" s="187" t="inlineStr">
        <is>
          <t>O</t>
        </is>
      </c>
      <c r="K12" s="187" t="n"/>
      <c r="L12" s="187" t="n"/>
      <c r="M12" s="187" t="n"/>
      <c r="N12" s="187" t="n"/>
      <c r="O12" s="187" t="n"/>
      <c r="P12" s="187" t="n"/>
      <c r="Q12" s="187" t="n"/>
      <c r="R12" s="187" t="n"/>
      <c r="S12" s="187" t="n"/>
      <c r="T12" s="188" t="n"/>
    </row>
    <row r="13" ht="27" customHeight="1">
      <c r="A13" s="184" t="n"/>
      <c r="B13" s="178" t="n"/>
      <c r="C13" s="179" t="n"/>
      <c r="D13" s="185" t="inlineStr">
        <is>
          <t>Deleting milestone "milestone-1" would leave the project over budget</t>
        </is>
      </c>
      <c r="E13" s="189" t="n"/>
      <c r="F13" s="182" t="n"/>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inlineStr">
        <is>
          <t>userId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"user-1"</t>
        </is>
      </c>
      <c r="E15" s="189" t="n"/>
      <c r="F15" s="187" t="inlineStr">
        <is>
          <t>O</t>
        </is>
      </c>
      <c r="G15" s="187" t="n"/>
      <c r="H15" s="187" t="inlineStr">
        <is>
          <t>O</t>
        </is>
      </c>
      <c r="I15" s="187" t="inlineStr">
        <is>
          <t>O</t>
        </is>
      </c>
      <c r="J15" s="187" t="inlineStr">
        <is>
          <t>O</t>
        </is>
      </c>
      <c r="K15" s="182" t="n"/>
      <c r="L15" s="182" t="n"/>
      <c r="M15" s="182" t="n"/>
      <c r="N15" s="182" t="n"/>
      <c r="O15" s="182" t="n"/>
      <c r="P15" s="182" t="n"/>
      <c r="Q15" s="182" t="n"/>
      <c r="R15" s="182" t="n"/>
      <c r="S15" s="182" t="n"/>
      <c r="T15" s="183" t="n"/>
    </row>
    <row r="16" ht="13.5" customHeight="1">
      <c r="A16" s="184" t="n"/>
      <c r="B16" s="178" t="inlineStr">
        <is>
          <t>milestoneId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"milestone-1"</t>
        </is>
      </c>
      <c r="E17" s="189" t="n"/>
      <c r="F17" s="187" t="inlineStr">
        <is>
          <t>O</t>
        </is>
      </c>
      <c r="G17" s="187" t="inlineStr">
        <is>
          <t>O</t>
        </is>
      </c>
      <c r="H17" s="187" t="inlineStr">
        <is>
          <t>O</t>
        </is>
      </c>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project link</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27" customHeight="1">
      <c r="A19" s="184" t="n"/>
      <c r="B19" s="178" t="n"/>
      <c r="C19" s="179" t="n"/>
      <c r="D19" s="185" t="inlineStr">
        <is>
          <t>Milestone "milestone-1" is linked to project "project-1"</t>
        </is>
      </c>
      <c r="E19" s="189" t="n"/>
      <c r="F19" s="182" t="n"/>
      <c r="G19" s="182" t="n"/>
      <c r="H19" s="187" t="inlineStr">
        <is>
          <t>O</t>
        </is>
      </c>
      <c r="I19" s="187" t="inlineStr">
        <is>
          <t>O</t>
        </is>
      </c>
      <c r="J19" s="182" t="n"/>
      <c r="K19" s="187" t="n"/>
      <c r="L19" s="182" t="n"/>
      <c r="M19" s="187" t="n"/>
      <c r="N19" s="182" t="n"/>
      <c r="O19" s="182" t="n"/>
      <c r="P19" s="182" t="n"/>
      <c r="Q19" s="182" t="n"/>
      <c r="R19" s="182" t="n"/>
      <c r="S19" s="182" t="n"/>
      <c r="T19" s="183" t="n"/>
    </row>
    <row r="20" ht="13.5" customHeight="1">
      <c r="A20" s="184" t="n"/>
      <c r="B20" s="178" t="inlineStr">
        <is>
          <t>budget</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27" customHeight="1">
      <c r="A21" s="184" t="n"/>
      <c r="B21" s="178" t="n"/>
      <c r="C21" s="179" t="n"/>
      <c r="D21" s="185" t="inlineStr">
        <is>
          <t>Remaining project milestones stay within budget after deletion</t>
        </is>
      </c>
      <c r="E21" s="189" t="n"/>
      <c r="F21" s="182" t="n"/>
      <c r="G21" s="182" t="n"/>
      <c r="H21" s="187" t="inlineStr">
        <is>
          <t>O</t>
        </is>
      </c>
      <c r="I21" s="182" t="n"/>
      <c r="J21" s="182" t="n"/>
      <c r="K21" s="182" t="n"/>
      <c r="L21" s="182" t="n"/>
      <c r="M21" s="182" t="n"/>
      <c r="N21" s="182" t="n"/>
      <c r="O21" s="182" t="n"/>
      <c r="P21" s="182" t="n"/>
      <c r="Q21" s="182" t="n"/>
      <c r="R21" s="182" t="n"/>
      <c r="S21" s="182" t="n"/>
      <c r="T21" s="183" t="n"/>
    </row>
    <row r="22" ht="13.5" customHeight="1">
      <c r="A22" s="184" t="n"/>
      <c r="B22" s="178" t="inlineStr">
        <is>
          <t>auth</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Authenticated user is missing from auth context</t>
        </is>
      </c>
      <c r="E23" s="189" t="n"/>
      <c r="F23" s="182" t="n"/>
      <c r="G23" s="187" t="inlineStr">
        <is>
          <t>O</t>
        </is>
      </c>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idden="1" ht="13.5" customHeight="1">
      <c r="A37" s="190" t="n"/>
      <c r="B37" s="191" t="n"/>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idden="1" ht="13.5" customHeight="1">
      <c r="A38" s="197" t="n"/>
      <c r="B38" s="191" t="n"/>
      <c r="C38" s="198" t="n"/>
      <c r="D38" s="193" t="n"/>
      <c r="E38" s="199" t="n"/>
      <c r="F38" s="187" t="n"/>
      <c r="G38" s="182" t="n"/>
      <c r="H38" s="182" t="n"/>
      <c r="I38" s="182" t="n"/>
      <c r="J38" s="182" t="n"/>
      <c r="K38" s="182" t="n"/>
      <c r="L38" s="182" t="n"/>
      <c r="M38" s="187" t="n"/>
      <c r="N38" s="182" t="n"/>
      <c r="O38" s="187" t="n"/>
      <c r="P38" s="182" t="n"/>
      <c r="Q38" s="182" t="n"/>
      <c r="R38" s="182" t="n"/>
      <c r="S38" s="182" t="n"/>
      <c r="T38" s="183" t="n"/>
    </row>
    <row r="39" hidden="1" ht="13.5" customHeight="1">
      <c r="A39" s="197" t="n"/>
      <c r="B39" s="200" t="n"/>
      <c r="C39" s="201" t="n"/>
      <c r="D39" s="202" t="n"/>
      <c r="E39" s="199" t="n"/>
      <c r="F39" s="182" t="n"/>
      <c r="G39" s="187" t="n"/>
      <c r="H39" s="187" t="n"/>
      <c r="I39" s="187" t="n"/>
      <c r="J39" s="187" t="n"/>
      <c r="K39" s="182" t="n"/>
      <c r="L39" s="187" t="n"/>
      <c r="M39" s="182" t="n"/>
      <c r="N39" s="187" t="n"/>
      <c r="O39" s="182" t="n"/>
      <c r="P39" s="187" t="n"/>
      <c r="Q39" s="182" t="n"/>
      <c r="R39" s="182" t="n"/>
      <c r="S39" s="182" t="n"/>
      <c r="T39" s="183" t="n"/>
    </row>
    <row r="40" hidden="1" ht="13.5" customHeight="1">
      <c r="A40" s="197" t="n"/>
      <c r="B40" s="203" t="n"/>
      <c r="C40" s="204" t="n"/>
      <c r="D40" s="205" t="n"/>
      <c r="E40" s="199"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3" t="n"/>
      <c r="C41" s="204" t="n"/>
      <c r="D41" s="205" t="n"/>
      <c r="E41" s="199" t="n"/>
      <c r="F41" s="182" t="n"/>
      <c r="G41" s="182" t="n"/>
      <c r="H41" s="182" t="n"/>
      <c r="I41" s="187" t="n"/>
      <c r="J41" s="182" t="n"/>
      <c r="K41" s="187" t="n"/>
      <c r="L41" s="182" t="n"/>
      <c r="M41" s="182" t="n"/>
      <c r="N41" s="182" t="n"/>
      <c r="O41" s="182" t="n"/>
      <c r="P41" s="182" t="n"/>
      <c r="Q41" s="182" t="n"/>
      <c r="R41" s="182" t="n"/>
      <c r="S41" s="182" t="n"/>
      <c r="T41" s="183" t="n"/>
    </row>
    <row r="42" ht="13.5" customHeight="1">
      <c r="A42" s="197" t="inlineStr">
        <is>
          <t>Confirm</t>
        </is>
      </c>
      <c r="B42" s="206" t="inlineStr">
        <is>
          <t>Return</t>
        </is>
      </c>
      <c r="C42" s="201" t="n"/>
      <c r="D42" s="202" t="n"/>
      <c r="E42" s="199"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6" t="n"/>
      <c r="C43" s="201" t="n"/>
      <c r="D43" s="207" t="inlineStr">
        <is>
          <t>Return success after milestone deletion</t>
        </is>
      </c>
      <c r="E43" s="199" t="n"/>
      <c r="F43" s="187" t="inlineStr">
        <is>
          <t>O</t>
        </is>
      </c>
      <c r="G43" s="182" t="n"/>
      <c r="H43" s="187" t="inlineStr">
        <is>
          <t>O</t>
        </is>
      </c>
      <c r="I43" s="182" t="n"/>
      <c r="J43" s="182" t="n"/>
      <c r="K43" s="182" t="n"/>
      <c r="L43" s="182" t="n"/>
      <c r="M43" s="182" t="n"/>
      <c r="N43" s="182" t="n"/>
      <c r="O43" s="182" t="n"/>
      <c r="P43" s="182" t="n"/>
      <c r="Q43" s="182" t="n"/>
      <c r="R43" s="182" t="n"/>
      <c r="S43" s="182" t="n"/>
      <c r="T43" s="183" t="n"/>
    </row>
    <row r="44" ht="27" customHeight="1">
      <c r="A44" s="197" t="n"/>
      <c r="B44" s="206" t="n"/>
      <c r="C44" s="201" t="n"/>
      <c r="D44" s="207" t="inlineStr">
        <is>
          <t>Restore the deleted milestone when post-delete budget validation fails</t>
        </is>
      </c>
      <c r="E44" s="199"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6" t="inlineStr">
        <is>
          <t>Exception</t>
        </is>
      </c>
      <c r="C45" s="201" t="n"/>
      <c r="D45" s="202" t="n"/>
      <c r="E45" s="199" t="n"/>
      <c r="F45" s="182" t="n"/>
      <c r="G45" s="182" t="n"/>
      <c r="H45" s="187" t="n"/>
      <c r="I45" s="182" t="n"/>
      <c r="J45" s="182" t="n"/>
      <c r="K45" s="182" t="n"/>
      <c r="L45" s="182" t="n"/>
      <c r="M45" s="182" t="n"/>
      <c r="N45" s="182" t="n"/>
      <c r="O45" s="182" t="n"/>
      <c r="P45" s="182" t="n"/>
      <c r="Q45" s="182" t="n"/>
      <c r="R45" s="182" t="n"/>
      <c r="S45" s="182" t="n"/>
      <c r="T45" s="183" t="n"/>
    </row>
    <row r="46" ht="27" customHeight="1">
      <c r="A46" s="197" t="n"/>
      <c r="B46" s="206" t="n"/>
      <c r="C46" s="201" t="n"/>
      <c r="D46" s="207" t="inlineStr">
        <is>
          <t>Reject missing authentication or milestones that are not linked to a project</t>
        </is>
      </c>
      <c r="E46" s="199" t="n"/>
      <c r="F46" s="182" t="n"/>
      <c r="G46" s="187" t="inlineStr">
        <is>
          <t>O</t>
        </is>
      </c>
      <c r="H46" s="182" t="n"/>
      <c r="I46" s="187" t="n"/>
      <c r="J46" s="187" t="inlineStr">
        <is>
          <t>O</t>
        </is>
      </c>
      <c r="K46" s="182" t="n"/>
      <c r="L46" s="182" t="n"/>
      <c r="M46" s="182" t="n"/>
      <c r="N46" s="182" t="n"/>
      <c r="O46" s="182" t="n"/>
      <c r="P46" s="182" t="n"/>
      <c r="Q46" s="182" t="n"/>
      <c r="R46" s="182" t="n"/>
      <c r="S46" s="182" t="n"/>
      <c r="T46" s="183" t="n"/>
    </row>
    <row r="47" ht="13.5" customHeight="1">
      <c r="A47" s="197" t="n"/>
      <c r="B47" s="206" t="inlineStr">
        <is>
          <t>Log message</t>
        </is>
      </c>
      <c r="C47" s="208" t="n"/>
      <c r="D47" s="202" t="n"/>
      <c r="E47" s="209" t="n"/>
      <c r="F47" s="187" t="n"/>
      <c r="G47" s="182" t="n"/>
      <c r="H47" s="182" t="n"/>
      <c r="I47" s="182" t="n"/>
      <c r="J47" s="187" t="n"/>
      <c r="K47" s="182" t="n"/>
      <c r="L47" s="182" t="n"/>
      <c r="M47" s="182" t="n"/>
      <c r="N47" s="182" t="n"/>
      <c r="O47" s="182" t="n"/>
      <c r="P47" s="182" t="n"/>
      <c r="Q47" s="182" t="n"/>
      <c r="R47" s="182" t="n"/>
      <c r="S47" s="182" t="n"/>
      <c r="T47" s="183" t="n"/>
    </row>
    <row r="48" ht="27" customHeight="1">
      <c r="A48" s="197" t="n"/>
      <c r="B48" s="206" t="n"/>
      <c r="C48" s="208" t="n"/>
      <c r="D48" s="207" t="inlineStr">
        <is>
          <t>Delete Milestone Successful: milestone "milestone-1" is removed</t>
        </is>
      </c>
      <c r="E48" s="209" t="n"/>
      <c r="F48" s="182" t="n"/>
      <c r="G48" s="187" t="n"/>
      <c r="H48" s="187" t="inlineStr">
        <is>
          <t>O</t>
        </is>
      </c>
      <c r="I48" s="182" t="n"/>
      <c r="J48" s="182" t="n"/>
      <c r="K48" s="187" t="n"/>
      <c r="L48" s="182" t="n"/>
      <c r="M48" s="182" t="n"/>
      <c r="N48" s="182" t="n"/>
      <c r="O48" s="182" t="n"/>
      <c r="P48" s="182" t="n"/>
      <c r="Q48" s="182" t="n"/>
      <c r="R48" s="182" t="n"/>
      <c r="S48" s="182" t="n"/>
      <c r="T48" s="183" t="n"/>
    </row>
    <row r="49" ht="27" customHeight="1">
      <c r="A49" s="197" t="n"/>
      <c r="B49" s="206" t="n"/>
      <c r="C49" s="208" t="n"/>
      <c r="D49" s="207" t="inlineStr">
        <is>
          <t>Delete Milestone Failed: removed milestone is restored after budget check fails</t>
        </is>
      </c>
      <c r="E49" s="209" t="n"/>
      <c r="F49" s="182" t="n"/>
      <c r="G49" s="182" t="n"/>
      <c r="H49" s="187" t="n"/>
      <c r="I49" s="187" t="inlineStr">
        <is>
          <t>O</t>
        </is>
      </c>
      <c r="J49" s="182" t="n"/>
      <c r="K49" s="182" t="n"/>
      <c r="L49" s="187" t="n"/>
      <c r="M49" s="182" t="n"/>
      <c r="N49" s="182" t="n"/>
      <c r="O49" s="182" t="n"/>
      <c r="P49" s="182" t="n"/>
      <c r="Q49" s="182" t="n"/>
      <c r="R49" s="182" t="n"/>
      <c r="S49" s="182" t="n"/>
      <c r="T49" s="183" t="n"/>
    </row>
    <row r="50" ht="13.5" customHeight="1">
      <c r="A50" s="190" t="inlineStr">
        <is>
          <t>Result</t>
        </is>
      </c>
      <c r="B50" s="210" t="inlineStr">
        <is>
          <t>Type(N : Normal, A : Abnormal, B : Boundary)</t>
        </is>
      </c>
      <c r="C50" s="211" t="n"/>
      <c r="D50" s="212" t="n"/>
      <c r="E50" s="210" t="n"/>
      <c r="F50" s="213" t="inlineStr">
        <is>
          <t>N</t>
        </is>
      </c>
      <c r="G50" s="213" t="inlineStr">
        <is>
          <t>A</t>
        </is>
      </c>
      <c r="H50" s="213" t="inlineStr">
        <is>
          <t>N</t>
        </is>
      </c>
      <c r="I50" s="213" t="inlineStr">
        <is>
          <t>A</t>
        </is>
      </c>
      <c r="J50" s="213" t="inlineStr">
        <is>
          <t>A</t>
        </is>
      </c>
      <c r="K50" s="213" t="n"/>
      <c r="L50" s="213" t="n"/>
      <c r="M50" s="213" t="n"/>
      <c r="N50" s="213" t="n"/>
      <c r="O50" s="213" t="n"/>
      <c r="P50" s="213" t="n"/>
      <c r="Q50" s="213" t="n"/>
      <c r="R50" s="213" t="n"/>
      <c r="S50" s="213" t="n"/>
      <c r="T50" s="214" t="n"/>
    </row>
    <row r="51" ht="13.5" customHeight="1">
      <c r="A51" s="215" t="n"/>
      <c r="B51" s="216" t="inlineStr">
        <is>
          <t>Passed/Failed</t>
        </is>
      </c>
      <c r="C51" s="143" t="n"/>
      <c r="D51" s="144" t="n"/>
      <c r="E51" s="217" t="n"/>
      <c r="F51" s="218" t="inlineStr">
        <is>
          <t>P</t>
        </is>
      </c>
      <c r="G51" s="218" t="inlineStr">
        <is>
          <t>P</t>
        </is>
      </c>
      <c r="H51" s="218" t="inlineStr">
        <is>
          <t>P</t>
        </is>
      </c>
      <c r="I51" s="218" t="inlineStr">
        <is>
          <t>P</t>
        </is>
      </c>
      <c r="J51" s="218" t="inlineStr">
        <is>
          <t>P</t>
        </is>
      </c>
      <c r="K51" s="218" t="n"/>
      <c r="L51" s="218" t="n"/>
      <c r="M51" s="218" t="n"/>
      <c r="N51" s="218" t="n"/>
      <c r="O51" s="218" t="n"/>
      <c r="P51" s="218" t="n"/>
      <c r="Q51" s="218" t="n"/>
      <c r="R51" s="218" t="n"/>
      <c r="S51" s="218" t="n"/>
      <c r="T51" s="219" t="n"/>
    </row>
    <row r="52" ht="71.5" customHeight="1">
      <c r="A52" s="215" t="n"/>
      <c r="B52" s="220" t="inlineStr">
        <is>
          <t>Executed Date</t>
        </is>
      </c>
      <c r="C52" s="143" t="n"/>
      <c r="D52" s="144" t="n"/>
      <c r="E52" s="221" t="n"/>
      <c r="F52" s="222" t="n">
        <v>46112</v>
      </c>
      <c r="G52" s="222" t="n">
        <v>46112</v>
      </c>
      <c r="H52" s="222" t="n">
        <v>46112</v>
      </c>
      <c r="I52" s="222" t="n">
        <v>46112</v>
      </c>
      <c r="J52" s="222" t="n">
        <v>46112</v>
      </c>
      <c r="K52" s="222" t="n"/>
      <c r="L52" s="222" t="n"/>
      <c r="M52" s="222" t="n"/>
      <c r="N52" s="222" t="n"/>
      <c r="O52" s="222" t="n"/>
      <c r="P52" s="222" t="n"/>
      <c r="Q52" s="222" t="n"/>
      <c r="R52" s="222" t="n"/>
      <c r="S52" s="222" t="n"/>
      <c r="T52" s="223" t="n"/>
    </row>
    <row r="53" ht="10.5" customHeight="1">
      <c r="A53" s="224" t="n"/>
      <c r="B53" s="225" t="inlineStr">
        <is>
          <t>Defect ID</t>
        </is>
      </c>
      <c r="C53" s="226" t="n"/>
      <c r="D53" s="227" t="n"/>
      <c r="E53" s="228" t="n"/>
      <c r="F53" s="229" t="n"/>
      <c r="G53" s="229" t="n"/>
      <c r="H53" s="229" t="n"/>
      <c r="I53" s="229" t="n"/>
      <c r="J53" s="229" t="n"/>
      <c r="K53" s="229" t="n"/>
      <c r="L53" s="229" t="n"/>
      <c r="M53" s="229" t="n"/>
      <c r="N53" s="229" t="n"/>
      <c r="O53" s="229" t="n"/>
      <c r="P53" s="229" t="n"/>
      <c r="Q53" s="229" t="n"/>
      <c r="R53" s="229" t="n"/>
      <c r="S53" s="229" t="n"/>
      <c r="T53" s="230" t="n"/>
    </row>
    <row r="54" ht="10.5" customHeight="1">
      <c r="A54" s="231" t="n"/>
      <c r="B54" s="232" t="n"/>
      <c r="C54" s="233" t="n"/>
      <c r="D54" s="232"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2026-03-31T09:37:42Z</dcterms:created>
  <dcterms:modified xsi:type="dcterms:W3CDTF">2026-03-31T09:37:48Z</dcterms:modified>
</cp:coreProperties>
</file>