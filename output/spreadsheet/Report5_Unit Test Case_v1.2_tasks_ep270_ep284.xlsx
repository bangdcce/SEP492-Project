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4620" windowHeight="13900" tabRatio="866" firstSheet="0" activeTab="3" autoFilterDateGrouping="1"/>
  </bookViews>
  <sheets>
    <sheet xmlns:r="http://schemas.openxmlformats.org/officeDocument/2006/relationships" name="Guideline" sheetId="1" state="visible" r:id="rId1"/>
    <sheet xmlns:r="http://schemas.openxmlformats.org/officeDocument/2006/relationships" name="Cover" sheetId="2" state="visible" r:id="rId2"/>
    <sheet xmlns:r="http://schemas.openxmlformats.org/officeDocument/2006/relationships" name="Function List" sheetId="3" state="visible" r:id="rId3"/>
    <sheet xmlns:r="http://schemas.openxmlformats.org/officeDocument/2006/relationships" name="Test Report" sheetId="4" state="visible" r:id="rId4"/>
    <sheet xmlns:r="http://schemas.openxmlformats.org/officeDocument/2006/relationships" name="Get Project Recent Activity" sheetId="5" state="visible" r:id="rId5"/>
    <sheet xmlns:r="http://schemas.openxmlformats.org/officeDocument/2006/relationships" name="Get Task History" sheetId="6" state="visible" r:id="rId6"/>
    <sheet xmlns:r="http://schemas.openxmlformats.org/officeDocument/2006/relationships" name="Get Task Comments" sheetId="7" state="visible" r:id="rId7"/>
    <sheet xmlns:r="http://schemas.openxmlformats.org/officeDocument/2006/relationships" name="Get Task Submissions" sheetId="8" state="visible" r:id="rId8"/>
    <sheet xmlns:r="http://schemas.openxmlformats.org/officeDocument/2006/relationships" name="Upload Attachment" sheetId="9" state="visible" r:id="rId9"/>
    <sheet xmlns:r="http://schemas.openxmlformats.org/officeDocument/2006/relationships" name="Add Comment" sheetId="10" state="visible" r:id="rId10"/>
    <sheet xmlns:r="http://schemas.openxmlformats.org/officeDocument/2006/relationships" name="Submit Work" sheetId="11" state="visible" r:id="rId11"/>
    <sheet xmlns:r="http://schemas.openxmlformats.org/officeDocument/2006/relationships" name="Review Submission" sheetId="12" state="visible" r:id="rId12"/>
  </sheets>
  <definedNames>
    <definedName name="ACTION">#REF!</definedName>
    <definedName name="_xlnm.Print_Area" localSheetId="0">'Guideline'!$A$1:$A$48</definedName>
    <definedName name="_xlnm.Print_Area" localSheetId="2">'Function List'!$A$1:$H$38</definedName>
    <definedName name="Z_2C0D9096_8D85_462A_A9B5_0B488ADB4269_.wvu.PrintArea" localSheetId="3" hidden="1">'Test Report'!$A:$I</definedName>
    <definedName name="Z_6F1DCD5D_5DAC_4817_BF40_2B66F6F593E6_.wvu.PrintArea" localSheetId="3" hidden="1">'Test Report'!$A:$I</definedName>
    <definedName name="Z_BE54E0AD_3725_4423_92D7_4F1C045BE1BC_.wvu.PrintArea" localSheetId="3" hidden="1">'Test Report'!$A:$I</definedName>
    <definedName name="_xlnm.Print_Area" localSheetId="3">'Test Report'!$A$1:$I$120</definedName>
    <definedName name="_xlnm.Print_Area" localSheetId="4">'Get Project Recent Activity'!$A$1:$T$36</definedName>
    <definedName name="_xlnm.Print_Area" localSheetId="5">'Get Task History'!$A$1:$T$36</definedName>
    <definedName name="_xlnm.Print_Area" localSheetId="6">'Get Task Comments'!$A$1:$T$36</definedName>
    <definedName name="_xlnm.Print_Area" localSheetId="7">'Get Task Submissions'!$A$1:$T$36</definedName>
    <definedName name="_xlnm.Print_Area" localSheetId="8">'Upload Attachment'!$A$1:$T$40</definedName>
    <definedName name="_xlnm.Print_Area" localSheetId="9">'Add Comment'!$A$1:$T$39</definedName>
    <definedName name="_xlnm.Print_Area" localSheetId="10">'Submit Work'!$A$1:$T$40</definedName>
    <definedName name="_xlnm.Print_Area" localSheetId="11">'Review Submission'!$A$1:$T$43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d\-mmm\-yy;@"/>
    <numFmt numFmtId="165" formatCode="mm/dd"/>
  </numFmts>
  <fonts count="67">
    <font>
      <name val="ＭＳ Ｐゴシック"/>
      <charset val="128"/>
      <family val="3"/>
      <sz val="11"/>
    </font>
    <font>
      <name val="ＭＳ Ｐゴシック"/>
      <charset val="128"/>
      <family val="3"/>
      <sz val="11"/>
    </font>
    <font>
      <name val="ＭＳ Ｐゴシック"/>
      <charset val="128"/>
      <family val="3"/>
      <sz val="11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ＭＳ Ｐゴシック"/>
      <charset val="128"/>
      <family val="3"/>
      <color indexed="12"/>
      <sz val="11"/>
      <u val="single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Calibri"/>
      <family val="2"/>
      <color indexed="10"/>
      <sz val="11"/>
    </font>
    <font>
      <name val="ＭＳ ゴシック"/>
      <charset val="128"/>
      <family val="3"/>
      <sz val="9"/>
    </font>
    <font>
      <name val="Tahoma"/>
      <family val="2"/>
      <b val="1"/>
      <color indexed="10"/>
      <sz val="26"/>
    </font>
    <font>
      <name val="Tahoma"/>
      <family val="2"/>
      <b val="1"/>
      <color indexed="8"/>
      <sz val="20"/>
    </font>
    <font>
      <name val="Tahoma"/>
      <family val="2"/>
      <sz val="10"/>
    </font>
    <font>
      <name val="Tahoma"/>
      <family val="2"/>
      <b val="1"/>
      <color indexed="60"/>
      <sz val="10"/>
    </font>
    <font>
      <name val="Tahoma"/>
      <family val="2"/>
      <i val="1"/>
      <color indexed="17"/>
      <sz val="10"/>
    </font>
    <font>
      <name val="Tahoma"/>
      <family val="2"/>
      <b val="1"/>
      <color indexed="9"/>
      <sz val="10"/>
    </font>
    <font>
      <name val="Tahoma"/>
      <family val="2"/>
      <b val="1"/>
      <color indexed="8"/>
      <sz val="10"/>
    </font>
    <font>
      <name val="Tahoma"/>
      <family val="2"/>
      <b val="1"/>
      <color indexed="10"/>
      <sz val="10"/>
    </font>
    <font>
      <name val="Tahoma"/>
      <family val="2"/>
      <b val="1"/>
      <sz val="10"/>
    </font>
    <font>
      <name val="Tahoma"/>
      <family val="2"/>
      <color indexed="9"/>
      <sz val="10"/>
    </font>
    <font>
      <name val="Tahoma"/>
      <family val="2"/>
      <color indexed="8"/>
      <sz val="10"/>
    </font>
    <font>
      <name val="ＭＳ Ｐゴシック"/>
      <charset val="128"/>
      <family val="3"/>
      <sz val="8"/>
    </font>
    <font>
      <name val="Tahoma"/>
      <family val="2"/>
      <sz val="8"/>
    </font>
    <font>
      <name val="Tahoma"/>
      <family val="2"/>
      <b val="1"/>
      <sz val="8"/>
    </font>
    <font>
      <name val="Tahoma"/>
      <family val="2"/>
      <color indexed="17"/>
      <sz val="8"/>
    </font>
    <font>
      <name val="Tahoma"/>
      <family val="2"/>
      <i val="1"/>
      <sz val="8"/>
    </font>
    <font>
      <name val="Courier New"/>
      <family val="3"/>
      <b val="1"/>
      <sz val="12"/>
    </font>
    <font>
      <name val="Courier New"/>
      <family val="3"/>
      <b val="1"/>
      <sz val="8"/>
    </font>
    <font>
      <name val="Courier New"/>
      <family val="3"/>
      <sz val="8"/>
    </font>
    <font>
      <name val="Tahoma"/>
      <family val="2"/>
      <color indexed="81"/>
      <sz val="8"/>
    </font>
    <font>
      <name val="ＭＳ Ｐゴシック"/>
      <charset val="128"/>
      <family val="3"/>
      <sz val="6"/>
    </font>
    <font>
      <name val="Tahoma"/>
      <family val="2"/>
      <i val="1"/>
      <sz val="10"/>
    </font>
    <font>
      <name val="Tahoma"/>
      <family val="2"/>
      <color indexed="12"/>
      <sz val="11"/>
      <u val="single"/>
    </font>
    <font>
      <name val="Tahoma"/>
      <family val="2"/>
      <b val="1"/>
      <sz val="18"/>
    </font>
    <font>
      <name val="Tahoma"/>
      <family val="2"/>
      <b val="1"/>
      <sz val="11"/>
    </font>
    <font>
      <name val="Tahoma"/>
      <family val="2"/>
      <b val="1"/>
      <sz val="14"/>
    </font>
    <font>
      <name val="Tahoma"/>
      <family val="2"/>
      <sz val="10.5"/>
    </font>
    <font>
      <name val="Tahoma"/>
      <family val="2"/>
      <sz val="11"/>
    </font>
    <font>
      <name val="Tahoma"/>
      <family val="2"/>
      <b val="1"/>
      <sz val="12"/>
    </font>
    <font>
      <name val="Tahoma"/>
      <family val="2"/>
      <i val="1"/>
      <sz val="11"/>
    </font>
    <font>
      <name val="Tahoma"/>
      <family val="2"/>
      <b val="1"/>
      <color indexed="9"/>
      <sz val="11"/>
    </font>
    <font>
      <name val="Tahoma"/>
      <family val="2"/>
      <b val="1"/>
      <color indexed="9"/>
      <sz val="8"/>
    </font>
    <font>
      <name val="Tahoma"/>
      <family val="2"/>
      <color indexed="9"/>
      <sz val="8"/>
    </font>
    <font>
      <name val="Tahoma"/>
      <family val="2"/>
      <b val="1"/>
      <color indexed="8"/>
      <sz val="8"/>
    </font>
    <font>
      <name val="Tahoma"/>
      <family val="2"/>
      <color indexed="8"/>
      <sz val="8"/>
    </font>
    <font>
      <name val="Tahoma"/>
      <family val="2"/>
      <b val="1"/>
      <color rgb="FFFF0000"/>
      <sz val="8"/>
    </font>
    <font>
      <name val="Tahoma"/>
      <family val="2"/>
      <b val="1"/>
      <color theme="0"/>
      <sz val="8"/>
    </font>
    <font>
      <name val="Tahoma"/>
      <family val="2"/>
      <color theme="1"/>
      <sz val="10"/>
    </font>
    <font>
      <name val="Calibri"/>
      <family val="2"/>
      <sz val="12"/>
    </font>
    <font>
      <name val="Calibri"/>
      <family val="2"/>
      <i val="1"/>
      <sz val="12"/>
    </font>
    <font>
      <name val="Calibri"/>
      <family val="2"/>
      <b val="1"/>
      <sz val="12"/>
    </font>
    <font>
      <name val="Calibri"/>
      <family val="2"/>
      <b val="1"/>
      <color indexed="9"/>
      <sz val="12"/>
    </font>
    <font>
      <name val="Calibri"/>
      <family val="3"/>
      <b val="1"/>
      <sz val="12"/>
    </font>
    <font>
      <name val="Calibri"/>
      <charset val="128"/>
      <family val="3"/>
      <color indexed="12"/>
      <sz val="12"/>
      <u val="single"/>
    </font>
    <font>
      <name val="Calibri"/>
      <family val="2"/>
      <color indexed="9"/>
      <sz val="12"/>
    </font>
  </fonts>
  <fills count="35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indexed="26"/>
      </patternFill>
    </fill>
    <fill>
      <patternFill patternType="solid">
        <fgColor theme="9"/>
        <bgColor indexed="26"/>
      </patternFill>
    </fill>
    <fill>
      <patternFill patternType="solid">
        <fgColor theme="0"/>
        <bgColor indexed="26"/>
      </patternFill>
    </fill>
  </fills>
  <borders count="13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9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hair">
        <color indexed="8"/>
      </right>
      <top style="double">
        <color indexed="64"/>
      </top>
      <bottom style="medium">
        <color indexed="9"/>
      </bottom>
      <diagonal/>
    </border>
    <border>
      <left/>
      <right/>
      <top style="double">
        <color indexed="64"/>
      </top>
      <bottom style="medium">
        <color indexed="9"/>
      </bottom>
      <diagonal/>
    </border>
    <border>
      <left/>
      <right style="double">
        <color indexed="64"/>
      </right>
      <top style="double">
        <color indexed="64"/>
      </top>
      <bottom style="medium">
        <color indexed="9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thin">
        <color indexed="64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medium">
        <color indexed="8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 style="thin">
        <color indexed="64"/>
      </top>
      <bottom style="thin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8"/>
      </right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8"/>
      </right>
      <top style="thin">
        <color indexed="64"/>
      </top>
      <bottom style="thin">
        <color indexed="8"/>
      </bottom>
      <diagonal/>
    </border>
    <border>
      <left/>
      <right style="medium">
        <color indexed="8"/>
      </right>
      <top style="thin">
        <color indexed="64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medium">
        <color indexed="8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8"/>
      </top>
      <bottom style="medium">
        <color indexed="8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thin">
        <color indexed="64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49">
    <xf numFmtId="0" fontId="2" fillId="0" borderId="0" applyAlignment="1">
      <alignment vertical="center"/>
    </xf>
    <xf numFmtId="0" fontId="3" fillId="2" borderId="0"/>
    <xf numFmtId="0" fontId="3" fillId="3" borderId="0"/>
    <xf numFmtId="0" fontId="3" fillId="4" borderId="0"/>
    <xf numFmtId="0" fontId="3" fillId="5" borderId="0"/>
    <xf numFmtId="0" fontId="3" fillId="6" borderId="0"/>
    <xf numFmtId="0" fontId="3" fillId="7" borderId="0"/>
    <xf numFmtId="0" fontId="3" fillId="8" borderId="0"/>
    <xf numFmtId="0" fontId="3" fillId="9" borderId="0"/>
    <xf numFmtId="0" fontId="3" fillId="10" borderId="0"/>
    <xf numFmtId="0" fontId="3" fillId="5" borderId="0"/>
    <xf numFmtId="0" fontId="3" fillId="8" borderId="0"/>
    <xf numFmtId="0" fontId="3" fillId="11" borderId="0"/>
    <xf numFmtId="0" fontId="4" fillId="12" borderId="0"/>
    <xf numFmtId="0" fontId="4" fillId="9" borderId="0"/>
    <xf numFmtId="0" fontId="4" fillId="10" borderId="0"/>
    <xf numFmtId="0" fontId="4" fillId="13" borderId="0"/>
    <xf numFmtId="0" fontId="4" fillId="14" borderId="0"/>
    <xf numFmtId="0" fontId="4" fillId="15" borderId="0"/>
    <xf numFmtId="0" fontId="4" fillId="16" borderId="0"/>
    <xf numFmtId="0" fontId="4" fillId="17" borderId="0"/>
    <xf numFmtId="0" fontId="4" fillId="18" borderId="0"/>
    <xf numFmtId="0" fontId="4" fillId="13" borderId="0"/>
    <xf numFmtId="0" fontId="4" fillId="14" borderId="0"/>
    <xf numFmtId="0" fontId="4" fillId="19" borderId="0"/>
    <xf numFmtId="0" fontId="5" fillId="3" borderId="0"/>
    <xf numFmtId="0" fontId="6" fillId="20" borderId="1"/>
    <xf numFmtId="0" fontId="7" fillId="21" borderId="2"/>
    <xf numFmtId="0" fontId="8" fillId="0" borderId="0"/>
    <xf numFmtId="0" fontId="9" fillId="4" borderId="0"/>
    <xf numFmtId="0" fontId="10" fillId="0" borderId="3"/>
    <xf numFmtId="0" fontId="11" fillId="0" borderId="4"/>
    <xf numFmtId="0" fontId="12" fillId="0" borderId="5"/>
    <xf numFmtId="0" fontId="12" fillId="0" borderId="0"/>
    <xf numFmtId="0" fontId="13" fillId="0" borderId="0"/>
    <xf numFmtId="0" fontId="14" fillId="7" borderId="1"/>
    <xf numFmtId="0" fontId="15" fillId="0" borderId="6"/>
    <xf numFmtId="0" fontId="16" fillId="22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3" borderId="7"/>
    <xf numFmtId="0" fontId="17" fillId="20" borderId="8"/>
    <xf numFmtId="0" fontId="18" fillId="0" borderId="0"/>
    <xf numFmtId="0" fontId="19" fillId="0" borderId="9"/>
    <xf numFmtId="0" fontId="20" fillId="0" borderId="0"/>
    <xf numFmtId="0" fontId="21" fillId="0" borderId="0"/>
  </cellStyleXfs>
  <cellXfs count="498">
    <xf numFmtId="0" fontId="0" fillId="0" borderId="0" applyAlignment="1" pivotButton="0" quotePrefix="0" xfId="0">
      <alignment vertical="center"/>
    </xf>
    <xf numFmtId="0" fontId="24" fillId="0" borderId="0" applyAlignment="1" pivotButton="0" quotePrefix="0" xfId="41">
      <alignment horizontal="center" vertical="center"/>
    </xf>
    <xf numFmtId="0" fontId="24" fillId="0" borderId="0" pivotButton="0" quotePrefix="0" xfId="41"/>
    <xf numFmtId="0" fontId="25" fillId="24" borderId="0" applyAlignment="1" pivotButton="0" quotePrefix="0" xfId="41">
      <alignment horizontal="left" indent="1"/>
    </xf>
    <xf numFmtId="0" fontId="26" fillId="0" borderId="0" applyAlignment="1" pivotButton="0" quotePrefix="0" xfId="41">
      <alignment horizontal="left" indent="1"/>
    </xf>
    <xf numFmtId="0" fontId="24" fillId="24" borderId="0" pivotButton="0" quotePrefix="0" xfId="41"/>
    <xf numFmtId="0" fontId="24" fillId="0" borderId="11" pivotButton="0" quotePrefix="0" xfId="41"/>
    <xf numFmtId="0" fontId="26" fillId="0" borderId="0" applyAlignment="1" pivotButton="0" quotePrefix="0" xfId="41">
      <alignment horizontal="left"/>
    </xf>
    <xf numFmtId="0" fontId="25" fillId="0" borderId="0" applyAlignment="1" pivotButton="0" quotePrefix="0" xfId="41">
      <alignment horizontal="left" indent="1"/>
    </xf>
    <xf numFmtId="0" fontId="24" fillId="0" borderId="0" applyAlignment="1" pivotButton="0" quotePrefix="0" xfId="41">
      <alignment vertical="center"/>
    </xf>
    <xf numFmtId="164" fontId="27" fillId="25" borderId="12" applyAlignment="1" pivotButton="0" quotePrefix="0" xfId="41">
      <alignment horizontal="center" vertical="center"/>
    </xf>
    <xf numFmtId="0" fontId="27" fillId="25" borderId="13" applyAlignment="1" pivotButton="0" quotePrefix="0" xfId="41">
      <alignment horizontal="center" vertical="center"/>
    </xf>
    <xf numFmtId="0" fontId="27" fillId="25" borderId="14" applyAlignment="1" pivotButton="0" quotePrefix="0" xfId="41">
      <alignment horizontal="center" vertical="center"/>
    </xf>
    <xf numFmtId="0" fontId="24" fillId="0" borderId="0" applyAlignment="1" pivotButton="0" quotePrefix="0" xfId="41">
      <alignment vertical="top"/>
    </xf>
    <xf numFmtId="49" fontId="24" fillId="0" borderId="15" applyAlignment="1" pivotButton="0" quotePrefix="0" xfId="41">
      <alignment vertical="top"/>
    </xf>
    <xf numFmtId="0" fontId="24" fillId="0" borderId="15" applyAlignment="1" pivotButton="0" quotePrefix="0" xfId="41">
      <alignment vertical="top"/>
    </xf>
    <xf numFmtId="15" fontId="24" fillId="0" borderId="15" applyAlignment="1" pivotButton="0" quotePrefix="0" xfId="41">
      <alignment vertical="top"/>
    </xf>
    <xf numFmtId="0" fontId="24" fillId="0" borderId="17" applyAlignment="1" pivotButton="0" quotePrefix="0" xfId="41">
      <alignment vertical="top"/>
    </xf>
    <xf numFmtId="49" fontId="24" fillId="0" borderId="19" applyAlignment="1" pivotButton="0" quotePrefix="0" xfId="41">
      <alignment vertical="top"/>
    </xf>
    <xf numFmtId="0" fontId="24" fillId="0" borderId="19" applyAlignment="1" pivotButton="0" quotePrefix="0" xfId="41">
      <alignment vertical="top"/>
    </xf>
    <xf numFmtId="0" fontId="24" fillId="0" borderId="20" applyAlignment="1" pivotButton="0" quotePrefix="0" xfId="41">
      <alignment vertical="top"/>
    </xf>
    <xf numFmtId="0" fontId="24" fillId="0" borderId="0" applyAlignment="1" pivotButton="0" quotePrefix="0" xfId="41">
      <alignment horizontal="left" indent="1"/>
    </xf>
    <xf numFmtId="0" fontId="24" fillId="24" borderId="0" applyAlignment="1" pivotButton="0" quotePrefix="0" xfId="41">
      <alignment horizontal="left"/>
    </xf>
    <xf numFmtId="0" fontId="24" fillId="24" borderId="0" applyAlignment="1" pivotButton="0" quotePrefix="0" xfId="41">
      <alignment horizontal="left" wrapText="1"/>
    </xf>
    <xf numFmtId="0" fontId="24" fillId="24" borderId="0" applyAlignment="1" pivotButton="0" quotePrefix="0" xfId="41">
      <alignment wrapText="1"/>
    </xf>
    <xf numFmtId="1" fontId="25" fillId="24" borderId="0" pivotButton="0" quotePrefix="0" xfId="41"/>
    <xf numFmtId="1" fontId="24" fillId="24" borderId="0" applyAlignment="1" applyProtection="1" pivotButton="0" quotePrefix="0" xfId="41">
      <alignment vertical="center"/>
      <protection locked="1" hidden="1"/>
    </xf>
    <xf numFmtId="0" fontId="24" fillId="24" borderId="0" applyAlignment="1" pivotButton="0" quotePrefix="0" xfId="41">
      <alignment horizontal="left" vertical="center"/>
    </xf>
    <xf numFmtId="0" fontId="24" fillId="24" borderId="0" applyAlignment="1" pivotButton="0" quotePrefix="0" xfId="41">
      <alignment horizontal="left" vertical="center" wrapText="1"/>
    </xf>
    <xf numFmtId="0" fontId="24" fillId="24" borderId="0" applyAlignment="1" pivotButton="0" quotePrefix="0" xfId="41">
      <alignment vertical="center"/>
    </xf>
    <xf numFmtId="1" fontId="27" fillId="26" borderId="12" applyAlignment="1" pivotButton="0" quotePrefix="0" xfId="41">
      <alignment horizontal="center" vertical="center"/>
    </xf>
    <xf numFmtId="1" fontId="27" fillId="26" borderId="21" applyAlignment="1" pivotButton="0" quotePrefix="0" xfId="41">
      <alignment horizontal="center" vertical="center" wrapText="1"/>
    </xf>
    <xf numFmtId="1" fontId="27" fillId="26" borderId="21" applyAlignment="1" pivotButton="0" quotePrefix="0" xfId="41">
      <alignment horizontal="center" vertical="center"/>
    </xf>
    <xf numFmtId="0" fontId="27" fillId="26" borderId="13" applyAlignment="1" pivotButton="0" quotePrefix="0" xfId="41">
      <alignment horizontal="center" vertical="center"/>
    </xf>
    <xf numFmtId="0" fontId="27" fillId="26" borderId="13" applyAlignment="1" pivotButton="0" quotePrefix="0" xfId="41">
      <alignment horizontal="center" vertical="center" wrapText="1"/>
    </xf>
    <xf numFmtId="0" fontId="27" fillId="26" borderId="22" applyAlignment="1" pivotButton="0" quotePrefix="0" xfId="41">
      <alignment horizontal="center" vertical="center"/>
    </xf>
    <xf numFmtId="0" fontId="27" fillId="26" borderId="14" applyAlignment="1" pivotButton="0" quotePrefix="0" xfId="41">
      <alignment horizontal="center" vertical="center"/>
    </xf>
    <xf numFmtId="0" fontId="30" fillId="24" borderId="0" applyAlignment="1" pivotButton="0" quotePrefix="0" xfId="41">
      <alignment horizontal="center"/>
    </xf>
    <xf numFmtId="1" fontId="24" fillId="24" borderId="23" applyAlignment="1" pivotButton="0" quotePrefix="0" xfId="41">
      <alignment vertical="center"/>
    </xf>
    <xf numFmtId="49" fontId="24" fillId="24" borderId="15" applyAlignment="1" pivotButton="0" quotePrefix="0" xfId="41">
      <alignment horizontal="left" vertical="center"/>
    </xf>
    <xf numFmtId="49" fontId="24" fillId="24" borderId="15" applyAlignment="1" pivotButton="0" quotePrefix="0" xfId="41">
      <alignment horizontal="left" vertical="center" wrapText="1"/>
    </xf>
    <xf numFmtId="0" fontId="24" fillId="24" borderId="17" applyAlignment="1" pivotButton="0" quotePrefix="0" xfId="41">
      <alignment horizontal="left" vertical="center"/>
    </xf>
    <xf numFmtId="0" fontId="24" fillId="24" borderId="15" applyAlignment="1" pivotButton="0" quotePrefix="0" xfId="41">
      <alignment horizontal="left" vertical="center"/>
    </xf>
    <xf numFmtId="1" fontId="24" fillId="24" borderId="24" applyAlignment="1" pivotButton="0" quotePrefix="0" xfId="41">
      <alignment vertical="center"/>
    </xf>
    <xf numFmtId="49" fontId="24" fillId="24" borderId="19" applyAlignment="1" pivotButton="0" quotePrefix="0" xfId="41">
      <alignment horizontal="left" vertical="center"/>
    </xf>
    <xf numFmtId="49" fontId="24" fillId="24" borderId="19" applyAlignment="1" pivotButton="0" quotePrefix="0" xfId="41">
      <alignment horizontal="left" vertical="center" wrapText="1"/>
    </xf>
    <xf numFmtId="0" fontId="24" fillId="24" borderId="19" applyAlignment="1" pivotButton="0" quotePrefix="0" xfId="41">
      <alignment horizontal="left" vertical="center"/>
    </xf>
    <xf numFmtId="0" fontId="24" fillId="24" borderId="20" applyAlignment="1" pivotButton="0" quotePrefix="0" xfId="41">
      <alignment horizontal="left" vertical="center"/>
    </xf>
    <xf numFmtId="1" fontId="24" fillId="24" borderId="0" pivotButton="0" quotePrefix="0" xfId="41"/>
    <xf numFmtId="0" fontId="24" fillId="24" borderId="0" pivotButton="0" quotePrefix="0" xfId="38"/>
    <xf numFmtId="164" fontId="24" fillId="24" borderId="0" pivotButton="0" quotePrefix="0" xfId="38"/>
    <xf numFmtId="0" fontId="25" fillId="24" borderId="0" pivotButton="0" quotePrefix="0" xfId="41"/>
    <xf numFmtId="0" fontId="26" fillId="24" borderId="0" pivotButton="0" quotePrefix="0" xfId="38"/>
    <xf numFmtId="0" fontId="27" fillId="25" borderId="21" applyAlignment="1" pivotButton="0" quotePrefix="0" xfId="41">
      <alignment horizontal="center"/>
    </xf>
    <xf numFmtId="0" fontId="27" fillId="25" borderId="13" applyAlignment="1" pivotButton="0" quotePrefix="0" xfId="41">
      <alignment horizontal="center"/>
    </xf>
    <xf numFmtId="0" fontId="27" fillId="25" borderId="13" applyAlignment="1" pivotButton="0" quotePrefix="0" xfId="41">
      <alignment horizontal="center" wrapText="1"/>
    </xf>
    <xf numFmtId="0" fontId="27" fillId="25" borderId="22" applyAlignment="1" pivotButton="0" quotePrefix="0" xfId="41">
      <alignment horizontal="center"/>
    </xf>
    <xf numFmtId="0" fontId="27" fillId="25" borderId="25" applyAlignment="1" pivotButton="0" quotePrefix="0" xfId="41">
      <alignment horizontal="center" wrapText="1"/>
    </xf>
    <xf numFmtId="0" fontId="24" fillId="24" borderId="23" applyAlignment="1" pivotButton="0" quotePrefix="0" xfId="41">
      <alignment horizontal="center"/>
    </xf>
    <xf numFmtId="0" fontId="24" fillId="24" borderId="15" applyAlignment="1" pivotButton="0" quotePrefix="0" xfId="41">
      <alignment horizontal="center"/>
    </xf>
    <xf numFmtId="0" fontId="24" fillId="24" borderId="26" applyAlignment="1" pivotButton="0" quotePrefix="0" xfId="41">
      <alignment horizontal="center"/>
    </xf>
    <xf numFmtId="0" fontId="31" fillId="25" borderId="24" applyAlignment="1" pivotButton="0" quotePrefix="0" xfId="41">
      <alignment horizontal="center"/>
    </xf>
    <xf numFmtId="0" fontId="31" fillId="25" borderId="19" applyAlignment="1" pivotButton="0" quotePrefix="0" xfId="41">
      <alignment horizontal="center"/>
    </xf>
    <xf numFmtId="0" fontId="24" fillId="24" borderId="0" applyAlignment="1" pivotButton="0" quotePrefix="0" xfId="41">
      <alignment horizontal="center"/>
    </xf>
    <xf numFmtId="10" fontId="24" fillId="24" borderId="0" applyAlignment="1" pivotButton="0" quotePrefix="0" xfId="41">
      <alignment horizontal="center"/>
    </xf>
    <xf numFmtId="9" fontId="24" fillId="24" borderId="0" applyAlignment="1" pivotButton="0" quotePrefix="0" xfId="41">
      <alignment horizontal="center"/>
    </xf>
    <xf numFmtId="0" fontId="32" fillId="24" borderId="0" applyAlignment="1" pivotButton="0" quotePrefix="0" xfId="41">
      <alignment horizontal="center" wrapText="1"/>
    </xf>
    <xf numFmtId="0" fontId="34" fillId="0" borderId="27" pivotButton="0" quotePrefix="0" xfId="41"/>
    <xf numFmtId="0" fontId="35" fillId="0" borderId="27" applyAlignment="1" pivotButton="0" quotePrefix="0" xfId="41">
      <alignment horizontal="left"/>
    </xf>
    <xf numFmtId="0" fontId="34" fillId="0" borderId="0" pivotButton="0" quotePrefix="0" xfId="41"/>
    <xf numFmtId="0" fontId="34" fillId="0" borderId="0" applyAlignment="1" pivotButton="0" quotePrefix="0" xfId="41">
      <alignment horizontal="right"/>
    </xf>
    <xf numFmtId="49" fontId="34" fillId="0" borderId="0" pivotButton="0" quotePrefix="0" xfId="41"/>
    <xf numFmtId="0" fontId="34" fillId="0" borderId="28" pivotButton="0" quotePrefix="0" xfId="41"/>
    <xf numFmtId="0" fontId="35" fillId="0" borderId="0" applyAlignment="1" pivotButton="0" quotePrefix="0" xfId="41">
      <alignment horizontal="left"/>
    </xf>
    <xf numFmtId="0" fontId="35" fillId="0" borderId="0" pivotButton="0" quotePrefix="0" xfId="41"/>
    <xf numFmtId="0" fontId="35" fillId="27" borderId="29" applyAlignment="1" pivotButton="0" quotePrefix="0" xfId="41">
      <alignment horizontal="left" vertical="top"/>
    </xf>
    <xf numFmtId="0" fontId="34" fillId="27" borderId="30" applyAlignment="1" pivotButton="0" quotePrefix="0" xfId="41">
      <alignment horizontal="center" vertical="top"/>
    </xf>
    <xf numFmtId="0" fontId="34" fillId="27" borderId="31" applyAlignment="1" pivotButton="0" quotePrefix="0" xfId="41">
      <alignment horizontal="right" vertical="top"/>
    </xf>
    <xf numFmtId="0" fontId="37" fillId="28" borderId="32" applyAlignment="1" pivotButton="0" quotePrefix="0" xfId="41">
      <alignment horizontal="right"/>
    </xf>
    <xf numFmtId="0" fontId="38" fillId="0" borderId="33" applyAlignment="1" pivotButton="0" quotePrefix="0" xfId="41">
      <alignment horizontal="center"/>
    </xf>
    <xf numFmtId="0" fontId="37" fillId="28" borderId="0" applyAlignment="1" pivotButton="0" quotePrefix="0" xfId="41">
      <alignment horizontal="right"/>
    </xf>
    <xf numFmtId="0" fontId="34" fillId="28" borderId="0" applyAlignment="1" pivotButton="0" quotePrefix="0" xfId="41">
      <alignment horizontal="right"/>
    </xf>
    <xf numFmtId="0" fontId="39" fillId="0" borderId="0" applyAlignment="1" pivotButton="0" quotePrefix="0" xfId="41">
      <alignment horizontal="center"/>
    </xf>
    <xf numFmtId="0" fontId="35" fillId="27" borderId="35" pivotButton="0" quotePrefix="0" xfId="41"/>
    <xf numFmtId="0" fontId="35" fillId="27" borderId="36" pivotButton="0" quotePrefix="0" xfId="41"/>
    <xf numFmtId="0" fontId="34" fillId="27" borderId="37" applyAlignment="1" pivotButton="0" quotePrefix="0" xfId="41">
      <alignment horizontal="right"/>
    </xf>
    <xf numFmtId="0" fontId="34" fillId="28" borderId="38" applyAlignment="1" pivotButton="0" quotePrefix="0" xfId="41">
      <alignment horizontal="left"/>
    </xf>
    <xf numFmtId="0" fontId="38" fillId="0" borderId="38" applyAlignment="1" pivotButton="0" quotePrefix="0" xfId="41">
      <alignment horizontal="center"/>
    </xf>
    <xf numFmtId="0" fontId="35" fillId="27" borderId="29" pivotButton="0" quotePrefix="0" xfId="41"/>
    <xf numFmtId="0" fontId="34" fillId="27" borderId="30" pivotButton="0" quotePrefix="0" xfId="41"/>
    <xf numFmtId="0" fontId="34" fillId="27" borderId="31" applyAlignment="1" pivotButton="0" quotePrefix="0" xfId="41">
      <alignment horizontal="right"/>
    </xf>
    <xf numFmtId="0" fontId="34" fillId="28" borderId="33" applyAlignment="1" pivotButton="0" quotePrefix="0" xfId="41">
      <alignment horizontal="left"/>
    </xf>
    <xf numFmtId="0" fontId="2" fillId="27" borderId="30" pivotButton="0" quotePrefix="0" xfId="41"/>
    <xf numFmtId="0" fontId="34" fillId="28" borderId="33" pivotButton="0" quotePrefix="0" xfId="41"/>
    <xf numFmtId="0" fontId="40" fillId="0" borderId="33" applyAlignment="1" pivotButton="0" quotePrefix="0" xfId="41">
      <alignment horizontal="center"/>
    </xf>
    <xf numFmtId="0" fontId="36" fillId="0" borderId="33" applyAlignment="1" pivotButton="0" quotePrefix="0" xfId="41">
      <alignment horizontal="left"/>
    </xf>
    <xf numFmtId="0" fontId="34" fillId="0" borderId="33" pivotButton="0" quotePrefix="0" xfId="41"/>
    <xf numFmtId="165" fontId="34" fillId="0" borderId="33" applyAlignment="1" pivotButton="0" quotePrefix="0" xfId="41">
      <alignment vertical="top" textRotation="255"/>
    </xf>
    <xf numFmtId="0" fontId="34" fillId="0" borderId="0" pivotButton="0" quotePrefix="0" xfId="42"/>
    <xf numFmtId="0" fontId="34" fillId="0" borderId="0" applyAlignment="1" pivotButton="0" quotePrefix="0" xfId="42">
      <alignment horizontal="right"/>
    </xf>
    <xf numFmtId="49" fontId="34" fillId="0" borderId="0" pivotButton="0" quotePrefix="0" xfId="42"/>
    <xf numFmtId="0" fontId="34" fillId="0" borderId="28" pivotButton="0" quotePrefix="0" xfId="42"/>
    <xf numFmtId="0" fontId="35" fillId="0" borderId="0" applyAlignment="1" pivotButton="0" quotePrefix="0" xfId="42">
      <alignment horizontal="left"/>
    </xf>
    <xf numFmtId="0" fontId="35" fillId="0" borderId="0" pivotButton="0" quotePrefix="0" xfId="42"/>
    <xf numFmtId="0" fontId="35" fillId="27" borderId="29" applyAlignment="1" pivotButton="0" quotePrefix="0" xfId="42">
      <alignment horizontal="left" vertical="top"/>
    </xf>
    <xf numFmtId="0" fontId="34" fillId="27" borderId="30" applyAlignment="1" pivotButton="0" quotePrefix="0" xfId="42">
      <alignment horizontal="center" vertical="top"/>
    </xf>
    <xf numFmtId="0" fontId="34" fillId="27" borderId="31" applyAlignment="1" pivotButton="0" quotePrefix="0" xfId="42">
      <alignment horizontal="right" vertical="top"/>
    </xf>
    <xf numFmtId="0" fontId="37" fillId="28" borderId="32" applyAlignment="1" pivotButton="0" quotePrefix="0" xfId="42">
      <alignment horizontal="right"/>
    </xf>
    <xf numFmtId="0" fontId="38" fillId="0" borderId="33" applyAlignment="1" pivotButton="0" quotePrefix="0" xfId="42">
      <alignment horizontal="center"/>
    </xf>
    <xf numFmtId="0" fontId="34" fillId="28" borderId="0" applyAlignment="1" pivotButton="0" quotePrefix="0" xfId="42">
      <alignment horizontal="right"/>
    </xf>
    <xf numFmtId="0" fontId="39" fillId="0" borderId="0" applyAlignment="1" pivotButton="0" quotePrefix="0" xfId="42">
      <alignment horizontal="center"/>
    </xf>
    <xf numFmtId="0" fontId="35" fillId="27" borderId="35" pivotButton="0" quotePrefix="0" xfId="42"/>
    <xf numFmtId="0" fontId="35" fillId="27" borderId="36" pivotButton="0" quotePrefix="0" xfId="42"/>
    <xf numFmtId="0" fontId="34" fillId="27" borderId="37" applyAlignment="1" pivotButton="0" quotePrefix="0" xfId="42">
      <alignment horizontal="right"/>
    </xf>
    <xf numFmtId="0" fontId="34" fillId="28" borderId="38" applyAlignment="1" pivotButton="0" quotePrefix="0" xfId="42">
      <alignment horizontal="left"/>
    </xf>
    <xf numFmtId="0" fontId="38" fillId="0" borderId="38" applyAlignment="1" pivotButton="0" quotePrefix="0" xfId="42">
      <alignment horizontal="center"/>
    </xf>
    <xf numFmtId="0" fontId="35" fillId="27" borderId="29" pivotButton="0" quotePrefix="0" xfId="42"/>
    <xf numFmtId="0" fontId="34" fillId="27" borderId="30" pivotButton="0" quotePrefix="0" xfId="42"/>
    <xf numFmtId="0" fontId="34" fillId="27" borderId="31" applyAlignment="1" pivotButton="0" quotePrefix="0" xfId="42">
      <alignment horizontal="right"/>
    </xf>
    <xf numFmtId="0" fontId="34" fillId="28" borderId="33" applyAlignment="1" pivotButton="0" quotePrefix="0" xfId="42">
      <alignment horizontal="left"/>
    </xf>
    <xf numFmtId="0" fontId="1" fillId="27" borderId="30" pivotButton="0" quotePrefix="0" xfId="42"/>
    <xf numFmtId="0" fontId="34" fillId="28" borderId="33" pivotButton="0" quotePrefix="0" xfId="42"/>
    <xf numFmtId="0" fontId="40" fillId="0" borderId="33" applyAlignment="1" pivotButton="0" quotePrefix="0" xfId="42">
      <alignment horizontal="center"/>
    </xf>
    <xf numFmtId="0" fontId="36" fillId="0" borderId="33" applyAlignment="1" pivotButton="0" quotePrefix="0" xfId="42">
      <alignment horizontal="left"/>
    </xf>
    <xf numFmtId="0" fontId="34" fillId="0" borderId="33" pivotButton="0" quotePrefix="0" xfId="42"/>
    <xf numFmtId="165" fontId="34" fillId="0" borderId="33" applyAlignment="1" pivotButton="0" quotePrefix="0" xfId="42">
      <alignment vertical="top" textRotation="255"/>
    </xf>
    <xf numFmtId="0" fontId="35" fillId="27" borderId="29" applyAlignment="1" pivotButton="0" quotePrefix="0" xfId="41">
      <alignment horizontal="right"/>
    </xf>
    <xf numFmtId="0" fontId="43" fillId="0" borderId="17" applyAlignment="1" pivotButton="0" quotePrefix="0" xfId="41">
      <alignment vertical="top" wrapText="1"/>
    </xf>
    <xf numFmtId="1" fontId="24" fillId="24" borderId="16" applyAlignment="1" pivotButton="0" quotePrefix="0" xfId="41">
      <alignment horizontal="center" vertical="center"/>
    </xf>
    <xf numFmtId="0" fontId="45" fillId="29" borderId="0" applyAlignment="1" pivotButton="0" quotePrefix="0" xfId="0">
      <alignment horizontal="center"/>
    </xf>
    <xf numFmtId="0" fontId="46" fillId="29" borderId="0" applyAlignment="1" pivotButton="0" quotePrefix="0" xfId="0">
      <alignment vertical="center"/>
    </xf>
    <xf numFmtId="0" fontId="47" fillId="29" borderId="0" applyAlignment="1" pivotButton="0" quotePrefix="0" xfId="0">
      <alignment vertical="center"/>
    </xf>
    <xf numFmtId="0" fontId="48" fillId="29" borderId="0" applyAlignment="1" pivotButton="0" quotePrefix="0" xfId="0">
      <alignment horizontal="justify"/>
    </xf>
    <xf numFmtId="0" fontId="49" fillId="29" borderId="0" applyAlignment="1" pivotButton="0" quotePrefix="0" xfId="0">
      <alignment vertical="center"/>
    </xf>
    <xf numFmtId="0" fontId="50" fillId="29" borderId="0" applyAlignment="1" pivotButton="0" quotePrefix="0" xfId="0">
      <alignment horizontal="justify"/>
    </xf>
    <xf numFmtId="0" fontId="50" fillId="29" borderId="0" applyAlignment="1" pivotButton="0" quotePrefix="0" xfId="0">
      <alignment vertical="center"/>
    </xf>
    <xf numFmtId="0" fontId="48" fillId="29" borderId="0" applyAlignment="1" pivotButton="0" quotePrefix="1" xfId="0">
      <alignment horizontal="justify"/>
    </xf>
    <xf numFmtId="0" fontId="24" fillId="29" borderId="0" applyAlignment="1" pivotButton="0" quotePrefix="0" xfId="0">
      <alignment horizontal="justify"/>
    </xf>
    <xf numFmtId="0" fontId="24" fillId="29" borderId="0" applyAlignment="1" pivotButton="0" quotePrefix="0" xfId="0">
      <alignment horizontal="justify" wrapText="1"/>
    </xf>
    <xf numFmtId="0" fontId="24" fillId="29" borderId="0" applyAlignment="1" pivotButton="0" quotePrefix="0" xfId="0">
      <alignment horizontal="left" wrapText="1"/>
    </xf>
    <xf numFmtId="0" fontId="30" fillId="29" borderId="0" applyAlignment="1" pivotButton="0" quotePrefix="0" xfId="0">
      <alignment horizontal="justify"/>
    </xf>
    <xf numFmtId="0" fontId="43" fillId="29" borderId="0" applyAlignment="1" pivotButton="0" quotePrefix="0" xfId="0">
      <alignment horizontal="justify"/>
    </xf>
    <xf numFmtId="0" fontId="51" fillId="29" borderId="0" applyAlignment="1" pivotButton="0" quotePrefix="0" xfId="0">
      <alignment vertical="center"/>
    </xf>
    <xf numFmtId="0" fontId="30" fillId="24" borderId="39" applyAlignment="1" pivotButton="0" quotePrefix="0" xfId="41">
      <alignment horizontal="left"/>
    </xf>
    <xf numFmtId="0" fontId="30" fillId="0" borderId="0" pivotButton="0" quotePrefix="0" xfId="41"/>
    <xf numFmtId="0" fontId="30" fillId="0" borderId="0" applyAlignment="1" pivotButton="0" quotePrefix="0" xfId="41">
      <alignment horizontal="left"/>
    </xf>
    <xf numFmtId="49" fontId="44" fillId="24" borderId="15" pivotButton="0" quotePrefix="0" xfId="34"/>
    <xf numFmtId="0" fontId="52" fillId="30" borderId="0" applyAlignment="1" pivotButton="0" quotePrefix="0" xfId="0">
      <alignment vertical="center"/>
    </xf>
    <xf numFmtId="0" fontId="50" fillId="0" borderId="33" applyAlignment="1" pivotButton="0" quotePrefix="0" xfId="41">
      <alignment horizontal="center"/>
    </xf>
    <xf numFmtId="0" fontId="50" fillId="0" borderId="38" applyAlignment="1" pivotButton="0" quotePrefix="0" xfId="41">
      <alignment horizontal="center"/>
    </xf>
    <xf numFmtId="0" fontId="49" fillId="27" borderId="30" pivotButton="0" quotePrefix="0" xfId="41"/>
    <xf numFmtId="0" fontId="34" fillId="0" borderId="33" applyAlignment="1" pivotButton="0" quotePrefix="0" xfId="41">
      <alignment horizontal="center"/>
    </xf>
    <xf numFmtId="0" fontId="34" fillId="24" borderId="41" applyAlignment="1" pivotButton="0" quotePrefix="0" xfId="41">
      <alignment horizontal="center" vertical="center"/>
    </xf>
    <xf numFmtId="0" fontId="34" fillId="0" borderId="0" applyAlignment="1" pivotButton="0" quotePrefix="0" xfId="41">
      <alignment horizontal="center"/>
    </xf>
    <xf numFmtId="0" fontId="30" fillId="24" borderId="39" applyAlignment="1" pivotButton="0" quotePrefix="0" xfId="41">
      <alignment horizontal="left" vertical="center"/>
    </xf>
    <xf numFmtId="0" fontId="30" fillId="24" borderId="39" applyAlignment="1" pivotButton="0" quotePrefix="0" xfId="41">
      <alignment vertical="center"/>
    </xf>
    <xf numFmtId="0" fontId="30" fillId="24" borderId="0" applyAlignment="1" pivotButton="0" quotePrefix="0" xfId="41">
      <alignment horizontal="left"/>
    </xf>
    <xf numFmtId="2" fontId="30" fillId="24" borderId="0" applyAlignment="1" pivotButton="0" quotePrefix="0" xfId="41">
      <alignment horizontal="right" wrapText="1"/>
    </xf>
    <xf numFmtId="0" fontId="35" fillId="27" borderId="44" pivotButton="0" quotePrefix="0" xfId="41"/>
    <xf numFmtId="0" fontId="34" fillId="27" borderId="32" pivotButton="0" quotePrefix="0" xfId="41"/>
    <xf numFmtId="0" fontId="34" fillId="27" borderId="45" applyAlignment="1" pivotButton="0" quotePrefix="0" xfId="41">
      <alignment horizontal="right"/>
    </xf>
    <xf numFmtId="0" fontId="34" fillId="28" borderId="46" applyAlignment="1" pivotButton="0" quotePrefix="0" xfId="41">
      <alignment horizontal="left"/>
    </xf>
    <xf numFmtId="0" fontId="34" fillId="0" borderId="47" applyAlignment="1" pivotButton="0" quotePrefix="0" xfId="41">
      <alignment horizontal="left"/>
    </xf>
    <xf numFmtId="0" fontId="34" fillId="0" borderId="47" applyAlignment="1" pivotButton="0" quotePrefix="0" xfId="41">
      <alignment horizontal="center"/>
    </xf>
    <xf numFmtId="0" fontId="53" fillId="0" borderId="0" applyAlignment="1" pivotButton="0" quotePrefix="0" xfId="41">
      <alignment vertical="top"/>
    </xf>
    <xf numFmtId="0" fontId="53" fillId="30" borderId="48" applyAlignment="1" pivotButton="0" quotePrefix="0" xfId="41">
      <alignment horizontal="left"/>
    </xf>
    <xf numFmtId="0" fontId="54" fillId="30" borderId="48" pivotButton="0" quotePrefix="0" xfId="41"/>
    <xf numFmtId="0" fontId="54" fillId="30" borderId="48" applyAlignment="1" pivotButton="0" quotePrefix="0" xfId="41">
      <alignment horizontal="right"/>
    </xf>
    <xf numFmtId="0" fontId="53" fillId="30" borderId="48" applyAlignment="1" pivotButton="0" quotePrefix="0" xfId="41">
      <alignment vertical="top" textRotation="180"/>
    </xf>
    <xf numFmtId="0" fontId="53" fillId="30" borderId="49" applyAlignment="1" pivotButton="0" quotePrefix="0" xfId="41">
      <alignment vertical="top" textRotation="180"/>
    </xf>
    <xf numFmtId="0" fontId="50" fillId="0" borderId="50" applyAlignment="1" pivotButton="0" quotePrefix="0" xfId="41">
      <alignment horizontal="center"/>
    </xf>
    <xf numFmtId="0" fontId="53" fillId="30" borderId="51" applyAlignment="1" pivotButton="0" quotePrefix="0" xfId="41">
      <alignment vertical="center"/>
    </xf>
    <xf numFmtId="0" fontId="50" fillId="0" borderId="53" applyAlignment="1" pivotButton="0" quotePrefix="0" xfId="41">
      <alignment horizontal="center"/>
    </xf>
    <xf numFmtId="0" fontId="34" fillId="0" borderId="55" applyAlignment="1" pivotButton="0" quotePrefix="0" xfId="41">
      <alignment horizontal="center"/>
    </xf>
    <xf numFmtId="0" fontId="53" fillId="30" borderId="56" applyAlignment="1" pivotButton="0" quotePrefix="0" xfId="41">
      <alignment vertical="top"/>
    </xf>
    <xf numFmtId="0" fontId="34" fillId="0" borderId="50" applyAlignment="1" pivotButton="0" quotePrefix="0" xfId="41">
      <alignment horizontal="center"/>
    </xf>
    <xf numFmtId="165" fontId="34" fillId="0" borderId="50" applyAlignment="1" pivotButton="0" quotePrefix="0" xfId="41">
      <alignment vertical="top" textRotation="255"/>
    </xf>
    <xf numFmtId="0" fontId="53" fillId="30" borderId="57" applyAlignment="1" pivotButton="0" quotePrefix="0" xfId="41">
      <alignment vertical="top"/>
    </xf>
    <xf numFmtId="0" fontId="34" fillId="0" borderId="34" pivotButton="0" quotePrefix="0" xfId="41"/>
    <xf numFmtId="0" fontId="34" fillId="0" borderId="34" applyAlignment="1" pivotButton="0" quotePrefix="0" xfId="41">
      <alignment textRotation="255"/>
    </xf>
    <xf numFmtId="0" fontId="34" fillId="0" borderId="52" applyAlignment="1" pivotButton="0" quotePrefix="0" xfId="41">
      <alignment textRotation="255"/>
    </xf>
    <xf numFmtId="0" fontId="53" fillId="30" borderId="51" applyAlignment="1" pivotButton="0" quotePrefix="0" xfId="41">
      <alignment vertical="top"/>
    </xf>
    <xf numFmtId="0" fontId="53" fillId="30" borderId="58" applyAlignment="1" pivotButton="0" quotePrefix="0" xfId="41">
      <alignment vertical="top"/>
    </xf>
    <xf numFmtId="0" fontId="53" fillId="30" borderId="58" applyAlignment="1" pivotButton="0" quotePrefix="0" xfId="41">
      <alignment vertical="center"/>
    </xf>
    <xf numFmtId="0" fontId="35" fillId="27" borderId="35" applyAlignment="1" pivotButton="0" quotePrefix="0" xfId="41">
      <alignment horizontal="left" vertical="top"/>
    </xf>
    <xf numFmtId="0" fontId="34" fillId="27" borderId="36" applyAlignment="1" pivotButton="0" quotePrefix="0" xfId="41">
      <alignment horizontal="center" vertical="top"/>
    </xf>
    <xf numFmtId="0" fontId="34" fillId="27" borderId="37" applyAlignment="1" pivotButton="0" quotePrefix="0" xfId="41">
      <alignment horizontal="right" vertical="top"/>
    </xf>
    <xf numFmtId="0" fontId="38" fillId="0" borderId="46" applyAlignment="1" pivotButton="0" quotePrefix="0" xfId="41">
      <alignment horizontal="center"/>
    </xf>
    <xf numFmtId="0" fontId="40" fillId="0" borderId="47" applyAlignment="1" pivotButton="0" quotePrefix="0" xfId="41">
      <alignment horizontal="center"/>
    </xf>
    <xf numFmtId="0" fontId="54" fillId="30" borderId="59" pivotButton="0" quotePrefix="0" xfId="41"/>
    <xf numFmtId="0" fontId="53" fillId="30" borderId="60" applyAlignment="1" pivotButton="0" quotePrefix="0" xfId="41">
      <alignment horizontal="left"/>
    </xf>
    <xf numFmtId="0" fontId="54" fillId="30" borderId="60" pivotButton="0" quotePrefix="0" xfId="41"/>
    <xf numFmtId="0" fontId="54" fillId="30" borderId="60" applyAlignment="1" pivotButton="0" quotePrefix="0" xfId="41">
      <alignment horizontal="right"/>
    </xf>
    <xf numFmtId="0" fontId="53" fillId="30" borderId="60" applyAlignment="1" pivotButton="0" quotePrefix="0" xfId="41">
      <alignment vertical="top" textRotation="180"/>
    </xf>
    <xf numFmtId="0" fontId="53" fillId="30" borderId="61" applyAlignment="1" pivotButton="0" quotePrefix="0" xfId="41">
      <alignment vertical="top" textRotation="180"/>
    </xf>
    <xf numFmtId="0" fontId="38" fillId="0" borderId="50" applyAlignment="1" pivotButton="0" quotePrefix="0" xfId="41">
      <alignment horizontal="center"/>
    </xf>
    <xf numFmtId="0" fontId="38" fillId="0" borderId="53" applyAlignment="1" pivotButton="0" quotePrefix="0" xfId="41">
      <alignment horizontal="center"/>
    </xf>
    <xf numFmtId="0" fontId="38" fillId="0" borderId="54" applyAlignment="1" pivotButton="0" quotePrefix="0" xfId="41">
      <alignment horizontal="center"/>
    </xf>
    <xf numFmtId="0" fontId="40" fillId="0" borderId="55" applyAlignment="1" pivotButton="0" quotePrefix="0" xfId="41">
      <alignment horizontal="center"/>
    </xf>
    <xf numFmtId="0" fontId="40" fillId="0" borderId="50" applyAlignment="1" pivotButton="0" quotePrefix="0" xfId="41">
      <alignment horizontal="center"/>
    </xf>
    <xf numFmtId="0" fontId="53" fillId="30" borderId="62" applyAlignment="1" pivotButton="0" quotePrefix="0" xfId="41">
      <alignment vertical="top"/>
    </xf>
    <xf numFmtId="164" fontId="27" fillId="25" borderId="63" applyAlignment="1" pivotButton="0" quotePrefix="0" xfId="41">
      <alignment horizontal="center" vertical="center"/>
    </xf>
    <xf numFmtId="0" fontId="53" fillId="30" borderId="64" applyAlignment="1" pivotButton="0" quotePrefix="0" xfId="41">
      <alignment horizontal="left"/>
    </xf>
    <xf numFmtId="0" fontId="54" fillId="30" borderId="64" pivotButton="0" quotePrefix="0" xfId="41"/>
    <xf numFmtId="0" fontId="54" fillId="30" borderId="64" applyAlignment="1" pivotButton="0" quotePrefix="0" xfId="41">
      <alignment horizontal="right"/>
    </xf>
    <xf numFmtId="0" fontId="53" fillId="30" borderId="64" applyAlignment="1" pivotButton="0" quotePrefix="0" xfId="41">
      <alignment vertical="top" textRotation="180"/>
    </xf>
    <xf numFmtId="0" fontId="53" fillId="30" borderId="65" applyAlignment="1" pivotButton="0" quotePrefix="0" xfId="41">
      <alignment vertical="top" textRotation="180"/>
    </xf>
    <xf numFmtId="0" fontId="34" fillId="24" borderId="41" applyAlignment="1" pivotButton="0" quotePrefix="0" xfId="42">
      <alignment horizontal="center" vertical="center"/>
    </xf>
    <xf numFmtId="0" fontId="35" fillId="27" borderId="44" pivotButton="0" quotePrefix="0" xfId="42"/>
    <xf numFmtId="0" fontId="34" fillId="27" borderId="32" pivotButton="0" quotePrefix="0" xfId="42"/>
    <xf numFmtId="0" fontId="34" fillId="27" borderId="45" applyAlignment="1" pivotButton="0" quotePrefix="0" xfId="42">
      <alignment horizontal="right"/>
    </xf>
    <xf numFmtId="0" fontId="34" fillId="28" borderId="46" applyAlignment="1" pivotButton="0" quotePrefix="0" xfId="42">
      <alignment horizontal="left"/>
    </xf>
    <xf numFmtId="0" fontId="38" fillId="0" borderId="46" applyAlignment="1" pivotButton="0" quotePrefix="0" xfId="42">
      <alignment horizontal="center"/>
    </xf>
    <xf numFmtId="0" fontId="34" fillId="0" borderId="47" applyAlignment="1" pivotButton="0" quotePrefix="0" xfId="42">
      <alignment horizontal="left"/>
    </xf>
    <xf numFmtId="0" fontId="40" fillId="0" borderId="47" applyAlignment="1" pivotButton="0" quotePrefix="0" xfId="42">
      <alignment horizontal="center"/>
    </xf>
    <xf numFmtId="0" fontId="54" fillId="30" borderId="59" pivotButton="0" quotePrefix="0" xfId="42"/>
    <xf numFmtId="0" fontId="53" fillId="30" borderId="48" applyAlignment="1" pivotButton="0" quotePrefix="0" xfId="42">
      <alignment horizontal="left"/>
    </xf>
    <xf numFmtId="0" fontId="54" fillId="30" borderId="48" pivotButton="0" quotePrefix="0" xfId="42"/>
    <xf numFmtId="0" fontId="54" fillId="30" borderId="48" applyAlignment="1" pivotButton="0" quotePrefix="0" xfId="42">
      <alignment horizontal="right"/>
    </xf>
    <xf numFmtId="0" fontId="53" fillId="30" borderId="48" applyAlignment="1" pivotButton="0" quotePrefix="0" xfId="42">
      <alignment vertical="top" textRotation="180"/>
    </xf>
    <xf numFmtId="0" fontId="53" fillId="30" borderId="49" applyAlignment="1" pivotButton="0" quotePrefix="0" xfId="42">
      <alignment vertical="top" textRotation="180"/>
    </xf>
    <xf numFmtId="0" fontId="53" fillId="30" borderId="58" applyAlignment="1" pivotButton="0" quotePrefix="0" xfId="42">
      <alignment vertical="center"/>
    </xf>
    <xf numFmtId="0" fontId="38" fillId="0" borderId="50" applyAlignment="1" pivotButton="0" quotePrefix="0" xfId="42">
      <alignment horizontal="center"/>
    </xf>
    <xf numFmtId="0" fontId="53" fillId="30" borderId="51" applyAlignment="1" pivotButton="0" quotePrefix="0" xfId="42">
      <alignment vertical="center"/>
    </xf>
    <xf numFmtId="0" fontId="53" fillId="30" borderId="58" applyAlignment="1" pivotButton="0" quotePrefix="0" xfId="42">
      <alignment vertical="top"/>
    </xf>
    <xf numFmtId="0" fontId="38" fillId="0" borderId="53" applyAlignment="1" pivotButton="0" quotePrefix="0" xfId="42">
      <alignment horizontal="center"/>
    </xf>
    <xf numFmtId="0" fontId="53" fillId="30" borderId="51" applyAlignment="1" pivotButton="0" quotePrefix="0" xfId="42">
      <alignment vertical="top"/>
    </xf>
    <xf numFmtId="0" fontId="38" fillId="0" borderId="54" applyAlignment="1" pivotButton="0" quotePrefix="0" xfId="42">
      <alignment horizontal="center"/>
    </xf>
    <xf numFmtId="0" fontId="40" fillId="0" borderId="55" applyAlignment="1" pivotButton="0" quotePrefix="0" xfId="42">
      <alignment horizontal="center"/>
    </xf>
    <xf numFmtId="0" fontId="53" fillId="30" borderId="56" applyAlignment="1" pivotButton="0" quotePrefix="0" xfId="42">
      <alignment vertical="top"/>
    </xf>
    <xf numFmtId="0" fontId="40" fillId="0" borderId="50" applyAlignment="1" pivotButton="0" quotePrefix="0" xfId="42">
      <alignment horizontal="center"/>
    </xf>
    <xf numFmtId="165" fontId="34" fillId="0" borderId="50" applyAlignment="1" pivotButton="0" quotePrefix="0" xfId="42">
      <alignment vertical="top" textRotation="255"/>
    </xf>
    <xf numFmtId="0" fontId="53" fillId="30" borderId="57" applyAlignment="1" pivotButton="0" quotePrefix="0" xfId="42">
      <alignment vertical="top"/>
    </xf>
    <xf numFmtId="0" fontId="34" fillId="0" borderId="34" pivotButton="0" quotePrefix="0" xfId="42"/>
    <xf numFmtId="0" fontId="34" fillId="0" borderId="34" applyAlignment="1" pivotButton="0" quotePrefix="0" xfId="42">
      <alignment textRotation="255"/>
    </xf>
    <xf numFmtId="0" fontId="34" fillId="0" borderId="52" applyAlignment="1" pivotButton="0" quotePrefix="0" xfId="42">
      <alignment textRotation="255"/>
    </xf>
    <xf numFmtId="0" fontId="57" fillId="30" borderId="64" applyAlignment="1" pivotButton="0" quotePrefix="0" xfId="41">
      <alignment vertical="top" textRotation="180"/>
    </xf>
    <xf numFmtId="0" fontId="24" fillId="24" borderId="15" applyAlignment="1" pivotButton="0" quotePrefix="0" xfId="34">
      <alignment horizontal="left" vertical="center"/>
    </xf>
    <xf numFmtId="0" fontId="58" fillId="30" borderId="64" applyAlignment="1" pivotButton="0" quotePrefix="0" xfId="41">
      <alignment vertical="top" textRotation="180"/>
    </xf>
    <xf numFmtId="0" fontId="1" fillId="27" borderId="32" pivotButton="0" quotePrefix="0" xfId="42"/>
    <xf numFmtId="0" fontId="34" fillId="28" borderId="46" pivotButton="0" quotePrefix="0" xfId="42"/>
    <xf numFmtId="0" fontId="34" fillId="24" borderId="43" applyAlignment="1" pivotButton="0" quotePrefix="0" xfId="39">
      <alignment horizontal="center" wrapText="1"/>
    </xf>
    <xf numFmtId="0" fontId="34" fillId="24" borderId="43" applyAlignment="1" pivotButton="0" quotePrefix="0" xfId="40">
      <alignment horizontal="center" wrapText="1"/>
    </xf>
    <xf numFmtId="14" fontId="24" fillId="0" borderId="11" applyAlignment="1" pivotButton="0" quotePrefix="0" xfId="41">
      <alignment horizontal="left"/>
    </xf>
    <xf numFmtId="0" fontId="24" fillId="0" borderId="11" applyAlignment="1" pivotButton="0" quotePrefix="0" xfId="41">
      <alignment horizontal="left"/>
    </xf>
    <xf numFmtId="0" fontId="22" fillId="31" borderId="10" applyAlignment="1" pivotButton="0" quotePrefix="0" xfId="41">
      <alignment horizontal="center" vertical="center"/>
    </xf>
    <xf numFmtId="0" fontId="24" fillId="24" borderId="10" applyAlignment="1" pivotButton="0" quotePrefix="0" xfId="41">
      <alignment horizontal="left"/>
    </xf>
    <xf numFmtId="0" fontId="24" fillId="24" borderId="43" applyAlignment="1" pivotButton="0" quotePrefix="0" xfId="41">
      <alignment horizontal="left"/>
    </xf>
    <xf numFmtId="0" fontId="24" fillId="24" borderId="11" applyAlignment="1" pivotButton="0" quotePrefix="0" xfId="41">
      <alignment horizontal="left"/>
    </xf>
    <xf numFmtId="1" fontId="24" fillId="32" borderId="0" applyProtection="1" pivotButton="0" quotePrefix="0" xfId="41">
      <protection locked="1" hidden="1"/>
    </xf>
    <xf numFmtId="0" fontId="24" fillId="32" borderId="0" applyAlignment="1" pivotButton="0" quotePrefix="0" xfId="41">
      <alignment horizontal="left"/>
    </xf>
    <xf numFmtId="0" fontId="23" fillId="32" borderId="0" applyAlignment="1" pivotButton="0" quotePrefix="0" xfId="41">
      <alignment horizontal="left"/>
    </xf>
    <xf numFmtId="0" fontId="28" fillId="32" borderId="0" applyAlignment="1" pivotButton="0" quotePrefix="0" xfId="41">
      <alignment horizontal="left"/>
    </xf>
    <xf numFmtId="0" fontId="24" fillId="32" borderId="0" applyAlignment="1" pivotButton="0" quotePrefix="0" xfId="41">
      <alignment horizontal="left" wrapText="1"/>
    </xf>
    <xf numFmtId="0" fontId="29" fillId="32" borderId="0" applyAlignment="1" pivotButton="0" quotePrefix="0" xfId="41">
      <alignment horizontal="left"/>
    </xf>
    <xf numFmtId="1" fontId="24" fillId="32" borderId="0" pivotButton="0" quotePrefix="0" xfId="41"/>
    <xf numFmtId="0" fontId="13" fillId="24" borderId="15" applyAlignment="1" pivotButton="0" quotePrefix="0" xfId="34">
      <alignment horizontal="left" vertical="center"/>
    </xf>
    <xf numFmtId="0" fontId="13" fillId="24" borderId="15" applyAlignment="1" pivotButton="0" quotePrefix="0" xfId="34">
      <alignment horizontal="left" vertical="center" wrapText="1"/>
    </xf>
    <xf numFmtId="0" fontId="13" fillId="24" borderId="15" applyAlignment="1" pivotButton="0" quotePrefix="0" xfId="34">
      <alignment horizontal="left" vertical="center"/>
    </xf>
    <xf numFmtId="0" fontId="59" fillId="24" borderId="15" applyAlignment="1" pivotButton="0" quotePrefix="0" xfId="34">
      <alignment horizontal="left" vertical="center"/>
    </xf>
    <xf numFmtId="49" fontId="44" fillId="24" borderId="23" pivotButton="0" quotePrefix="0" xfId="34"/>
    <xf numFmtId="0" fontId="24" fillId="24" borderId="99" applyAlignment="1" pivotButton="0" quotePrefix="0" xfId="41">
      <alignment horizontal="center"/>
    </xf>
    <xf numFmtId="49" fontId="13" fillId="24" borderId="15" applyAlignment="1" pivotButton="0" quotePrefix="0" xfId="34">
      <alignment horizontal="left" vertical="center" wrapText="1"/>
    </xf>
    <xf numFmtId="0" fontId="24" fillId="32" borderId="0" pivotButton="0" quotePrefix="0" xfId="41"/>
    <xf numFmtId="0" fontId="30" fillId="32" borderId="0" pivotButton="0" quotePrefix="0" xfId="38"/>
    <xf numFmtId="0" fontId="24" fillId="32" borderId="0" pivotButton="0" quotePrefix="0" xfId="38"/>
    <xf numFmtId="164" fontId="24" fillId="32" borderId="0" pivotButton="0" quotePrefix="0" xfId="38"/>
    <xf numFmtId="0" fontId="34" fillId="0" borderId="42" applyAlignment="1" pivotButton="0" quotePrefix="0" xfId="41">
      <alignment horizontal="center"/>
    </xf>
    <xf numFmtId="0" fontId="34" fillId="0" borderId="0" applyAlignment="1" pivotButton="0" quotePrefix="0" xfId="42">
      <alignment horizontal="center"/>
    </xf>
    <xf numFmtId="49" fontId="13" fillId="24" borderId="15" applyAlignment="1" pivotButton="0" quotePrefix="0" xfId="34">
      <alignment horizontal="left" vertical="center"/>
    </xf>
    <xf numFmtId="49" fontId="13" fillId="24" borderId="19" applyAlignment="1" pivotButton="0" quotePrefix="0" xfId="34">
      <alignment horizontal="left" vertical="center"/>
    </xf>
    <xf numFmtId="14" fontId="24" fillId="0" borderId="16" applyAlignment="1" pivotButton="0" quotePrefix="0" xfId="41">
      <alignment vertical="top" wrapText="1"/>
    </xf>
    <xf numFmtId="49" fontId="13" fillId="24" borderId="15" pivotButton="0" quotePrefix="0" xfId="34"/>
    <xf numFmtId="0" fontId="24" fillId="0" borderId="15" applyAlignment="1" pivotButton="0" quotePrefix="0" xfId="41">
      <alignment vertical="top" wrapText="1"/>
    </xf>
    <xf numFmtId="14" fontId="24" fillId="0" borderId="16" applyAlignment="1" pivotButton="0" quotePrefix="0" xfId="41">
      <alignment vertical="top"/>
    </xf>
    <xf numFmtId="0" fontId="13" fillId="24" borderId="19" applyAlignment="1" pivotButton="0" quotePrefix="0" xfId="34">
      <alignment horizontal="left" vertical="center"/>
    </xf>
    <xf numFmtId="14" fontId="24" fillId="0" borderId="18" applyAlignment="1" pivotButton="0" quotePrefix="0" xfId="41">
      <alignment vertical="top"/>
    </xf>
    <xf numFmtId="0" fontId="24" fillId="33" borderId="23" applyAlignment="1" pivotButton="0" quotePrefix="0" xfId="41">
      <alignment horizontal="center"/>
    </xf>
    <xf numFmtId="0" fontId="24" fillId="34" borderId="23" applyAlignment="1" pivotButton="0" quotePrefix="0" xfId="41">
      <alignment horizontal="center"/>
    </xf>
    <xf numFmtId="14" fontId="24" fillId="0" borderId="105" applyAlignment="1" pivotButton="0" quotePrefix="0" xfId="41">
      <alignment vertical="top"/>
    </xf>
    <xf numFmtId="49" fontId="24" fillId="0" borderId="106" applyAlignment="1" pivotButton="0" quotePrefix="0" xfId="41">
      <alignment vertical="top"/>
    </xf>
    <xf numFmtId="0" fontId="24" fillId="0" borderId="106" applyAlignment="1" pivotButton="0" quotePrefix="0" xfId="41">
      <alignment vertical="top"/>
    </xf>
    <xf numFmtId="0" fontId="24" fillId="0" borderId="107" applyAlignment="1" pivotButton="0" quotePrefix="0" xfId="41">
      <alignment vertical="top"/>
    </xf>
    <xf numFmtId="0" fontId="23" fillId="31" borderId="39" applyAlignment="1" pivotButton="0" quotePrefix="0" xfId="41">
      <alignment horizontal="center" vertical="center"/>
    </xf>
    <xf numFmtId="0" fontId="24" fillId="0" borderId="39" applyAlignment="1" pivotButton="0" quotePrefix="0" xfId="41">
      <alignment horizontal="left"/>
    </xf>
    <xf numFmtId="0" fontId="30" fillId="24" borderId="39" applyAlignment="1" pivotButton="0" quotePrefix="0" xfId="41">
      <alignment horizontal="left" vertical="center"/>
    </xf>
    <xf numFmtId="0" fontId="24" fillId="0" borderId="39" applyAlignment="1" pivotButton="0" quotePrefix="0" xfId="41">
      <alignment horizontal="left" vertical="center"/>
    </xf>
    <xf numFmtId="1" fontId="30" fillId="24" borderId="39" applyAlignment="1" pivotButton="0" quotePrefix="0" xfId="41">
      <alignment vertical="center" wrapText="1"/>
    </xf>
    <xf numFmtId="1" fontId="30" fillId="24" borderId="10" pivotButton="0" quotePrefix="0" xfId="41"/>
    <xf numFmtId="0" fontId="24" fillId="24" borderId="10" applyAlignment="1" pivotButton="0" quotePrefix="0" xfId="41">
      <alignment horizontal="left"/>
    </xf>
    <xf numFmtId="0" fontId="24" fillId="24" borderId="43" applyAlignment="1" pivotButton="0" quotePrefix="0" xfId="41">
      <alignment horizontal="left"/>
    </xf>
    <xf numFmtId="0" fontId="24" fillId="24" borderId="11" applyAlignment="1" pivotButton="0" quotePrefix="0" xfId="41">
      <alignment horizontal="left"/>
    </xf>
    <xf numFmtId="0" fontId="24" fillId="24" borderId="10" applyAlignment="1" pivotButton="0" quotePrefix="0" xfId="41">
      <alignment horizontal="left" vertical="top" wrapText="1"/>
    </xf>
    <xf numFmtId="0" fontId="24" fillId="24" borderId="43" applyAlignment="1" pivotButton="0" quotePrefix="0" xfId="41">
      <alignment horizontal="left" vertical="top" wrapText="1"/>
    </xf>
    <xf numFmtId="0" fontId="24" fillId="24" borderId="11" applyAlignment="1" pivotButton="0" quotePrefix="0" xfId="41">
      <alignment horizontal="left" vertical="top" wrapText="1"/>
    </xf>
    <xf numFmtId="1" fontId="30" fillId="24" borderId="10" applyAlignment="1" pivotButton="0" quotePrefix="0" xfId="41">
      <alignment horizontal="left"/>
    </xf>
    <xf numFmtId="1" fontId="30" fillId="24" borderId="43" applyAlignment="1" pivotButton="0" quotePrefix="0" xfId="41">
      <alignment horizontal="left"/>
    </xf>
    <xf numFmtId="1" fontId="30" fillId="24" borderId="11" applyAlignment="1" pivotButton="0" quotePrefix="0" xfId="41">
      <alignment horizontal="left"/>
    </xf>
    <xf numFmtId="14" fontId="24" fillId="24" borderId="10" applyAlignment="1" pivotButton="0" quotePrefix="0" xfId="41">
      <alignment horizontal="center" vertical="top"/>
    </xf>
    <xf numFmtId="14" fontId="24" fillId="24" borderId="43" applyAlignment="1" pivotButton="0" quotePrefix="0" xfId="41">
      <alignment horizontal="center" vertical="top"/>
    </xf>
    <xf numFmtId="14" fontId="24" fillId="24" borderId="11" applyAlignment="1" pivotButton="0" quotePrefix="0" xfId="41">
      <alignment horizontal="center" vertical="top"/>
    </xf>
    <xf numFmtId="0" fontId="24" fillId="24" borderId="39" applyAlignment="1" pivotButton="0" quotePrefix="0" xfId="41">
      <alignment horizontal="center"/>
    </xf>
    <xf numFmtId="0" fontId="30" fillId="24" borderId="39" applyAlignment="1" pivotButton="0" quotePrefix="0" xfId="41">
      <alignment horizontal="center"/>
    </xf>
    <xf numFmtId="0" fontId="43" fillId="24" borderId="39" applyAlignment="1" pivotButton="0" quotePrefix="0" xfId="38">
      <alignment vertical="top"/>
    </xf>
    <xf numFmtId="0" fontId="23" fillId="32" borderId="0" applyAlignment="1" pivotButton="0" quotePrefix="0" xfId="38">
      <alignment horizontal="center"/>
    </xf>
    <xf numFmtId="0" fontId="24" fillId="24" borderId="10" applyAlignment="1" pivotButton="0" quotePrefix="0" xfId="41">
      <alignment horizontal="center"/>
    </xf>
    <xf numFmtId="0" fontId="24" fillId="24" borderId="43" applyAlignment="1" pivotButton="0" quotePrefix="0" xfId="41">
      <alignment horizontal="center"/>
    </xf>
    <xf numFmtId="0" fontId="24" fillId="24" borderId="11" applyAlignment="1" pivotButton="0" quotePrefix="0" xfId="41">
      <alignment horizontal="center"/>
    </xf>
    <xf numFmtId="49" fontId="34" fillId="24" borderId="68" applyAlignment="1" pivotButton="0" quotePrefix="0" xfId="39">
      <alignment horizontal="center" wrapText="1"/>
    </xf>
    <xf numFmtId="49" fontId="34" fillId="24" borderId="69" applyAlignment="1" pivotButton="0" quotePrefix="0" xfId="39">
      <alignment horizontal="center" wrapText="1"/>
    </xf>
    <xf numFmtId="49" fontId="34" fillId="24" borderId="70" applyAlignment="1" pivotButton="0" quotePrefix="0" xfId="39">
      <alignment horizontal="center" wrapText="1"/>
    </xf>
    <xf numFmtId="0" fontId="35" fillId="24" borderId="10" applyAlignment="1" pivotButton="0" quotePrefix="0" xfId="41">
      <alignment horizontal="center" vertical="center" wrapText="1"/>
    </xf>
    <xf numFmtId="0" fontId="35" fillId="24" borderId="43" applyAlignment="1" pivotButton="0" quotePrefix="0" xfId="41">
      <alignment horizontal="center" vertical="center" wrapText="1"/>
    </xf>
    <xf numFmtId="0" fontId="35" fillId="24" borderId="11" applyAlignment="1" pivotButton="0" quotePrefix="0" xfId="41">
      <alignment horizontal="center" vertical="center" wrapText="1"/>
    </xf>
    <xf numFmtId="0" fontId="35" fillId="24" borderId="29" applyAlignment="1" pivotButton="0" quotePrefix="0" xfId="39">
      <alignment horizontal="left" wrapText="1"/>
    </xf>
    <xf numFmtId="0" fontId="35" fillId="24" borderId="30" applyAlignment="1" pivotButton="0" quotePrefix="0" xfId="39">
      <alignment horizontal="left" wrapText="1"/>
    </xf>
    <xf numFmtId="0" fontId="35" fillId="24" borderId="31" applyAlignment="1" pivotButton="0" quotePrefix="0" xfId="39">
      <alignment horizontal="left" wrapText="1"/>
    </xf>
    <xf numFmtId="0" fontId="34" fillId="24" borderId="95" applyAlignment="1" pivotButton="0" quotePrefix="0" xfId="39">
      <alignment horizontal="center" wrapText="1"/>
    </xf>
    <xf numFmtId="0" fontId="34" fillId="24" borderId="96" applyAlignment="1" pivotButton="0" quotePrefix="0" xfId="39">
      <alignment horizontal="center" wrapText="1"/>
    </xf>
    <xf numFmtId="0" fontId="34" fillId="24" borderId="98" applyAlignment="1" pivotButton="0" quotePrefix="0" xfId="39">
      <alignment horizontal="center" wrapText="1"/>
    </xf>
    <xf numFmtId="0" fontId="35" fillId="24" borderId="72" applyAlignment="1" pivotButton="0" quotePrefix="0" xfId="41">
      <alignment horizontal="center" vertical="center" wrapText="1"/>
    </xf>
    <xf numFmtId="0" fontId="35" fillId="24" borderId="68" applyAlignment="1" pivotButton="0" quotePrefix="0" xfId="39">
      <alignment horizontal="left" wrapText="1"/>
    </xf>
    <xf numFmtId="0" fontId="35" fillId="24" borderId="69" applyAlignment="1" pivotButton="0" quotePrefix="0" xfId="39">
      <alignment horizontal="left" wrapText="1"/>
    </xf>
    <xf numFmtId="0" fontId="35" fillId="24" borderId="81" applyAlignment="1" pivotButton="0" quotePrefix="0" xfId="39">
      <alignment horizontal="left" wrapText="1"/>
    </xf>
    <xf numFmtId="0" fontId="34" fillId="0" borderId="33" applyAlignment="1" pivotButton="0" quotePrefix="0" xfId="41">
      <alignment horizontal="left" vertical="top"/>
    </xf>
    <xf numFmtId="0" fontId="34" fillId="0" borderId="34" applyAlignment="1" pivotButton="0" quotePrefix="0" xfId="41">
      <alignment horizontal="left" vertical="top"/>
    </xf>
    <xf numFmtId="0" fontId="34" fillId="0" borderId="47" applyAlignment="1" pivotButton="0" quotePrefix="0" xfId="41">
      <alignment horizontal="left"/>
    </xf>
    <xf numFmtId="0" fontId="34" fillId="24" borderId="73" applyAlignment="1" pivotButton="0" quotePrefix="0" xfId="39">
      <alignment horizontal="center" wrapText="1"/>
    </xf>
    <xf numFmtId="0" fontId="34" fillId="24" borderId="40" applyAlignment="1" pivotButton="0" quotePrefix="0" xfId="39">
      <alignment horizontal="center" wrapText="1"/>
    </xf>
    <xf numFmtId="0" fontId="34" fillId="24" borderId="74" applyAlignment="1" pivotButton="0" quotePrefix="0" xfId="39">
      <alignment horizontal="center" wrapText="1"/>
    </xf>
    <xf numFmtId="0" fontId="35" fillId="24" borderId="75" applyAlignment="1" pivotButton="0" quotePrefix="0" xfId="41">
      <alignment horizontal="center" vertical="center"/>
    </xf>
    <xf numFmtId="0" fontId="35" fillId="24" borderId="11" applyAlignment="1" pivotButton="0" quotePrefix="0" xfId="41">
      <alignment horizontal="center" vertical="center"/>
    </xf>
    <xf numFmtId="0" fontId="35" fillId="24" borderId="75" applyAlignment="1" pivotButton="0" quotePrefix="0" xfId="39">
      <alignment horizontal="left" wrapText="1"/>
    </xf>
    <xf numFmtId="0" fontId="35" fillId="24" borderId="11" applyAlignment="1" pivotButton="0" quotePrefix="0" xfId="39">
      <alignment horizontal="left" wrapText="1"/>
    </xf>
    <xf numFmtId="0" fontId="37" fillId="24" borderId="76" applyAlignment="1" pivotButton="0" quotePrefix="0" xfId="39">
      <alignment horizontal="left" wrapText="1"/>
    </xf>
    <xf numFmtId="0" fontId="37" fillId="24" borderId="77" applyAlignment="1" pivotButton="0" quotePrefix="0" xfId="39">
      <alignment horizontal="left" wrapText="1"/>
    </xf>
    <xf numFmtId="0" fontId="35" fillId="24" borderId="66" applyAlignment="1" pivotButton="0" quotePrefix="0" xfId="41">
      <alignment horizontal="center" vertical="center" wrapText="1"/>
    </xf>
    <xf numFmtId="0" fontId="34" fillId="24" borderId="41" applyAlignment="1" pivotButton="0" quotePrefix="0" xfId="41">
      <alignment horizontal="center" vertical="center"/>
    </xf>
    <xf numFmtId="0" fontId="34" fillId="24" borderId="78" applyAlignment="1" pivotButton="0" quotePrefix="0" xfId="41">
      <alignment horizontal="center" vertical="center"/>
    </xf>
    <xf numFmtId="0" fontId="34" fillId="24" borderId="79" applyAlignment="1" pivotButton="0" quotePrefix="0" xfId="41">
      <alignment horizontal="center" vertical="center"/>
    </xf>
    <xf numFmtId="0" fontId="35" fillId="24" borderId="67" applyAlignment="1" pivotButton="0" quotePrefix="0" xfId="41">
      <alignment horizontal="center" vertical="center" wrapText="1"/>
    </xf>
    <xf numFmtId="0" fontId="34" fillId="24" borderId="84" applyAlignment="1" pivotButton="0" quotePrefix="0" xfId="41">
      <alignment horizontal="center" vertical="center"/>
    </xf>
    <xf numFmtId="0" fontId="34" fillId="24" borderId="85" applyAlignment="1" pivotButton="0" quotePrefix="0" xfId="41">
      <alignment horizontal="center" vertical="center"/>
    </xf>
    <xf numFmtId="0" fontId="34" fillId="24" borderId="29" applyAlignment="1" pivotButton="0" quotePrefix="0" xfId="39">
      <alignment horizontal="center" wrapText="1"/>
    </xf>
    <xf numFmtId="0" fontId="34" fillId="24" borderId="30" applyAlignment="1" pivotButton="0" quotePrefix="0" xfId="39">
      <alignment horizontal="center" wrapText="1"/>
    </xf>
    <xf numFmtId="0" fontId="34" fillId="24" borderId="97" applyAlignment="1" pivotButton="0" quotePrefix="0" xfId="39">
      <alignment horizontal="center" wrapText="1"/>
    </xf>
    <xf numFmtId="0" fontId="35" fillId="24" borderId="80" applyAlignment="1" pivotButton="0" quotePrefix="0" xfId="39">
      <alignment horizontal="left" wrapText="1"/>
    </xf>
    <xf numFmtId="0" fontId="34" fillId="24" borderId="69" applyAlignment="1" pivotButton="0" quotePrefix="0" xfId="39">
      <alignment horizontal="center" wrapText="1"/>
    </xf>
    <xf numFmtId="0" fontId="34" fillId="24" borderId="81" applyAlignment="1" pivotButton="0" quotePrefix="0" xfId="39">
      <alignment horizontal="center" wrapText="1"/>
    </xf>
    <xf numFmtId="0" fontId="34" fillId="0" borderId="33" applyAlignment="1" pivotButton="0" quotePrefix="0" xfId="41">
      <alignment horizontal="left"/>
    </xf>
    <xf numFmtId="0" fontId="34" fillId="24" borderId="86" applyAlignment="1" pivotButton="0" quotePrefix="0" xfId="41">
      <alignment horizontal="center" vertical="center"/>
    </xf>
    <xf numFmtId="0" fontId="34" fillId="24" borderId="87" applyAlignment="1" pivotButton="0" quotePrefix="0" xfId="41">
      <alignment horizontal="center" vertical="center"/>
    </xf>
    <xf numFmtId="0" fontId="34" fillId="24" borderId="10" applyAlignment="1" pivotButton="0" quotePrefix="0" xfId="39">
      <alignment horizontal="center" wrapText="1"/>
    </xf>
    <xf numFmtId="0" fontId="34" fillId="24" borderId="43" applyAlignment="1" pivotButton="0" quotePrefix="0" xfId="39">
      <alignment horizontal="center" wrapText="1"/>
    </xf>
    <xf numFmtId="0" fontId="35" fillId="24" borderId="88" applyAlignment="1" pivotButton="0" quotePrefix="0" xfId="39">
      <alignment horizontal="left" wrapText="1"/>
    </xf>
    <xf numFmtId="0" fontId="35" fillId="24" borderId="89" applyAlignment="1" pivotButton="0" quotePrefix="0" xfId="39">
      <alignment horizontal="left" wrapText="1"/>
    </xf>
    <xf numFmtId="0" fontId="34" fillId="24" borderId="66" applyAlignment="1" pivotButton="0" quotePrefix="0" xfId="39">
      <alignment horizontal="center" wrapText="1"/>
    </xf>
    <xf numFmtId="0" fontId="34" fillId="24" borderId="71" applyAlignment="1" pivotButton="0" quotePrefix="0" xfId="39">
      <alignment horizontal="center" wrapText="1"/>
    </xf>
    <xf numFmtId="0" fontId="35" fillId="24" borderId="90" applyAlignment="1" pivotButton="0" quotePrefix="0" xfId="39">
      <alignment horizontal="left" wrapText="1"/>
    </xf>
    <xf numFmtId="0" fontId="35" fillId="24" borderId="42" applyAlignment="1" pivotButton="0" quotePrefix="0" xfId="39">
      <alignment horizontal="left" wrapText="1"/>
    </xf>
    <xf numFmtId="49" fontId="34" fillId="24" borderId="42" applyAlignment="1" pivotButton="0" quotePrefix="0" xfId="39">
      <alignment horizontal="center" wrapText="1"/>
    </xf>
    <xf numFmtId="49" fontId="34" fillId="24" borderId="91" applyAlignment="1" pivotButton="0" quotePrefix="0" xfId="39">
      <alignment horizontal="center" wrapText="1"/>
    </xf>
    <xf numFmtId="0" fontId="33" fillId="0" borderId="42" applyAlignment="1" pivotButton="0" quotePrefix="0" xfId="0">
      <alignment horizontal="center" vertical="center"/>
    </xf>
    <xf numFmtId="0" fontId="35" fillId="24" borderId="35" applyAlignment="1" pivotButton="0" quotePrefix="0" xfId="39">
      <alignment horizontal="left" wrapText="1"/>
    </xf>
    <xf numFmtId="0" fontId="35" fillId="24" borderId="36" applyAlignment="1" pivotButton="0" quotePrefix="0" xfId="39">
      <alignment horizontal="left" wrapText="1"/>
    </xf>
    <xf numFmtId="0" fontId="35" fillId="24" borderId="37" applyAlignment="1" pivotButton="0" quotePrefix="0" xfId="39">
      <alignment horizontal="left" wrapText="1"/>
    </xf>
    <xf numFmtId="0" fontId="34" fillId="0" borderId="34" applyAlignment="1" pivotButton="0" quotePrefix="0" xfId="42">
      <alignment horizontal="left" vertical="top"/>
    </xf>
    <xf numFmtId="0" fontId="34" fillId="0" borderId="47" applyAlignment="1" pivotButton="0" quotePrefix="0" xfId="42">
      <alignment horizontal="left"/>
    </xf>
    <xf numFmtId="0" fontId="34" fillId="24" borderId="73" applyAlignment="1" pivotButton="0" quotePrefix="0" xfId="40">
      <alignment horizontal="center" wrapText="1"/>
    </xf>
    <xf numFmtId="0" fontId="34" fillId="24" borderId="40" applyAlignment="1" pivotButton="0" quotePrefix="0" xfId="40">
      <alignment horizontal="center" wrapText="1"/>
    </xf>
    <xf numFmtId="0" fontId="34" fillId="24" borderId="74" applyAlignment="1" pivotButton="0" quotePrefix="0" xfId="40">
      <alignment horizontal="center" wrapText="1"/>
    </xf>
    <xf numFmtId="0" fontId="34" fillId="0" borderId="0" applyAlignment="1" pivotButton="0" quotePrefix="0" xfId="42">
      <alignment horizontal="right"/>
    </xf>
    <xf numFmtId="0" fontId="35" fillId="24" borderId="75" applyAlignment="1" pivotButton="0" quotePrefix="0" xfId="42">
      <alignment horizontal="center" vertical="center"/>
    </xf>
    <xf numFmtId="0" fontId="35" fillId="24" borderId="11" applyAlignment="1" pivotButton="0" quotePrefix="0" xfId="42">
      <alignment horizontal="center" vertical="center"/>
    </xf>
    <xf numFmtId="0" fontId="35" fillId="24" borderId="75" applyAlignment="1" pivotButton="0" quotePrefix="0" xfId="40">
      <alignment horizontal="left" wrapText="1"/>
    </xf>
    <xf numFmtId="0" fontId="35" fillId="24" borderId="11" applyAlignment="1" pivotButton="0" quotePrefix="0" xfId="40">
      <alignment horizontal="left" wrapText="1"/>
    </xf>
    <xf numFmtId="0" fontId="37" fillId="24" borderId="76" applyAlignment="1" pivotButton="0" quotePrefix="0" xfId="40">
      <alignment horizontal="left" wrapText="1"/>
    </xf>
    <xf numFmtId="0" fontId="37" fillId="24" borderId="77" applyAlignment="1" pivotButton="0" quotePrefix="0" xfId="40">
      <alignment horizontal="left" wrapText="1"/>
    </xf>
    <xf numFmtId="0" fontId="35" fillId="24" borderId="43" applyAlignment="1" pivotButton="0" quotePrefix="0" xfId="42">
      <alignment horizontal="center" vertical="center" wrapText="1"/>
    </xf>
    <xf numFmtId="0" fontId="34" fillId="24" borderId="41" applyAlignment="1" pivotButton="0" quotePrefix="0" xfId="42">
      <alignment horizontal="center" vertical="center"/>
    </xf>
    <xf numFmtId="0" fontId="34" fillId="24" borderId="78" applyAlignment="1" pivotButton="0" quotePrefix="0" xfId="42">
      <alignment horizontal="center" vertical="center"/>
    </xf>
    <xf numFmtId="0" fontId="34" fillId="24" borderId="79" applyAlignment="1" pivotButton="0" quotePrefix="0" xfId="42">
      <alignment horizontal="center" vertical="center"/>
    </xf>
    <xf numFmtId="0" fontId="34" fillId="24" borderId="84" applyAlignment="1" pivotButton="0" quotePrefix="0" xfId="42">
      <alignment horizontal="center" vertical="center"/>
    </xf>
    <xf numFmtId="0" fontId="34" fillId="24" borderId="85" applyAlignment="1" pivotButton="0" quotePrefix="0" xfId="42">
      <alignment horizontal="center" vertical="center"/>
    </xf>
    <xf numFmtId="0" fontId="34" fillId="0" borderId="33" applyAlignment="1" pivotButton="0" quotePrefix="0" xfId="42">
      <alignment horizontal="left"/>
    </xf>
    <xf numFmtId="0" fontId="34" fillId="0" borderId="33" applyAlignment="1" pivotButton="0" quotePrefix="0" xfId="42">
      <alignment horizontal="left" vertical="top"/>
    </xf>
    <xf numFmtId="0" fontId="34" fillId="24" borderId="86" applyAlignment="1" pivotButton="0" quotePrefix="0" xfId="42">
      <alignment horizontal="center" vertical="center"/>
    </xf>
    <xf numFmtId="0" fontId="34" fillId="24" borderId="87" applyAlignment="1" pivotButton="0" quotePrefix="0" xfId="42">
      <alignment horizontal="center" vertical="center"/>
    </xf>
    <xf numFmtId="0" fontId="35" fillId="24" borderId="10" applyAlignment="1" pivotButton="0" quotePrefix="0" xfId="42">
      <alignment horizontal="center" vertical="center" wrapText="1"/>
    </xf>
    <xf numFmtId="0" fontId="35" fillId="24" borderId="11" applyAlignment="1" pivotButton="0" quotePrefix="0" xfId="42">
      <alignment horizontal="center" vertical="center" wrapText="1"/>
    </xf>
    <xf numFmtId="0" fontId="35" fillId="24" borderId="29" applyAlignment="1" pivotButton="0" quotePrefix="0" xfId="40">
      <alignment horizontal="left" wrapText="1"/>
    </xf>
    <xf numFmtId="0" fontId="35" fillId="24" borderId="30" applyAlignment="1" pivotButton="0" quotePrefix="0" xfId="40">
      <alignment horizontal="left" wrapText="1"/>
    </xf>
    <xf numFmtId="0" fontId="35" fillId="24" borderId="31" applyAlignment="1" pivotButton="0" quotePrefix="0" xfId="40">
      <alignment horizontal="left" wrapText="1"/>
    </xf>
    <xf numFmtId="49" fontId="34" fillId="24" borderId="92" applyAlignment="1" pivotButton="0" quotePrefix="0" xfId="39">
      <alignment horizontal="center" wrapText="1"/>
    </xf>
    <xf numFmtId="49" fontId="34" fillId="24" borderId="93" applyAlignment="1" pivotButton="0" quotePrefix="0" xfId="39">
      <alignment horizontal="center" wrapText="1"/>
    </xf>
    <xf numFmtId="49" fontId="34" fillId="24" borderId="94" applyAlignment="1" pivotButton="0" quotePrefix="0" xfId="39">
      <alignment horizontal="center" wrapText="1"/>
    </xf>
    <xf numFmtId="0" fontId="35" fillId="24" borderId="72" applyAlignment="1" pivotButton="0" quotePrefix="0" xfId="42">
      <alignment horizontal="center" vertical="center" wrapText="1"/>
    </xf>
    <xf numFmtId="0" fontId="35" fillId="24" borderId="66" applyAlignment="1" pivotButton="0" quotePrefix="0" xfId="42">
      <alignment horizontal="center" vertical="center" wrapText="1"/>
    </xf>
    <xf numFmtId="0" fontId="35" fillId="24" borderId="67" applyAlignment="1" pivotButton="0" quotePrefix="0" xfId="42">
      <alignment horizontal="center" vertical="center" wrapText="1"/>
    </xf>
    <xf numFmtId="0" fontId="34" fillId="24" borderId="66" applyAlignment="1" pivotButton="0" quotePrefix="0" xfId="40">
      <alignment horizontal="center" wrapText="1"/>
    </xf>
    <xf numFmtId="0" fontId="34" fillId="24" borderId="43" applyAlignment="1" pivotButton="0" quotePrefix="0" xfId="40">
      <alignment horizontal="center" wrapText="1"/>
    </xf>
    <xf numFmtId="0" fontId="34" fillId="24" borderId="71" applyAlignment="1" pivotButton="0" quotePrefix="0" xfId="40">
      <alignment horizontal="center" wrapText="1"/>
    </xf>
    <xf numFmtId="0" fontId="34" fillId="24" borderId="10" applyAlignment="1" pivotButton="0" quotePrefix="0" xfId="40">
      <alignment horizontal="center" wrapText="1"/>
    </xf>
    <xf numFmtId="0" fontId="34" fillId="0" borderId="0" applyAlignment="1" pivotButton="0" quotePrefix="0" xfId="41">
      <alignment horizontal="right"/>
    </xf>
    <xf numFmtId="0" fontId="35" fillId="24" borderId="82" applyAlignment="1" pivotButton="0" quotePrefix="0" xfId="39">
      <alignment horizontal="left" wrapText="1"/>
    </xf>
    <xf numFmtId="0" fontId="35" fillId="24" borderId="83" applyAlignment="1" pivotButton="0" quotePrefix="0" xfId="39">
      <alignment horizontal="left" wrapText="1"/>
    </xf>
    <xf numFmtId="0" fontId="34" fillId="24" borderId="70" applyAlignment="1" pivotButton="0" quotePrefix="0" xfId="39">
      <alignment horizontal="center" wrapText="1"/>
    </xf>
    <xf numFmtId="0" fontId="34" fillId="0" borderId="103" applyAlignment="1" pivotButton="0" quotePrefix="0" xfId="41">
      <alignment horizontal="left"/>
    </xf>
    <xf numFmtId="0" fontId="34" fillId="0" borderId="60" applyAlignment="1" pivotButton="0" quotePrefix="0" xfId="41">
      <alignment horizontal="left"/>
    </xf>
    <xf numFmtId="0" fontId="34" fillId="0" borderId="104" applyAlignment="1" pivotButton="0" quotePrefix="0" xfId="41">
      <alignment horizontal="left"/>
    </xf>
    <xf numFmtId="0" fontId="34" fillId="0" borderId="29" applyAlignment="1" pivotButton="0" quotePrefix="0" xfId="41">
      <alignment horizontal="left"/>
    </xf>
    <xf numFmtId="0" fontId="34" fillId="0" borderId="30" applyAlignment="1" pivotButton="0" quotePrefix="0" xfId="41">
      <alignment horizontal="left"/>
    </xf>
    <xf numFmtId="0" fontId="34" fillId="0" borderId="31" applyAlignment="1" pivotButton="0" quotePrefix="0" xfId="41">
      <alignment horizontal="left"/>
    </xf>
    <xf numFmtId="0" fontId="34" fillId="0" borderId="29" applyAlignment="1" pivotButton="0" quotePrefix="0" xfId="41">
      <alignment horizontal="left" vertical="top"/>
    </xf>
    <xf numFmtId="0" fontId="34" fillId="0" borderId="30" applyAlignment="1" pivotButton="0" quotePrefix="0" xfId="41">
      <alignment horizontal="left" vertical="top"/>
    </xf>
    <xf numFmtId="0" fontId="34" fillId="0" borderId="31" applyAlignment="1" pivotButton="0" quotePrefix="0" xfId="41">
      <alignment horizontal="left" vertical="top"/>
    </xf>
    <xf numFmtId="0" fontId="34" fillId="0" borderId="100" applyAlignment="1" pivotButton="0" quotePrefix="0" xfId="41">
      <alignment horizontal="left" vertical="top"/>
    </xf>
    <xf numFmtId="0" fontId="34" fillId="0" borderId="101" applyAlignment="1" pivotButton="0" quotePrefix="0" xfId="41">
      <alignment horizontal="left" vertical="top"/>
    </xf>
    <xf numFmtId="0" fontId="34" fillId="0" borderId="102" applyAlignment="1" pivotButton="0" quotePrefix="0" xfId="41">
      <alignment horizontal="left" vertical="top"/>
    </xf>
    <xf numFmtId="0" fontId="0" fillId="0" borderId="0" pivotButton="0" quotePrefix="0" xfId="0"/>
    <xf numFmtId="0" fontId="0" fillId="0" borderId="43" pivotButton="0" quotePrefix="0" xfId="0"/>
    <xf numFmtId="0" fontId="0" fillId="0" borderId="11" pivotButton="0" quotePrefix="0" xfId="0"/>
    <xf numFmtId="0" fontId="60" fillId="0" borderId="39" applyAlignment="1" pivotButton="0" quotePrefix="0" xfId="41">
      <alignment horizontal="left"/>
    </xf>
    <xf numFmtId="0" fontId="60" fillId="0" borderId="11" pivotButton="0" quotePrefix="0" xfId="41"/>
    <xf numFmtId="0" fontId="60" fillId="0" borderId="39" applyAlignment="1" pivotButton="0" quotePrefix="0" xfId="41">
      <alignment horizontal="left" vertical="center"/>
    </xf>
    <xf numFmtId="0" fontId="0" fillId="0" borderId="108" pivotButton="0" quotePrefix="0" xfId="0"/>
    <xf numFmtId="0" fontId="0" fillId="0" borderId="109" pivotButton="0" quotePrefix="0" xfId="0"/>
    <xf numFmtId="14" fontId="60" fillId="0" borderId="11" applyAlignment="1" pivotButton="0" quotePrefix="0" xfId="41">
      <alignment horizontal="left"/>
    </xf>
    <xf numFmtId="0" fontId="0" fillId="0" borderId="112" pivotButton="0" quotePrefix="0" xfId="0"/>
    <xf numFmtId="0" fontId="0" fillId="0" borderId="73" pivotButton="0" quotePrefix="0" xfId="0"/>
    <xf numFmtId="0" fontId="0" fillId="0" borderId="40" pivotButton="0" quotePrefix="0" xfId="0"/>
    <xf numFmtId="0" fontId="0" fillId="0" borderId="89" pivotButton="0" quotePrefix="0" xfId="0"/>
    <xf numFmtId="0" fontId="60" fillId="0" borderId="11" applyAlignment="1" pivotButton="0" quotePrefix="0" xfId="41">
      <alignment horizontal="left"/>
    </xf>
    <xf numFmtId="164" fontId="63" fillId="25" borderId="12" applyAlignment="1" pivotButton="0" quotePrefix="0" xfId="41">
      <alignment horizontal="center" vertical="center" wrapText="1"/>
    </xf>
    <xf numFmtId="0" fontId="63" fillId="25" borderId="13" applyAlignment="1" pivotButton="0" quotePrefix="0" xfId="41">
      <alignment horizontal="center" vertical="center" wrapText="1"/>
    </xf>
    <xf numFmtId="0" fontId="63" fillId="25" borderId="14" applyAlignment="1" pivotButton="0" quotePrefix="0" xfId="41">
      <alignment horizontal="center" vertical="center" wrapText="1"/>
    </xf>
    <xf numFmtId="0" fontId="60" fillId="24" borderId="39" applyAlignment="1" pivotButton="0" quotePrefix="0" xfId="41">
      <alignment horizontal="left"/>
    </xf>
    <xf numFmtId="1" fontId="30" fillId="24" borderId="39" applyAlignment="1" pivotButton="0" quotePrefix="0" xfId="41">
      <alignment horizontal="left"/>
    </xf>
    <xf numFmtId="0" fontId="60" fillId="24" borderId="10" applyAlignment="1" pivotButton="0" quotePrefix="0" xfId="41">
      <alignment horizontal="left"/>
    </xf>
    <xf numFmtId="0" fontId="60" fillId="24" borderId="39" applyAlignment="1" pivotButton="0" quotePrefix="0" xfId="41">
      <alignment horizontal="left" vertical="top" wrapText="1"/>
    </xf>
    <xf numFmtId="1" fontId="60" fillId="24" borderId="16" applyAlignment="1" pivotButton="0" quotePrefix="0" xfId="41">
      <alignment horizontal="center" vertical="center" wrapText="1"/>
    </xf>
    <xf numFmtId="1" fontId="60" fillId="24" borderId="23" applyAlignment="1" pivotButton="0" quotePrefix="0" xfId="41">
      <alignment vertical="center" wrapText="1"/>
    </xf>
    <xf numFmtId="49" fontId="60" fillId="24" borderId="15" applyAlignment="1" pivotButton="0" quotePrefix="0" xfId="41">
      <alignment horizontal="left" vertical="center" wrapText="1"/>
    </xf>
    <xf numFmtId="0" fontId="65" fillId="24" borderId="15" applyAlignment="1" pivotButton="0" quotePrefix="0" xfId="34">
      <alignment horizontal="left" vertical="center" wrapText="1"/>
    </xf>
    <xf numFmtId="0" fontId="60" fillId="24" borderId="15" applyAlignment="1" pivotButton="0" quotePrefix="0" xfId="34">
      <alignment horizontal="left" vertical="center" wrapText="1"/>
    </xf>
    <xf numFmtId="0" fontId="60" fillId="24" borderId="17" applyAlignment="1" pivotButton="0" quotePrefix="0" xfId="41">
      <alignment horizontal="left" vertical="center" wrapText="1"/>
    </xf>
    <xf numFmtId="0" fontId="60" fillId="24" borderId="39" applyAlignment="1" pivotButton="0" quotePrefix="0" xfId="41">
      <alignment horizontal="center"/>
    </xf>
    <xf numFmtId="14" fontId="60" fillId="24" borderId="39" applyAlignment="1" pivotButton="0" quotePrefix="0" xfId="41">
      <alignment horizontal="center" vertical="top"/>
    </xf>
    <xf numFmtId="0" fontId="61" fillId="24" borderId="39" applyAlignment="1" pivotButton="0" quotePrefix="0" xfId="38">
      <alignment vertical="top" wrapText="1"/>
    </xf>
    <xf numFmtId="0" fontId="60" fillId="33" borderId="23" applyAlignment="1" pivotButton="0" quotePrefix="0" xfId="41">
      <alignment horizontal="center"/>
    </xf>
    <xf numFmtId="49" fontId="65" fillId="24" borderId="15" applyAlignment="1" pivotButton="0" quotePrefix="0" xfId="34">
      <alignment horizontal="left" vertical="center" wrapText="1"/>
    </xf>
    <xf numFmtId="0" fontId="60" fillId="24" borderId="15" applyAlignment="1" pivotButton="0" quotePrefix="0" xfId="41">
      <alignment horizontal="center"/>
    </xf>
    <xf numFmtId="0" fontId="63" fillId="30" borderId="0" applyAlignment="1" pivotButton="0" quotePrefix="0" xfId="0">
      <alignment vertical="center"/>
    </xf>
    <xf numFmtId="0" fontId="66" fillId="25" borderId="19" applyAlignment="1" pivotButton="0" quotePrefix="0" xfId="41">
      <alignment horizontal="center"/>
    </xf>
    <xf numFmtId="0" fontId="2" fillId="0" borderId="0" pivotButton="0" quotePrefix="0" xfId="0"/>
    <xf numFmtId="0" fontId="62" fillId="24" borderId="0" applyAlignment="1" pivotButton="0" quotePrefix="0" xfId="41">
      <alignment horizontal="left"/>
    </xf>
    <xf numFmtId="2" fontId="62" fillId="24" borderId="0" applyAlignment="1" pivotButton="0" quotePrefix="0" xfId="41">
      <alignment horizontal="right" wrapText="1"/>
    </xf>
    <xf numFmtId="0" fontId="60" fillId="24" borderId="0" pivotButton="0" quotePrefix="0" xfId="41"/>
    <xf numFmtId="0" fontId="0" fillId="0" borderId="69" pivotButton="0" quotePrefix="0" xfId="0"/>
    <xf numFmtId="49" fontId="60" fillId="24" borderId="114" applyAlignment="1" pivotButton="0" quotePrefix="0" xfId="39">
      <alignment horizontal="center" wrapText="1"/>
    </xf>
    <xf numFmtId="0" fontId="0" fillId="0" borderId="81" pivotButton="0" quotePrefix="0" xfId="0"/>
    <xf numFmtId="0" fontId="0" fillId="0" borderId="83" pivotButton="0" quotePrefix="0" xfId="0"/>
    <xf numFmtId="49" fontId="60" fillId="24" borderId="116" applyAlignment="1" pivotButton="0" quotePrefix="0" xfId="39">
      <alignment horizontal="center" wrapText="1"/>
    </xf>
    <xf numFmtId="0" fontId="0" fillId="0" borderId="70" pivotButton="0" quotePrefix="0" xfId="0"/>
    <xf numFmtId="0" fontId="35" fillId="24" borderId="118" applyAlignment="1" pivotButton="0" quotePrefix="0" xfId="39">
      <alignment horizontal="left" wrapText="1"/>
    </xf>
    <xf numFmtId="0" fontId="60" fillId="24" borderId="119" applyAlignment="1" pivotButton="0" quotePrefix="0" xfId="39">
      <alignment horizontal="center" wrapText="1"/>
    </xf>
    <xf numFmtId="0" fontId="0" fillId="0" borderId="74" pivotButton="0" quotePrefix="0" xfId="0"/>
    <xf numFmtId="0" fontId="35" fillId="24" borderId="33" applyAlignment="1" pivotButton="0" quotePrefix="0" xfId="39">
      <alignment horizontal="left" wrapText="1"/>
    </xf>
    <xf numFmtId="0" fontId="0" fillId="0" borderId="30" pivotButton="0" quotePrefix="0" xfId="0"/>
    <xf numFmtId="0" fontId="0" fillId="0" borderId="31" pivotButton="0" quotePrefix="0" xfId="0"/>
    <xf numFmtId="0" fontId="60" fillId="24" borderId="121" applyAlignment="1" pivotButton="0" quotePrefix="0" xfId="39">
      <alignment horizontal="center" wrapText="1"/>
    </xf>
    <xf numFmtId="0" fontId="0" fillId="0" borderId="96" pivotButton="0" quotePrefix="0" xfId="0"/>
    <xf numFmtId="0" fontId="0" fillId="0" borderId="98" pivotButton="0" quotePrefix="0" xfId="0"/>
    <xf numFmtId="0" fontId="60" fillId="24" borderId="10" applyAlignment="1" pivotButton="0" quotePrefix="0" xfId="39">
      <alignment horizontal="center" wrapText="1"/>
    </xf>
    <xf numFmtId="0" fontId="60" fillId="24" borderId="129" applyAlignment="1" pivotButton="0" quotePrefix="0" xfId="39">
      <alignment horizontal="center" wrapText="1"/>
    </xf>
    <xf numFmtId="0" fontId="0" fillId="0" borderId="71" pivotButton="0" quotePrefix="0" xfId="0"/>
    <xf numFmtId="0" fontId="61" fillId="24" borderId="76" applyAlignment="1" pivotButton="0" quotePrefix="0" xfId="39">
      <alignment horizontal="left" wrapText="1"/>
    </xf>
    <xf numFmtId="0" fontId="35" fillId="24" borderId="118" applyAlignment="1" pivotButton="0" quotePrefix="0" xfId="41">
      <alignment horizontal="center" vertical="center"/>
    </xf>
    <xf numFmtId="0" fontId="35" fillId="24" borderId="39" applyAlignment="1" pivotButton="0" quotePrefix="0" xfId="41">
      <alignment horizontal="center" vertical="center" wrapText="1"/>
    </xf>
    <xf numFmtId="0" fontId="35" fillId="24" borderId="131" applyAlignment="1" pivotButton="0" quotePrefix="0" xfId="41">
      <alignment horizontal="center" vertical="center" wrapText="1"/>
    </xf>
    <xf numFmtId="0" fontId="0" fillId="0" borderId="72" pivotButton="0" quotePrefix="0" xfId="0"/>
    <xf numFmtId="0" fontId="35" fillId="24" borderId="132" applyAlignment="1" pivotButton="0" quotePrefix="0" xfId="41">
      <alignment horizontal="center" vertical="center" wrapText="1"/>
    </xf>
    <xf numFmtId="0" fontId="0" fillId="0" borderId="67" pivotButton="0" quotePrefix="0" xfId="0"/>
    <xf numFmtId="0" fontId="60" fillId="24" borderId="123" applyAlignment="1" pivotButton="0" quotePrefix="0" xfId="41">
      <alignment horizontal="center" vertical="center"/>
    </xf>
    <xf numFmtId="0" fontId="0" fillId="0" borderId="86" pivotButton="0" quotePrefix="0" xfId="0"/>
    <xf numFmtId="0" fontId="60" fillId="24" borderId="124" applyAlignment="1" pivotButton="0" quotePrefix="0" xfId="41">
      <alignment horizontal="center" vertical="center"/>
    </xf>
    <xf numFmtId="0" fontId="0" fillId="0" borderId="78" pivotButton="0" quotePrefix="0" xfId="0"/>
    <xf numFmtId="0" fontId="60" fillId="24" borderId="125" applyAlignment="1" pivotButton="0" quotePrefix="0" xfId="41">
      <alignment horizontal="center" vertical="center"/>
    </xf>
    <xf numFmtId="0" fontId="0" fillId="0" borderId="85" pivotButton="0" quotePrefix="0" xfId="0"/>
    <xf numFmtId="0" fontId="60" fillId="24" borderId="41" applyAlignment="1" pivotButton="0" quotePrefix="0" xfId="41">
      <alignment horizontal="center" vertical="center"/>
    </xf>
    <xf numFmtId="0" fontId="60" fillId="24" borderId="127" applyAlignment="1" pivotButton="0" quotePrefix="0" xfId="41">
      <alignment horizontal="center" vertical="center"/>
    </xf>
    <xf numFmtId="0" fontId="0" fillId="0" borderId="79" pivotButton="0" quotePrefix="0" xfId="0"/>
    <xf numFmtId="0" fontId="60" fillId="27" borderId="31" applyAlignment="1" pivotButton="0" quotePrefix="0" xfId="41">
      <alignment horizontal="left" vertical="top" wrapText="1"/>
    </xf>
    <xf numFmtId="0" fontId="62" fillId="0" borderId="33" applyAlignment="1" pivotButton="0" quotePrefix="0" xfId="41">
      <alignment horizontal="center"/>
    </xf>
    <xf numFmtId="0" fontId="62" fillId="27" borderId="29" applyAlignment="1" pivotButton="0" quotePrefix="0" xfId="41">
      <alignment horizontal="left" vertical="top"/>
    </xf>
    <xf numFmtId="0" fontId="63" fillId="30" borderId="51" applyAlignment="1" pivotButton="0" quotePrefix="0" xfId="41">
      <alignment vertical="center"/>
    </xf>
    <xf numFmtId="0" fontId="64" fillId="0" borderId="33" applyAlignment="1" pivotButton="0" quotePrefix="0" xfId="41">
      <alignment horizontal="center"/>
    </xf>
    <xf numFmtId="0" fontId="62" fillId="0" borderId="33" applyAlignment="1" pivotButton="0" quotePrefix="0" xfId="41">
      <alignment horizontal="center" vertical="center" textRotation="90"/>
    </xf>
  </cellXfs>
  <cellStyles count="49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Explanatory Text" xfId="28" builtinId="53"/>
    <cellStyle name="Good" xfId="29" builtinId="26"/>
    <cellStyle name="Heading 1" xfId="30" builtinId="16"/>
    <cellStyle name="Heading 2" xfId="31" builtinId="17"/>
    <cellStyle name="Heading 3" xfId="32" builtinId="18"/>
    <cellStyle name="Heading 4" xfId="33" builtinId="19"/>
    <cellStyle name="Hyperlink" xfId="34" builtinId="8"/>
    <cellStyle name="Input" xfId="35" builtinId="20"/>
    <cellStyle name="Linked Cell" xfId="36" builtinId="24"/>
    <cellStyle name="Neutral" xfId="37" builtinId="28"/>
    <cellStyle name="Normal_Functional Test Case v1.0" xfId="38"/>
    <cellStyle name="Normal_Sheet1" xfId="39"/>
    <cellStyle name="Normal_Sheet1_Template_UnitTest Case_v0.9" xfId="40"/>
    <cellStyle name="Normal_Template_UnitTest Case_v0.9" xfId="41"/>
    <cellStyle name="Normal_Template_UnitTest Case_v0.9_Template_UnitTest Case_v0.9" xfId="42"/>
    <cellStyle name="Note" xfId="43" builtinId="10"/>
    <cellStyle name="Output" xfId="44" builtinId="21"/>
    <cellStyle name="Title" xfId="45" builtinId="15"/>
    <cellStyle name="Total" xfId="46" builtinId="25"/>
    <cellStyle name="Warning Text" xfId="47" builtinId="11"/>
    <cellStyle name="標準_結合試験(AllOvertheWorld)" xfId="4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 i="0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/>
              <a:t>Test Type</a:t>
            </a:r>
          </a:p>
        </rich>
      </tx>
      <layout>
        <manualLayout>
          <xMode val="edge"/>
          <yMode val="edge"/>
          <wMode val="factor"/>
          <hMode val="factor"/>
          <x val="0.4183674182365429"/>
          <y val="0.03906234934918849"/>
        </manualLayout>
      </layout>
      <overlay val="0"/>
      <spPr>
        <a:noFill xmlns:a="http://schemas.openxmlformats.org/drawingml/2006/main"/>
        <a:ln xmlns:a="http://schemas.openxmlformats.org/drawingml/2006/main"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201530612244898"/>
          <y val="0.2656255066404469"/>
          <w val="0.3979591836734694"/>
          <h val="0.60937616229279"/>
        </manualLayout>
      </layout>
      <pieChart>
        <varyColors val="1"/>
        <ser>
          <idx val="0"/>
          <order val="0"/>
          <spPr>
            <a:solidFill xmlns:a="http://schemas.openxmlformats.org/drawingml/2006/main">
              <a:srgbClr val="9999FF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</spPr>
          <dPt>
            <idx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993366"/>
              </a:solidFill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FFFFCC"/>
              </a:solidFill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dPt>
          <dLbls>
            <numFmt formatCode="0%"/>
            <spPr>
              <a:noFill xmlns:a="http://schemas.openxmlformats.org/drawingml/2006/main"/>
              <a:ln xmlns:a="http://schemas.openxmlformats.org/drawingml/2006/main" w="25400">
                <a:noFill/>
                <a:prstDash val="solid"/>
              </a:ln>
            </spPr>
            <txPr>
              <a:bodyPr xmlns:a="http://schemas.openxmlformats.org/drawingml/2006/main" wrap="square" lIns="38100" tIns="19050" rIns="38100" bIns="19050" anchor="ctr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'Test Report'!$F$11:$H$11</f>
              <strCache>
                <ptCount val="3"/>
                <pt idx="0">
                  <v>N</v>
                </pt>
                <pt idx="1">
                  <v>A</v>
                </pt>
                <pt idx="2">
                  <v>B</v>
                </pt>
              </strCache>
            </strRef>
          </cat>
          <val>
            <numRef>
              <f>'Test Report'!$F$96:$H$96</f>
              <numCache>
                <formatCode>General</formatCode>
                <ptCount val="3"/>
                <pt idx="0">
                  <v>14</v>
                </pt>
                <pt idx="1">
                  <v>28</v>
                </pt>
                <pt idx="2">
                  <v>8</v>
                </pt>
              </numCache>
            </numRef>
          </val>
        </ser>
        <ser>
          <idx val="1"/>
          <order val="1"/>
          <spPr>
            <a:solidFill xmlns:a="http://schemas.openxmlformats.org/drawingml/2006/main">
              <a:srgbClr val="993366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9999FF"/>
              </a:solidFill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dPt>
          <dPt>
            <idx val="1"/>
            <bubble3D val="0"/>
            <spPr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FFFFCC"/>
              </a:solidFill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 w="25400">
                <a:noFill/>
                <a:prstDash val="solid"/>
              </a:ln>
            </spPr>
            <txPr>
              <a:bodyPr xmlns:a="http://schemas.openxmlformats.org/drawingml/2006/main" wrap="square" lIns="38100" tIns="19050" rIns="38100" bIns="19050" anchor="ctr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1"/>
            <showSerName val="0"/>
            <showPercent val="0"/>
            <showBubbleSize val="0"/>
            <showLeaderLines val="1"/>
          </dLbls>
          <cat>
            <strRef>
              <f>'Test Report'!$F$11:$H$11</f>
              <strCache>
                <ptCount val="3"/>
                <pt idx="0">
                  <v>N</v>
                </pt>
                <pt idx="1">
                  <v>A</v>
                </pt>
                <pt idx="2">
                  <v>B</v>
                </pt>
              </strCache>
            </strRef>
          </cat>
          <val>
            <numRef>
              <f>'Test Report'!$F$95:$H$95</f>
              <numCache>
                <formatCode>General</formatCode>
                <ptCount val="3"/>
              </numCache>
            </numRef>
          </val>
        </ser>
        <ser>
          <idx val="2"/>
          <order val="2"/>
          <spPr>
            <a:solidFill xmlns:a="http://schemas.openxmlformats.org/drawingml/2006/main">
              <a:srgbClr val="FFFFCC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9999FF"/>
              </a:solidFill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dPt>
          <dPt>
            <idx val="1"/>
            <bubble3D val="0"/>
            <spPr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ln xmlns:a="http://schemas.openxmlformats.org/drawingml/2006/main"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 w="25400">
                <a:noFill/>
                <a:prstDash val="solid"/>
              </a:ln>
            </spPr>
            <txPr>
              <a:bodyPr xmlns:a="http://schemas.openxmlformats.org/drawingml/2006/main" wrap="square" lIns="38100" tIns="19050" rIns="38100" bIns="19050" anchor="ctr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1"/>
            <showSerName val="0"/>
            <showPercent val="0"/>
            <showBubbleSize val="0"/>
            <showLeaderLines val="1"/>
          </dLbls>
          <cat>
            <strRef>
              <f>'Test Report'!$F$11:$H$11</f>
              <strCache>
                <ptCount val="3"/>
                <pt idx="0">
                  <v>N</v>
                </pt>
                <pt idx="1">
                  <v>A</v>
                </pt>
                <pt idx="2">
                  <v>B</v>
                </pt>
              </strCache>
            </strRef>
          </cat>
          <val>
            <numRef>
              <f>'Test Report'!#REF!</f>
              <numCache>
                <formatCode>General</formatCode>
                <ptCount val="1"/>
                <pt idx="0">
                  <v>1</v>
                </pt>
              </numCache>
            </numRef>
          </val>
        </ser>
        <ser>
          <idx val="3"/>
          <order val="3"/>
          <spPr>
            <a:solidFill xmlns:a="http://schemas.openxmlformats.org/drawingml/2006/main">
              <a:srgbClr val="CCFFFF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9999FF"/>
              </a:solidFill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dPt>
          <dPt>
            <idx val="1"/>
            <bubble3D val="0"/>
            <spPr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ln xmlns:a="http://schemas.openxmlformats.org/drawingml/2006/main"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 w="25400">
                <a:noFill/>
                <a:prstDash val="solid"/>
              </a:ln>
            </spPr>
            <txPr>
              <a:bodyPr xmlns:a="http://schemas.openxmlformats.org/drawingml/2006/main" wrap="square" lIns="38100" tIns="19050" rIns="38100" bIns="19050" anchor="ctr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1"/>
            <showSerName val="0"/>
            <showPercent val="0"/>
            <showBubbleSize val="0"/>
            <showLeaderLines val="1"/>
          </dLbls>
          <cat>
            <strRef>
              <f>'Test Report'!$F$11:$H$11</f>
              <strCache>
                <ptCount val="3"/>
                <pt idx="0">
                  <v>N</v>
                </pt>
                <pt idx="1">
                  <v>A</v>
                </pt>
                <pt idx="2">
                  <v>B</v>
                </pt>
              </strCache>
            </strRef>
          </cat>
          <val>
            <numRef>
              <f>'Test Report'!#REF!</f>
              <numCache>
                <formatCode>General</formatCode>
                <ptCount val="1"/>
                <pt idx="0">
                  <v>1</v>
                </pt>
              </numCache>
            </numRef>
          </val>
        </ser>
        <ser>
          <idx val="4"/>
          <order val="4"/>
          <spPr>
            <a:solidFill xmlns:a="http://schemas.openxmlformats.org/drawingml/2006/main">
              <a:srgbClr val="660066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9999FF"/>
              </a:solidFill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993366"/>
              </a:solidFill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FFFFCC"/>
              </a:solidFill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 w="25400">
                <a:noFill/>
                <a:prstDash val="solid"/>
              </a:ln>
            </spPr>
            <txPr>
              <a:bodyPr xmlns:a="http://schemas.openxmlformats.org/drawingml/2006/main" wrap="square" lIns="38100" tIns="19050" rIns="38100" bIns="19050" anchor="ctr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1"/>
            <showSerName val="0"/>
            <showPercent val="0"/>
            <showBubbleSize val="0"/>
            <showLeaderLines val="1"/>
          </dLbls>
          <cat>
            <strRef>
              <f>'Test Report'!$F$11:$H$11</f>
              <strCache>
                <ptCount val="3"/>
                <pt idx="0">
                  <v>N</v>
                </pt>
                <pt idx="1">
                  <v>A</v>
                </pt>
                <pt idx="2">
                  <v>B</v>
                </pt>
              </strCache>
            </strRef>
          </cat>
          <val>
            <numRef>
              <f>'Test Report'!$F$96:$H$96</f>
              <numCache>
                <formatCode>General</formatCode>
                <ptCount val="3"/>
                <pt idx="0">
                  <v>14</v>
                </pt>
                <pt idx="1">
                  <v>28</v>
                </pt>
                <pt idx="2">
                  <v>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6596754247824285"/>
          <y val="0.2982202129676756"/>
          <w val="0.3091794999309297"/>
          <h val="0.5090661956228856"/>
        </manualLayout>
      </layout>
      <overlay val="0"/>
      <spPr>
        <a:solidFill xmlns:a="http://schemas.openxmlformats.org/drawingml/2006/main">
          <a:srgbClr val="FFFFFF"/>
        </a:solidFill>
        <a:ln xmlns:a="http://schemas.openxmlformats.org/drawingml/2006/main" w="3175">
          <a:solidFill>
            <a:srgbClr val="000000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630" b="0" i="0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r>
            <a:t/>
          </a:r>
          <a:endParaRPr lang="en-US"/>
        </a:p>
      </txPr>
    </legend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3175">
      <a:solidFill>
        <a:srgbClr val="000000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100" b="1" i="0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/>
              <a:t>Passed Percent</a:t>
            </a:r>
          </a:p>
        </rich>
      </tx>
      <layout>
        <manualLayout>
          <xMode val="edge"/>
          <yMode val="edge"/>
          <wMode val="factor"/>
          <hMode val="factor"/>
          <x val="0.3654709131507815"/>
          <y val="0.03952592713475583"/>
        </manualLayout>
      </layout>
      <overlay val="0"/>
      <spPr>
        <a:noFill xmlns:a="http://schemas.openxmlformats.org/drawingml/2006/main"/>
        <a:ln xmlns:a="http://schemas.openxmlformats.org/drawingml/2006/main"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2309417040358744"/>
          <y val="0.2806329526790867"/>
          <w val="0.3385650224215246"/>
          <h val="0.5968390965428463"/>
        </manualLayout>
      </layout>
      <pieChart>
        <varyColors val="1"/>
        <ser>
          <idx val="0"/>
          <order val="0"/>
          <spPr>
            <a:solidFill xmlns:a="http://schemas.openxmlformats.org/drawingml/2006/main">
              <a:srgbClr val="9999FF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</spPr>
          <dPt>
            <idx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993366"/>
              </a:solidFill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FFFFCC"/>
              </a:solidFill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dPt>
          <dLbls>
            <numFmt formatCode="0%"/>
            <spPr>
              <a:noFill xmlns:a="http://schemas.openxmlformats.org/drawingml/2006/main"/>
              <a:ln xmlns:a="http://schemas.openxmlformats.org/drawingml/2006/main" w="25400">
                <a:noFill/>
                <a:prstDash val="solid"/>
              </a:ln>
            </spPr>
            <txPr>
              <a:bodyPr xmlns:a="http://schemas.openxmlformats.org/drawingml/2006/main" wrap="square" lIns="38100" tIns="19050" rIns="38100" bIns="19050" anchor="ctr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'Test Report'!$C$11:$E$11</f>
              <strCache>
                <ptCount val="3"/>
                <pt idx="0">
                  <v>Passed</v>
                </pt>
                <pt idx="1">
                  <v>Failed</v>
                </pt>
                <pt idx="2">
                  <v>Untested</v>
                </pt>
              </strCache>
            </strRef>
          </cat>
          <val>
            <numRef>
              <f>'Test Report'!$C$96:$E$96</f>
              <numCache>
                <formatCode>General</formatCode>
                <ptCount val="3"/>
                <pt idx="0">
                  <v>50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1"/>
          <order val="1"/>
          <spPr>
            <a:solidFill xmlns:a="http://schemas.openxmlformats.org/drawingml/2006/main">
              <a:srgbClr val="993366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9999FF"/>
              </a:solidFill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dPt>
          <dPt>
            <idx val="1"/>
            <bubble3D val="0"/>
            <spPr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FFFFCC"/>
              </a:solidFill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dPt>
          <dLbls>
            <numFmt formatCode="0%"/>
            <spPr>
              <a:noFill xmlns:a="http://schemas.openxmlformats.org/drawingml/2006/main"/>
              <a:ln xmlns:a="http://schemas.openxmlformats.org/drawingml/2006/main" w="25400">
                <a:noFill/>
                <a:prstDash val="solid"/>
              </a:ln>
            </spPr>
            <txPr>
              <a:bodyPr xmlns:a="http://schemas.openxmlformats.org/drawingml/2006/main" wrap="square" lIns="38100" tIns="19050" rIns="38100" bIns="19050" anchor="ctr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100" b="0" i="0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'Test Report'!$C$11:$E$11</f>
              <strCache>
                <ptCount val="3"/>
                <pt idx="0">
                  <v>Passed</v>
                </pt>
                <pt idx="1">
                  <v>Failed</v>
                </pt>
                <pt idx="2">
                  <v>Untested</v>
                </pt>
              </strCache>
            </strRef>
          </cat>
          <val>
            <numRef>
              <f>'Test Report'!$C$95:$E$95</f>
              <numCache>
                <formatCode>General</formatCode>
                <ptCount val="3"/>
              </numCache>
            </numRef>
          </val>
        </ser>
        <ser>
          <idx val="2"/>
          <order val="2"/>
          <spPr>
            <a:solidFill xmlns:a="http://schemas.openxmlformats.org/drawingml/2006/main">
              <a:srgbClr val="FFFFCC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9999FF"/>
              </a:solidFill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dPt>
          <dPt>
            <idx val="1"/>
            <bubble3D val="0"/>
            <spPr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ln xmlns:a="http://schemas.openxmlformats.org/drawingml/2006/main">
                <a:prstDash val="solid"/>
              </a:ln>
            </spPr>
          </dPt>
          <dLbls>
            <numFmt formatCode="0%"/>
            <spPr>
              <a:noFill xmlns:a="http://schemas.openxmlformats.org/drawingml/2006/main"/>
              <a:ln xmlns:a="http://schemas.openxmlformats.org/drawingml/2006/main" w="25400">
                <a:noFill/>
                <a:prstDash val="solid"/>
              </a:ln>
            </spPr>
            <txPr>
              <a:bodyPr xmlns:a="http://schemas.openxmlformats.org/drawingml/2006/main" wrap="square" lIns="38100" tIns="19050" rIns="38100" bIns="19050" anchor="ctr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100" b="0" i="0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'Test Report'!$C$11:$E$11</f>
              <strCache>
                <ptCount val="3"/>
                <pt idx="0">
                  <v>Passed</v>
                </pt>
                <pt idx="1">
                  <v>Failed</v>
                </pt>
                <pt idx="2">
                  <v>Untested</v>
                </pt>
              </strCache>
            </strRef>
          </cat>
          <val>
            <numRef>
              <f>'Test Report'!#REF!</f>
              <numCache>
                <formatCode>General</formatCode>
                <ptCount val="1"/>
                <pt idx="0">
                  <v>1</v>
                </pt>
              </numCache>
            </numRef>
          </val>
        </ser>
        <ser>
          <idx val="3"/>
          <order val="3"/>
          <spPr>
            <a:solidFill xmlns:a="http://schemas.openxmlformats.org/drawingml/2006/main">
              <a:srgbClr val="CCFFFF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9999FF"/>
              </a:solidFill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dPt>
          <dPt>
            <idx val="1"/>
            <bubble3D val="0"/>
            <spPr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ln xmlns:a="http://schemas.openxmlformats.org/drawingml/2006/main">
                <a:prstDash val="solid"/>
              </a:ln>
            </spPr>
          </dPt>
          <dLbls>
            <numFmt formatCode="0%"/>
            <spPr>
              <a:noFill xmlns:a="http://schemas.openxmlformats.org/drawingml/2006/main"/>
              <a:ln xmlns:a="http://schemas.openxmlformats.org/drawingml/2006/main" w="25400">
                <a:noFill/>
                <a:prstDash val="solid"/>
              </a:ln>
            </spPr>
            <txPr>
              <a:bodyPr xmlns:a="http://schemas.openxmlformats.org/drawingml/2006/main" wrap="square" lIns="38100" tIns="19050" rIns="38100" bIns="19050" anchor="ctr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100" b="0" i="0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'Test Report'!$C$11:$E$11</f>
              <strCache>
                <ptCount val="3"/>
                <pt idx="0">
                  <v>Passed</v>
                </pt>
                <pt idx="1">
                  <v>Failed</v>
                </pt>
                <pt idx="2">
                  <v>Untested</v>
                </pt>
              </strCache>
            </strRef>
          </cat>
          <val>
            <numRef>
              <f>'Test Report'!#REF!</f>
              <numCache>
                <formatCode>General</formatCode>
                <ptCount val="1"/>
                <pt idx="0">
                  <v>1</v>
                </pt>
              </numCache>
            </numRef>
          </val>
        </ser>
        <ser>
          <idx val="4"/>
          <order val="4"/>
          <spPr>
            <a:solidFill xmlns:a="http://schemas.openxmlformats.org/drawingml/2006/main">
              <a:srgbClr val="660066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9999FF"/>
              </a:solidFill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993366"/>
              </a:solidFill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FFFFCC"/>
              </a:solidFill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dPt>
          <dLbls>
            <numFmt formatCode="0%"/>
            <spPr>
              <a:noFill xmlns:a="http://schemas.openxmlformats.org/drawingml/2006/main"/>
              <a:ln xmlns:a="http://schemas.openxmlformats.org/drawingml/2006/main" w="25400">
                <a:noFill/>
                <a:prstDash val="solid"/>
              </a:ln>
            </spPr>
            <txPr>
              <a:bodyPr xmlns:a="http://schemas.openxmlformats.org/drawingml/2006/main" wrap="square" lIns="38100" tIns="19050" rIns="38100" bIns="19050" anchor="ctr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100" b="0" i="0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'Test Report'!$C$11:$E$11</f>
              <strCache>
                <ptCount val="3"/>
                <pt idx="0">
                  <v>Passed</v>
                </pt>
                <pt idx="1">
                  <v>Failed</v>
                </pt>
                <pt idx="2">
                  <v>Untested</v>
                </pt>
              </strCache>
            </strRef>
          </cat>
          <val>
            <numRef>
              <f>'Test Report'!$C$96:$E$96</f>
              <numCache>
                <formatCode>General</formatCode>
                <ptCount val="3"/>
                <pt idx="0">
                  <v>50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7802938320237273"/>
          <y val="0.4365213990528924"/>
          <w val="0.1905890106954506"/>
          <h val="0.3015966029819984"/>
        </manualLayout>
      </layout>
      <overlay val="0"/>
      <spPr>
        <a:solidFill xmlns:a="http://schemas.openxmlformats.org/drawingml/2006/main">
          <a:srgbClr val="FFFFFF"/>
        </a:solidFill>
        <a:ln xmlns:a="http://schemas.openxmlformats.org/drawingml/2006/main" w="3175">
          <a:solidFill>
            <a:srgbClr val="000000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780" b="0" i="0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r>
            <a:t/>
          </a:r>
          <a:endParaRPr lang="en-US"/>
        </a:p>
      </txPr>
    </legend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3175">
      <a:solidFill>
        <a:srgbClr val="000000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17</col>
      <colOff>98425</colOff>
      <row>1</row>
      <rowOff>222250</rowOff>
    </from>
    <to>
      <col>23</col>
      <colOff>12700</colOff>
      <row>16</row>
      <rowOff>28575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1752600</colOff>
      <row>1</row>
      <rowOff>139700</rowOff>
    </from>
    <to>
      <col>16</col>
      <colOff>285749</colOff>
      <row>16</row>
      <rowOff>146050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topLeftCell="A4" zoomScale="115" zoomScaleNormal="115" workbookViewId="0">
      <selection activeCell="A47" sqref="A47"/>
    </sheetView>
  </sheetViews>
  <sheetFormatPr baseColWidth="8" defaultColWidth="9" defaultRowHeight="14"/>
  <cols>
    <col width="119.453125" customWidth="1" style="133" min="1" max="1"/>
    <col width="11" customWidth="1" style="133" min="2" max="256"/>
    <col width="9" customWidth="1" style="133" min="257" max="16384"/>
  </cols>
  <sheetData>
    <row r="1" ht="22" customFormat="1" customHeight="1" s="130">
      <c r="A1" s="129" t="inlineStr">
        <is>
          <t>Guideline to make and understand Unit Test Case</t>
        </is>
      </c>
    </row>
    <row r="2" ht="22" customFormat="1" customHeight="1" s="130">
      <c r="A2" s="129" t="n"/>
    </row>
    <row r="3" ht="17.5" customFormat="1" customHeight="1" s="131">
      <c r="A3" s="134" t="inlineStr">
        <is>
          <t>1. Overview</t>
        </is>
      </c>
    </row>
    <row r="4" ht="15" customHeight="1" s="419">
      <c r="A4" s="137" t="inlineStr">
        <is>
          <t xml:space="preserve"> - In the template, Unit test cases are based on functions. Each sheet presents test cases for one function.</t>
        </is>
      </c>
    </row>
    <row r="5" ht="15" customHeight="1" s="419">
      <c r="A5" s="137" t="inlineStr">
        <is>
          <t xml:space="preserve"> - Cover: General information of the project and Unit Test cases</t>
        </is>
      </c>
    </row>
    <row r="6" ht="37.5" customHeight="1" s="419">
      <c r="A6" s="138" t="inlineStr">
        <is>
          <t xml:space="preserve"> - FunctionList: The list of Classes and Functions in the document. 
     + To control that the number of Unit TC meets customer's requirement or the norm, user should fill value for  
     'Normal number of Test cases/KLOC'. </t>
        </is>
      </c>
    </row>
    <row r="7" ht="29.25" customHeight="1" s="419">
      <c r="A7" s="138" t="inlineStr">
        <is>
          <t xml:space="preserve">     + Click on Function link to open the related Test cases of the function.  
     Note: You should create new Function sheet before creating the link</t>
        </is>
      </c>
    </row>
    <row r="8" ht="30" customHeight="1" s="419">
      <c r="A8" s="139" t="inlineStr">
        <is>
          <t xml:space="preserve"> - Test Report: provive the overview results of Functions Unit test: Test coverage, Test successful coverage 
    (Summary, for normal/abnormal/boundary cases)</t>
        </is>
      </c>
    </row>
    <row r="9" ht="16.5" customFormat="1" customHeight="1" s="142">
      <c r="A9" s="141" t="inlineStr">
        <is>
          <t xml:space="preserve">     Note:  Should check the formula of "Sub Total" if you add more functions</t>
        </is>
      </c>
    </row>
    <row r="10" ht="16.5" customHeight="1" s="419">
      <c r="A10" s="132" t="n"/>
    </row>
    <row r="11" ht="17.5" customFormat="1" customHeight="1" s="131">
      <c r="A11" s="134" t="inlineStr">
        <is>
          <t>2. Content in Test function sheet</t>
        </is>
      </c>
    </row>
    <row r="12" ht="15" customFormat="1" customHeight="1" s="135">
      <c r="A12" s="140" t="inlineStr">
        <is>
          <t>2.1 Combination of test cases.</t>
        </is>
      </c>
    </row>
    <row r="13" ht="37.5" customHeight="1" s="419">
      <c r="A13" s="137" t="inlineStr">
        <is>
      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      </is>
      </c>
    </row>
    <row r="14">
      <c r="A14" s="137" t="inlineStr">
        <is>
          <t xml:space="preserve"> - If the number of Unit TC does not meet the requirement, creator should explain the reasons.</t>
        </is>
      </c>
    </row>
    <row r="15" ht="25" customHeight="1" s="419">
      <c r="A15" s="138" t="inlineStr">
        <is>
          <t xml:space="preserve"> - If the number of  'Normal number test cases/KLOC' item in FunctionList sheet is not recorded, the number in 'Lack of test cases' is not calculated.</t>
        </is>
      </c>
    </row>
    <row r="16">
      <c r="A16" s="132" t="n"/>
    </row>
    <row r="17" ht="15" customFormat="1" customHeight="1" s="135">
      <c r="A17" s="140" t="inlineStr">
        <is>
          <t xml:space="preserve"> 2.2 Condition and confirmation of Test cases.</t>
        </is>
      </c>
    </row>
    <row r="18">
      <c r="A18" s="137" t="inlineStr">
        <is>
          <t xml:space="preserve"> Each test case is the combination of condition and confirmation.</t>
        </is>
      </c>
      <c r="B18" s="132" t="n"/>
    </row>
    <row r="19">
      <c r="A19" s="140" t="inlineStr">
        <is>
          <t>a. Condition:</t>
        </is>
      </c>
    </row>
    <row r="20">
      <c r="A20" s="137" t="inlineStr">
        <is>
          <t xml:space="preserve">        - Condition is combination of precondition and values of inputs.</t>
        </is>
      </c>
      <c r="B20" s="132" t="n"/>
    </row>
    <row r="21" ht="25" customHeight="1" s="419">
      <c r="A21" s="138" t="inlineStr">
        <is>
          <t xml:space="preserve">        - Precondition: it is setting condition that must exist before execution of the test case. 
                    Example: file A is precondition for the test case that needs to access file A.</t>
        </is>
      </c>
    </row>
    <row r="22">
      <c r="A22" s="137" t="inlineStr">
        <is>
          <t xml:space="preserve">        - Values of inputs: it includes 3 types of values: normal, boundary and abnormal.</t>
        </is>
      </c>
      <c r="B22" s="136" t="n"/>
    </row>
    <row r="23">
      <c r="A23" s="137" t="inlineStr">
        <is>
          <t xml:space="preserve">                . Normal values are values of inputs used mainly and usually to ensure the function works.</t>
        </is>
      </c>
      <c r="B23" s="132" t="n"/>
    </row>
    <row r="24">
      <c r="A24" s="137" t="inlineStr">
        <is>
          <t xml:space="preserve">                . Boundary values are limited values that contain upper and lower values.</t>
        </is>
      </c>
      <c r="B24" s="132" t="n"/>
    </row>
    <row r="25">
      <c r="A25" s="137" t="inlineStr">
        <is>
          <t xml:space="preserve">                . Abnormal values are non-expected values. And normally it processes exception cases.   </t>
        </is>
      </c>
      <c r="B25" s="132" t="n"/>
      <c r="C25" s="132" t="inlineStr">
        <is>
          <t xml:space="preserve"> </t>
        </is>
      </c>
      <c r="D25" s="132" t="inlineStr">
        <is>
          <t xml:space="preserve"> </t>
        </is>
      </c>
    </row>
    <row r="26">
      <c r="A26" s="137" t="inlineStr">
        <is>
          <t xml:space="preserve">        - For examples:</t>
        </is>
      </c>
    </row>
    <row r="27">
      <c r="A27" s="137" t="inlineStr">
        <is>
          <t xml:space="preserve">            Input value belongs to 5&lt;= input &lt;=10.</t>
        </is>
      </c>
      <c r="B27" s="132" t="n"/>
    </row>
    <row r="28">
      <c r="A28" s="137" t="inlineStr">
        <is>
          <t xml:space="preserve">               . 6,7,8,9 are normal values.</t>
        </is>
      </c>
    </row>
    <row r="29">
      <c r="A29" s="137" t="inlineStr">
        <is>
          <t xml:space="preserve">               . 5, 10 are boundary values.</t>
        </is>
      </c>
    </row>
    <row r="30">
      <c r="A30" s="137" t="inlineStr">
        <is>
          <t xml:space="preserve">               . -1, 11,... are abnormal values.   </t>
        </is>
      </c>
      <c r="B30" s="132" t="n"/>
      <c r="C30" s="132" t="inlineStr">
        <is>
          <t xml:space="preserve"> </t>
        </is>
      </c>
    </row>
    <row r="31">
      <c r="A31" s="140" t="inlineStr">
        <is>
          <t xml:space="preserve">b. Confirmation: </t>
        </is>
      </c>
    </row>
    <row r="32" ht="30" customHeight="1" s="419">
      <c r="A32" s="138" t="inlineStr">
        <is>
          <t xml:space="preserve">        - It is combination of expected result to check output of each function. 
          If the results are the same with confirmation, the test case is passed, other case it is failed. </t>
        </is>
      </c>
    </row>
    <row r="33">
      <c r="A33" s="137" t="inlineStr">
        <is>
          <t xml:space="preserve">        - Confirmation can include:</t>
        </is>
      </c>
    </row>
    <row r="34">
      <c r="A34" s="137" t="inlineStr">
        <is>
          <t xml:space="preserve">                + Output result of the function.</t>
        </is>
      </c>
    </row>
    <row r="35">
      <c r="A35" s="137" t="inlineStr">
        <is>
          <t xml:space="preserve">                + Output log messages in log file.</t>
        </is>
      </c>
      <c r="B35" s="132" t="n"/>
    </row>
    <row r="36">
      <c r="A36" s="137" t="inlineStr">
        <is>
          <t xml:space="preserve">                + Output screen message...</t>
        </is>
      </c>
      <c r="B36" s="132" t="n"/>
    </row>
    <row r="37">
      <c r="A37" s="140" t="inlineStr">
        <is>
          <t>c. Type of test cases and result:</t>
        </is>
      </c>
    </row>
    <row r="38">
      <c r="A38" s="137" t="inlineStr">
        <is>
          <t xml:space="preserve">        - Type of test case: It includes normal, boundary and abnormal test cases. User selects the type based on the type of input data.</t>
        </is>
      </c>
    </row>
    <row r="39" ht="37.5" customHeight="1" s="419">
      <c r="A39" s="139" t="inlineStr">
        <is>
          <t xml:space="preserve">        - Test case result: the actual output results comparing with the Confirmation.
                 P for Passed and F for Failed cases.
          It can 'OK' or 'NG' (it depends on habit of the teams or customers)</t>
        </is>
      </c>
      <c r="B39" s="132" t="n"/>
    </row>
    <row r="40">
      <c r="A40" s="139" t="n"/>
      <c r="B40" s="132" t="n"/>
    </row>
    <row r="41" ht="15" customFormat="1" customHeight="1" s="135">
      <c r="A41" s="140" t="inlineStr">
        <is>
          <t xml:space="preserve"> 2.3. Other items:</t>
        </is>
      </c>
    </row>
    <row r="42">
      <c r="A42" s="137" t="inlineStr">
        <is>
          <t xml:space="preserve"> - Function Code: it is ID of the function and updated automatically according to FunctionList sheet.</t>
        </is>
      </c>
    </row>
    <row r="43">
      <c r="A43" s="137" t="inlineStr">
        <is>
          <t xml:space="preserve"> - Function Name: it is name  of the function and updated automatically according to FunctionList sheet.</t>
        </is>
      </c>
    </row>
    <row r="44">
      <c r="A44" s="137" t="inlineStr">
        <is>
          <t xml:space="preserve"> - Created By: Name of creator.</t>
        </is>
      </c>
    </row>
    <row r="45">
      <c r="A45" s="137" t="inlineStr">
        <is>
          <t xml:space="preserve"> - Executed By: Name of person who executes the unit test</t>
        </is>
      </c>
    </row>
    <row r="46">
      <c r="A46" s="137" t="inlineStr">
        <is>
          <t xml:space="preserve"> - Lines of code: Number of Code line of the function.</t>
        </is>
      </c>
    </row>
    <row r="47">
      <c r="A47" s="137" t="inlineStr">
        <is>
          <t xml:space="preserve"> - Test requirement: Brief description about requirements which are tested in this function, it is not mandatory.</t>
        </is>
      </c>
    </row>
    <row r="48">
      <c r="A48" s="132" t="inlineStr">
        <is>
          <t xml:space="preserve">         </t>
        </is>
      </c>
    </row>
    <row r="49">
      <c r="A49" s="132" t="n"/>
    </row>
  </sheetData>
  <pageMargins left="0.75" right="0.75" top="0.7" bottom="0.65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topLeftCell="A2" zoomScaleNormal="100" workbookViewId="0">
      <selection activeCell="F7" sqref="F7"/>
    </sheetView>
  </sheetViews>
  <sheetFormatPr baseColWidth="8" defaultColWidth="9" defaultRowHeight="12.5"/>
  <cols>
    <col width="28.1796875" customWidth="1" style="21" min="1" max="1"/>
    <col width="10" customWidth="1" style="2" min="2" max="2"/>
    <col width="14.453125" customWidth="1" style="2" min="3" max="3"/>
    <col width="8" customWidth="1" style="2" min="4" max="4"/>
    <col width="100.90625" customWidth="1" style="2" min="5" max="5"/>
    <col width="48.1796875" customWidth="1" style="2" min="6" max="6"/>
    <col width="11" customWidth="1" style="2" min="7" max="256"/>
    <col width="9" customWidth="1" style="2" min="257" max="16384"/>
  </cols>
  <sheetData>
    <row r="1"/>
    <row r="2" ht="75.75" customFormat="1" customHeight="1" s="1">
      <c r="A2" s="245" t="n"/>
      <c r="B2" s="283" t="inlineStr">
        <is>
          <t>UNIT TEST CASE</t>
        </is>
      </c>
      <c r="C2" s="420" t="n"/>
      <c r="D2" s="420" t="n"/>
      <c r="E2" s="420" t="n"/>
      <c r="F2" s="421" t="n"/>
    </row>
    <row r="3">
      <c r="A3" s="3" t="n"/>
      <c r="B3" s="4" t="n"/>
      <c r="E3" s="5" t="n"/>
    </row>
    <row r="4" ht="14.25" customHeight="1" s="419">
      <c r="A4" s="143" t="inlineStr">
        <is>
          <t>Project Name</t>
        </is>
      </c>
      <c r="B4" s="422" t="inlineStr">
        <is>
          <t>InterDev</t>
        </is>
      </c>
      <c r="C4" s="420" t="n"/>
      <c r="D4" s="421" t="n"/>
      <c r="E4" s="143" t="inlineStr">
        <is>
          <t>Creator</t>
        </is>
      </c>
      <c r="F4" s="423" t="inlineStr">
        <is>
          <t>GitHub Copilot</t>
        </is>
      </c>
    </row>
    <row r="5" ht="14.25" customHeight="1" s="419">
      <c r="A5" s="143" t="inlineStr">
        <is>
          <t>Project Code</t>
        </is>
      </c>
      <c r="B5" s="422" t="inlineStr">
        <is>
          <t>INTERDEV</t>
        </is>
      </c>
      <c r="C5" s="420" t="n"/>
      <c r="D5" s="421" t="n"/>
      <c r="E5" s="143" t="inlineStr">
        <is>
          <t>Reviewer/Approver</t>
        </is>
      </c>
      <c r="F5" s="423" t="inlineStr">
        <is>
          <t>QA Team</t>
        </is>
      </c>
    </row>
    <row r="6" ht="15.75" customHeight="1" s="419">
      <c r="A6" s="285" t="inlineStr">
        <is>
          <t>Document Code</t>
        </is>
      </c>
      <c r="B6" s="424" t="inlineStr">
        <is>
          <t>INTERDEV_Unit_Test_EP270_EP284_v1.2</t>
        </is>
      </c>
      <c r="C6" s="425" t="n"/>
      <c r="D6" s="426" t="n"/>
      <c r="E6" s="143" t="inlineStr">
        <is>
          <t>Issue Date</t>
        </is>
      </c>
      <c r="F6" s="427" t="inlineStr">
        <is>
          <t>2026-04-06</t>
        </is>
      </c>
    </row>
    <row r="7" ht="13.5" customHeight="1" s="419">
      <c r="A7" s="428" t="n"/>
      <c r="B7" s="429" t="n"/>
      <c r="C7" s="430" t="n"/>
      <c r="D7" s="431" t="n"/>
      <c r="E7" s="143" t="inlineStr">
        <is>
          <t>Version</t>
        </is>
      </c>
      <c r="F7" s="432" t="inlineStr">
        <is>
          <t>1.2</t>
        </is>
      </c>
    </row>
    <row r="8">
      <c r="A8" s="144" t="n"/>
      <c r="B8" s="7" t="n"/>
      <c r="E8" s="8" t="n"/>
      <c r="F8" s="4" t="n"/>
    </row>
    <row r="9">
      <c r="A9" s="2" t="n"/>
    </row>
    <row r="10">
      <c r="A10" s="145" t="inlineStr">
        <is>
          <t>Record of change</t>
        </is>
      </c>
    </row>
    <row r="11" customFormat="1" s="9">
      <c r="A11" s="433" t="inlineStr">
        <is>
          <t>2026-04-06</t>
        </is>
      </c>
      <c r="B11" s="434" t="inlineStr">
        <is>
          <t>1.2</t>
        </is>
      </c>
      <c r="C11" s="434" t="inlineStr">
        <is>
          <t>Add task progress/discussion/submission endpoints</t>
        </is>
      </c>
      <c r="D11" s="434" t="inlineStr">
        <is>
          <t>A</t>
        </is>
      </c>
      <c r="E11" s="434" t="inlineStr">
        <is>
          <t>Generated evidence-driven unit test workbook for EP-270..EP-284 from executed Jest results.</t>
        </is>
      </c>
      <c r="F11" s="435" t="inlineStr">
        <is>
          <t>docs/test-evidence/tasks_ep270_284/jest-results.json</t>
        </is>
      </c>
    </row>
    <row r="12" ht="26.25" customFormat="1" customHeight="1" s="13">
      <c r="A12" s="271" t="n"/>
      <c r="B12" s="14" t="n"/>
      <c r="C12" s="15" t="n"/>
      <c r="D12" s="15" t="n"/>
      <c r="E12" s="16" t="n"/>
      <c r="F12" s="127" t="n"/>
    </row>
    <row r="13" ht="21.75" customFormat="1" customHeight="1" s="13">
      <c r="A13" s="274" t="n"/>
      <c r="B13" s="14" t="n"/>
      <c r="C13" s="15" t="n"/>
      <c r="D13" s="15" t="n"/>
      <c r="E13" s="15" t="n"/>
      <c r="F13" s="17" t="n"/>
    </row>
    <row r="14" ht="19.5" customFormat="1" customHeight="1" s="13">
      <c r="A14" s="274" t="n"/>
      <c r="B14" s="14" t="n"/>
      <c r="C14" s="15" t="n"/>
      <c r="D14" s="15" t="n"/>
      <c r="E14" s="15" t="n"/>
      <c r="F14" s="17" t="n"/>
    </row>
    <row r="15" ht="43" customFormat="1" customHeight="1" s="13">
      <c r="A15" s="274" t="n"/>
      <c r="B15" s="14" t="n"/>
      <c r="C15" s="15" t="n"/>
      <c r="D15" s="15" t="n"/>
      <c r="E15" s="273" t="n"/>
      <c r="F15" s="17" t="n"/>
    </row>
    <row r="16" ht="37" customFormat="1" customHeight="1" s="13">
      <c r="A16" s="274" t="n"/>
      <c r="B16" s="14" t="n"/>
      <c r="C16" s="15" t="n"/>
      <c r="D16" s="15" t="n"/>
      <c r="E16" s="273" t="n"/>
      <c r="F16" s="17" t="n"/>
    </row>
    <row r="17" ht="21.75" customFormat="1" customHeight="1" s="13">
      <c r="A17" s="274" t="n"/>
      <c r="B17" s="14" t="n"/>
      <c r="C17" s="15" t="n"/>
      <c r="D17" s="15" t="n"/>
      <c r="E17" s="15" t="n"/>
      <c r="F17" s="17" t="n"/>
    </row>
    <row r="18" ht="21.75" customFormat="1" customHeight="1" s="13">
      <c r="A18" s="276" t="n"/>
      <c r="B18" s="18" t="n"/>
      <c r="C18" s="19" t="n"/>
      <c r="D18" s="19" t="n"/>
      <c r="E18" s="19" t="n"/>
      <c r="F18" s="282" t="n"/>
    </row>
    <row r="19" ht="21.75" customFormat="1" customHeight="1" s="13">
      <c r="A19" s="276" t="n"/>
      <c r="B19" s="280" t="n"/>
      <c r="C19" s="281" t="n"/>
      <c r="D19" s="281" t="n"/>
      <c r="E19" s="281" t="n"/>
      <c r="F19" s="282" t="n"/>
    </row>
    <row r="20" ht="21.75" customFormat="1" customHeight="1" s="13">
      <c r="A20" s="279" t="n"/>
      <c r="B20" s="280" t="n"/>
      <c r="C20" s="281" t="n"/>
      <c r="D20" s="281" t="n"/>
      <c r="E20" s="281" t="n"/>
      <c r="F20" s="282" t="n"/>
    </row>
    <row r="21" ht="21.75" customFormat="1" customHeight="1" s="13">
      <c r="A21" s="279" t="n"/>
      <c r="B21" s="280" t="n"/>
      <c r="C21" s="281" t="n"/>
      <c r="D21" s="281" t="n"/>
      <c r="E21" s="281" t="n"/>
      <c r="F21" s="282" t="n"/>
    </row>
    <row r="22" ht="21.75" customFormat="1" customHeight="1" s="13">
      <c r="A22" s="279" t="n"/>
      <c r="B22" s="280" t="n"/>
      <c r="C22" s="281" t="n"/>
      <c r="D22" s="281" t="n"/>
      <c r="E22" s="281" t="n"/>
      <c r="F22" s="282" t="n"/>
    </row>
    <row r="23" ht="21.75" customFormat="1" customHeight="1" s="13">
      <c r="A23" s="279" t="n"/>
      <c r="B23" s="280" t="n"/>
      <c r="C23" s="281" t="n"/>
      <c r="D23" s="281" t="n"/>
      <c r="E23" s="281" t="n"/>
      <c r="F23" s="282" t="n"/>
    </row>
    <row r="24" ht="21.75" customFormat="1" customHeight="1" s="13">
      <c r="A24" s="279" t="n"/>
      <c r="B24" s="280" t="n"/>
      <c r="C24" s="281" t="n"/>
      <c r="D24" s="281" t="n"/>
      <c r="E24" s="281" t="n"/>
      <c r="F24" s="282" t="n"/>
    </row>
    <row r="25" ht="21.75" customFormat="1" customHeight="1" s="13">
      <c r="A25" s="279" t="n"/>
      <c r="B25" s="280" t="n"/>
      <c r="C25" s="281" t="n"/>
      <c r="D25" s="281" t="n"/>
      <c r="E25" s="281" t="n"/>
      <c r="F25" s="282" t="n"/>
    </row>
    <row r="26" ht="19.5" customFormat="1" customHeight="1" s="13">
      <c r="A26" s="276" t="n"/>
      <c r="B26" s="18" t="n"/>
      <c r="C26" s="19" t="n"/>
      <c r="D26" s="19" t="n"/>
      <c r="E26" s="19" t="n"/>
      <c r="F26" s="20" t="n"/>
    </row>
  </sheetData>
  <mergeCells count="5">
    <mergeCell ref="B5:D5"/>
    <mergeCell ref="B6:D7"/>
    <mergeCell ref="B2:F2"/>
    <mergeCell ref="B4:D4"/>
    <mergeCell ref="A6:A7"/>
  </mergeCells>
  <pageMargins left="0.4701388888888889" right="0.4701388888888889" top="0.5" bottom="0.3513888888888889" header="0.5118055555555556" footer="0.1701388888888889"/>
  <pageSetup orientation="landscape" paperSize="9" firstPageNumber="0" horizontalDpi="300" verticalDpi="300"/>
  <headerFooter alignWithMargins="0">
    <oddHeader/>
    <oddFooter>&amp;L&amp;"Tahoma,Regular"&amp;8 02ae-BM/PM/HDCV/FSOFT v2/1&amp;C&amp;"Tahoma,Regular"&amp;8 Internal use&amp;R&amp;"tahomaTahoma,Regular"&amp;8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zoomScaleNormal="100" workbookViewId="0">
      <selection activeCell="E27" sqref="E27"/>
    </sheetView>
  </sheetViews>
  <sheetFormatPr baseColWidth="8" defaultColWidth="9" defaultRowHeight="12.5"/>
  <cols>
    <col width="7.1796875" customWidth="1" style="48" min="1" max="1"/>
    <col width="22.81640625" customWidth="1" style="48" min="2" max="2"/>
    <col width="19.36328125" customWidth="1" style="48" min="3" max="3"/>
    <col width="30.81640625" customWidth="1" style="22" min="4" max="4"/>
    <col width="24.90625" customWidth="1" style="23" min="5" max="5"/>
    <col width="31.81640625" customWidth="1" style="22" min="6" max="6"/>
    <col width="30.6328125" customWidth="1" style="22" min="7" max="7"/>
    <col width="33.81640625" customWidth="1" style="22" min="8" max="8"/>
    <col width="11" customWidth="1" style="5" min="9" max="256"/>
    <col width="9" customWidth="1" style="5" min="257" max="16384"/>
  </cols>
  <sheetData>
    <row r="1">
      <c r="A1" s="255" t="n"/>
      <c r="B1" s="255" t="n"/>
      <c r="C1" s="255" t="n"/>
      <c r="D1" s="250" t="n"/>
      <c r="E1" s="253" t="n"/>
      <c r="F1" s="250" t="n"/>
      <c r="G1" s="250" t="n"/>
      <c r="H1" s="250" t="n"/>
    </row>
    <row r="2" ht="24.5" customHeight="1" s="419">
      <c r="A2" s="249" t="n"/>
      <c r="B2" s="249" t="n"/>
      <c r="C2" s="249" t="n"/>
      <c r="D2" s="250" t="n"/>
      <c r="E2" s="251" t="inlineStr">
        <is>
          <t>UNIT TEST CASE LIST</t>
        </is>
      </c>
      <c r="F2" s="251" t="n"/>
      <c r="G2" s="252" t="n"/>
      <c r="H2" s="250" t="n"/>
    </row>
    <row r="3" ht="13.5" customHeight="1" s="419">
      <c r="A3" s="249" t="n"/>
      <c r="B3" s="249" t="n"/>
      <c r="C3" s="249" t="n"/>
      <c r="D3" s="250" t="n"/>
      <c r="E3" s="253" t="n"/>
      <c r="F3" s="254" t="n"/>
      <c r="G3" s="254" t="n"/>
      <c r="H3" s="250" t="n"/>
    </row>
    <row r="4" ht="14.25" customHeight="1" s="419">
      <c r="A4" s="288" t="inlineStr">
        <is>
          <t>Project Name</t>
        </is>
      </c>
      <c r="B4" s="420" t="n"/>
      <c r="C4" s="420" t="n"/>
      <c r="D4" s="420" t="n"/>
      <c r="E4" s="436" t="inlineStr">
        <is>
          <t>InterDev</t>
        </is>
      </c>
      <c r="F4" s="420" t="n"/>
      <c r="G4" s="420" t="n"/>
      <c r="H4" s="421" t="n"/>
    </row>
    <row r="5" ht="14.25" customHeight="1" s="419">
      <c r="A5" s="288" t="inlineStr">
        <is>
          <t>Project Code</t>
        </is>
      </c>
      <c r="B5" s="420" t="n"/>
      <c r="C5" s="420" t="n"/>
      <c r="D5" s="420" t="n"/>
      <c r="E5" s="436" t="inlineStr">
        <is>
          <t>INTERDEV</t>
        </is>
      </c>
      <c r="F5" s="420" t="n"/>
      <c r="G5" s="420" t="n"/>
      <c r="H5" s="421" t="n"/>
    </row>
    <row r="6" ht="14.25" customHeight="1" s="419">
      <c r="A6" s="437" t="inlineStr">
        <is>
          <t xml:space="preserve">Normal number of Test cases/KLOC </t>
        </is>
      </c>
      <c r="B6" s="420" t="n"/>
      <c r="C6" s="420" t="n"/>
      <c r="D6" s="421" t="n"/>
      <c r="E6" s="438" t="n">
        <v>300</v>
      </c>
      <c r="F6" s="290" t="n"/>
      <c r="G6" s="290" t="n"/>
      <c r="H6" s="291" t="n"/>
    </row>
    <row r="7" ht="51" customFormat="1" customHeight="1" s="24">
      <c r="A7" s="287" t="inlineStr">
        <is>
          <t>Test Environment Setup Description</t>
        </is>
      </c>
      <c r="B7" s="420" t="n"/>
      <c r="C7" s="420" t="n"/>
      <c r="D7" s="421" t="n"/>
      <c r="E7" s="439" t="inlineStr">
        <is>
          <t>1. Backend API: NestJS controller unit-test harness with mocked dependencies
2. Runtime: Node.js 22.x, Yarn 1.22.x
3. Test framework: Jest + ts-jest
4. Evidence source: tasks.controller.ep270-ep284.spec.ts with executed Jest JSON</t>
        </is>
      </c>
      <c r="F7" s="420" t="n"/>
      <c r="G7" s="420" t="n"/>
      <c r="H7" s="421" t="n"/>
    </row>
    <row r="8" ht="12.75" customHeight="1" s="419">
      <c r="A8" s="25" t="n"/>
      <c r="B8" s="25" t="n"/>
      <c r="C8" s="25" t="n"/>
      <c r="D8" s="5" t="n"/>
      <c r="E8" s="24" t="n"/>
      <c r="F8" s="5" t="n"/>
      <c r="G8" s="5" t="n"/>
      <c r="H8" s="5" t="n"/>
    </row>
    <row r="9" ht="12.75" customFormat="1" customHeight="1" s="29">
      <c r="A9" s="26" t="n"/>
      <c r="B9" s="26" t="n"/>
      <c r="C9" s="26" t="n"/>
      <c r="D9" s="27" t="n"/>
      <c r="E9" s="28" t="n"/>
      <c r="F9" s="27" t="n"/>
      <c r="G9" s="27" t="n"/>
      <c r="H9" s="27" t="n"/>
    </row>
    <row r="10" ht="24" customFormat="1" customHeight="1" s="37">
      <c r="A10" s="30" t="inlineStr">
        <is>
          <t>No</t>
        </is>
      </c>
      <c r="B10" s="31" t="inlineStr">
        <is>
          <t>Requirement
Name</t>
        </is>
      </c>
      <c r="C10" s="32" t="inlineStr">
        <is>
          <t>Class Name</t>
        </is>
      </c>
      <c r="D10" s="33" t="inlineStr">
        <is>
          <t>Function Name</t>
        </is>
      </c>
      <c r="E10" s="34" t="inlineStr">
        <is>
          <t xml:space="preserve"> Function Code(Optional)</t>
        </is>
      </c>
      <c r="F10" s="33" t="inlineStr">
        <is>
          <t>Sheet Name</t>
        </is>
      </c>
      <c r="G10" s="35" t="inlineStr">
        <is>
          <t>Description</t>
        </is>
      </c>
      <c r="H10" s="36" t="inlineStr">
        <is>
          <t>Pre-Condition</t>
        </is>
      </c>
    </row>
    <row r="11" ht="13" customHeight="1" s="419">
      <c r="A11" s="440" t="n">
        <v>1</v>
      </c>
      <c r="B11" s="441" t="inlineStr">
        <is>
          <t>UC-36 View Current Progress</t>
        </is>
      </c>
      <c r="C11" s="441" t="inlineStr">
        <is>
          <t>TasksController</t>
        </is>
      </c>
      <c r="D11" s="442" t="inlineStr">
        <is>
          <t>Get Project Recent Activity</t>
        </is>
      </c>
      <c r="E11" s="442" t="inlineStr">
        <is>
          <t>EP-270</t>
        </is>
      </c>
      <c r="F11" s="443" t="inlineStr">
        <is>
          <t>Get Project Recent Activity</t>
        </is>
      </c>
      <c r="G11" s="444" t="inlineStr">
        <is>
          <t>GET /tasks/project/:projectId/recent-activity</t>
        </is>
      </c>
      <c r="H11" s="445" t="inlineStr">
        <is>
          <t>Authenticated user exists | Project id is provided</t>
        </is>
      </c>
    </row>
    <row r="12" ht="13" customHeight="1" s="419">
      <c r="A12" s="440" t="n">
        <v>2</v>
      </c>
      <c r="B12" s="441" t="inlineStr">
        <is>
          <t>UC-36 View Current Progress</t>
        </is>
      </c>
      <c r="C12" s="441" t="inlineStr">
        <is>
          <t>TasksController</t>
        </is>
      </c>
      <c r="D12" s="442" t="inlineStr">
        <is>
          <t>Get Task History</t>
        </is>
      </c>
      <c r="E12" s="442" t="inlineStr">
        <is>
          <t>EP-271</t>
        </is>
      </c>
      <c r="F12" s="443" t="inlineStr">
        <is>
          <t>Get Task History</t>
        </is>
      </c>
      <c r="G12" s="444" t="inlineStr">
        <is>
          <t>GET /tasks/:id/history</t>
        </is>
      </c>
      <c r="H12" s="445" t="inlineStr">
        <is>
          <t>Authenticated user exists | Task id is provided</t>
        </is>
      </c>
    </row>
    <row r="13" ht="13" customHeight="1" s="419">
      <c r="A13" s="440" t="n">
        <v>3</v>
      </c>
      <c r="B13" s="441" t="inlineStr">
        <is>
          <t>UC-37 Discussion</t>
        </is>
      </c>
      <c r="C13" s="441" t="inlineStr">
        <is>
          <t>TasksController</t>
        </is>
      </c>
      <c r="D13" s="442" t="inlineStr">
        <is>
          <t>Get Task Comments</t>
        </is>
      </c>
      <c r="E13" s="442" t="inlineStr">
        <is>
          <t>EP-272</t>
        </is>
      </c>
      <c r="F13" s="443" t="inlineStr">
        <is>
          <t>Get Task Comments</t>
        </is>
      </c>
      <c r="G13" s="444" t="inlineStr">
        <is>
          <t>GET /tasks/:id/comments</t>
        </is>
      </c>
      <c r="H13" s="445" t="inlineStr">
        <is>
          <t>Authenticated user exists | Task id is provided</t>
        </is>
      </c>
    </row>
    <row r="14" ht="13" customHeight="1" s="419">
      <c r="A14" s="440" t="n">
        <v>4</v>
      </c>
      <c r="B14" s="441" t="inlineStr">
        <is>
          <t>UC-59 Submit Done Item; UC-106 Review Done Item</t>
        </is>
      </c>
      <c r="C14" s="441" t="inlineStr">
        <is>
          <t>TasksController</t>
        </is>
      </c>
      <c r="D14" s="442" t="inlineStr">
        <is>
          <t>Get Task Submissions</t>
        </is>
      </c>
      <c r="E14" s="442" t="inlineStr">
        <is>
          <t>EP-274</t>
        </is>
      </c>
      <c r="F14" s="443" t="inlineStr">
        <is>
          <t>Get Task Submissions</t>
        </is>
      </c>
      <c r="G14" s="444" t="inlineStr">
        <is>
          <t>GET /tasks/:id/submissions</t>
        </is>
      </c>
      <c r="H14" s="445" t="inlineStr">
        <is>
          <t>Authenticated user exists | Task id is provided</t>
        </is>
      </c>
    </row>
    <row r="15" ht="13" customHeight="1" s="419">
      <c r="A15" s="440" t="n">
        <v>5</v>
      </c>
      <c r="B15" s="441" t="inlineStr">
        <is>
          <t>UC-37 Discussion</t>
        </is>
      </c>
      <c r="C15" s="441" t="inlineStr">
        <is>
          <t>TasksController</t>
        </is>
      </c>
      <c r="D15" s="442" t="inlineStr">
        <is>
          <t>Upload Attachment</t>
        </is>
      </c>
      <c r="E15" s="442" t="inlineStr">
        <is>
          <t>EP-280</t>
        </is>
      </c>
      <c r="F15" s="443" t="inlineStr">
        <is>
          <t>Upload Attachment</t>
        </is>
      </c>
      <c r="G15" s="444" t="inlineStr">
        <is>
          <t>POST /tasks/upload-attachment</t>
        </is>
      </c>
      <c r="H15" s="445" t="inlineStr">
        <is>
          <t>Authenticated user exists | Multipart file is provided</t>
        </is>
      </c>
    </row>
    <row r="16" ht="13" customHeight="1" s="419">
      <c r="A16" s="440" t="n">
        <v>6</v>
      </c>
      <c r="B16" s="441" t="inlineStr">
        <is>
          <t>UC-37 Discussion</t>
        </is>
      </c>
      <c r="C16" s="441" t="inlineStr">
        <is>
          <t>TasksController</t>
        </is>
      </c>
      <c r="D16" s="442" t="inlineStr">
        <is>
          <t>Add Comment</t>
        </is>
      </c>
      <c r="E16" s="442" t="inlineStr">
        <is>
          <t>EP-281</t>
        </is>
      </c>
      <c r="F16" s="443" t="inlineStr">
        <is>
          <t>Add Comment</t>
        </is>
      </c>
      <c r="G16" s="444" t="inlineStr">
        <is>
          <t>POST /tasks/:id/comments</t>
        </is>
      </c>
      <c r="H16" s="445" t="inlineStr">
        <is>
          <t>Authenticated user exists | Task id is provided</t>
        </is>
      </c>
    </row>
    <row r="17" ht="13" customHeight="1" s="419">
      <c r="A17" s="440" t="n">
        <v>7</v>
      </c>
      <c r="B17" s="441" t="inlineStr">
        <is>
          <t>UC-59 Submit Done Item</t>
        </is>
      </c>
      <c r="C17" s="441" t="inlineStr">
        <is>
          <t>TasksController</t>
        </is>
      </c>
      <c r="D17" s="442" t="inlineStr">
        <is>
          <t>Submit Work</t>
        </is>
      </c>
      <c r="E17" s="442" t="inlineStr">
        <is>
          <t>EP-283</t>
        </is>
      </c>
      <c r="F17" s="443" t="inlineStr">
        <is>
          <t>Submit Work</t>
        </is>
      </c>
      <c r="G17" s="444" t="inlineStr">
        <is>
          <t>POST /tasks/:id/submissions</t>
        </is>
      </c>
      <c r="H17" s="445" t="inlineStr">
        <is>
          <t>Authenticated user exists | Task id is provided</t>
        </is>
      </c>
    </row>
    <row r="18" ht="13" customHeight="1" s="419">
      <c r="A18" s="440" t="n">
        <v>8</v>
      </c>
      <c r="B18" s="441" t="inlineStr">
        <is>
          <t>UC-106 Review Done Item</t>
        </is>
      </c>
      <c r="C18" s="441" t="inlineStr">
        <is>
          <t>TasksController</t>
        </is>
      </c>
      <c r="D18" s="442" t="inlineStr">
        <is>
          <t>Review Submission</t>
        </is>
      </c>
      <c r="E18" s="442" t="inlineStr">
        <is>
          <t>EP-284</t>
        </is>
      </c>
      <c r="F18" s="443" t="inlineStr">
        <is>
          <t>Review Submission</t>
        </is>
      </c>
      <c r="G18" s="444" t="inlineStr">
        <is>
          <t>PATCH /tasks/:id/submissions/:submissionId/review</t>
        </is>
      </c>
      <c r="H18" s="445" t="inlineStr">
        <is>
          <t>Reviewer user context is provided | Submission exists for task</t>
        </is>
      </c>
    </row>
    <row r="19" ht="13" customHeight="1" s="419"/>
    <row r="20" ht="13" customHeight="1" s="419"/>
    <row r="21" ht="13" customHeight="1" s="419"/>
    <row r="22" ht="13" customHeight="1" s="419"/>
    <row r="23" ht="13" customHeight="1" s="419"/>
    <row r="24" ht="13" customHeight="1" s="419"/>
    <row r="25" ht="13" customHeight="1" s="419"/>
    <row r="26" ht="13" customHeight="1" s="419"/>
    <row r="27" ht="13" customHeight="1" s="419"/>
    <row r="28" ht="13" customHeight="1" s="419"/>
    <row r="29" ht="13" customHeight="1" s="419"/>
    <row r="30" ht="13" customHeight="1" s="419"/>
    <row r="31" ht="13" customHeight="1" s="419"/>
    <row r="32" ht="13" customHeight="1" s="419"/>
    <row r="33" ht="13" customHeight="1" s="419"/>
    <row r="34" ht="13" customHeight="1" s="419"/>
    <row r="35" ht="13" customHeight="1" s="419"/>
    <row r="36" ht="13" customHeight="1" s="419"/>
    <row r="37" ht="13" customHeight="1" s="419"/>
    <row r="38" ht="13" customHeight="1" s="419"/>
    <row r="39" ht="13" customHeight="1" s="419"/>
    <row r="40" ht="13" customHeight="1" s="419"/>
    <row r="41" ht="13" customHeight="1" s="419"/>
    <row r="42" ht="13" customHeight="1" s="419"/>
    <row r="43" ht="13" customHeight="1" s="419"/>
    <row r="44" ht="13" customHeight="1" s="419"/>
    <row r="45" ht="13" customHeight="1" s="419"/>
    <row r="46" ht="13" customHeight="1" s="419"/>
    <row r="47" ht="13" customHeight="1" s="419"/>
    <row r="48" ht="13" customHeight="1" s="419"/>
    <row r="49" ht="13" customHeight="1" s="419"/>
    <row r="50" ht="13" customHeight="1" s="419"/>
    <row r="51" ht="13" customHeight="1" s="419"/>
    <row r="52" ht="13" customHeight="1" s="419"/>
    <row r="53" ht="13" customHeight="1" s="419"/>
    <row r="54" ht="13" customHeight="1" s="419"/>
    <row r="55" ht="13" customHeight="1" s="419"/>
    <row r="56" ht="13" customHeight="1" s="419"/>
    <row r="57" ht="13" customHeight="1" s="419"/>
    <row r="58" ht="13" customHeight="1" s="419"/>
    <row r="59" ht="13" customHeight="1" s="419"/>
  </sheetData>
  <mergeCells count="7">
    <mergeCell ref="A5:D5"/>
    <mergeCell ref="A6:D6"/>
    <mergeCell ref="A4:D4"/>
    <mergeCell ref="E4:H4"/>
    <mergeCell ref="A7:D7"/>
    <mergeCell ref="E7:H7"/>
    <mergeCell ref="E5:H5"/>
  </mergeCells>
  <pageMargins left="0.65" right="0.65" top="0.75" bottom="0.75" header="0.5" footer="0.5"/>
  <pageSetup orientation="landscape" paperSize="9" firstPageNumber="0" horizontalDpi="300" verticalDpi="300"/>
  <headerFooter alignWithMargins="0">
    <oddHeader/>
    <oddFooter>&amp;L&amp;"Tahoma,Regular"&amp;8 02ae-BM/PM/HDCV/FSOFT v2/1&amp;C&amp;"Tahoma,Regular"&amp;8 Internal use&amp;R&amp;"Tahoma,Regular"&amp;8 &amp;P/&amp;N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tabSelected="1" zoomScaleNormal="100" workbookViewId="0">
      <selection activeCell="B6" sqref="B6:C6"/>
    </sheetView>
  </sheetViews>
  <sheetFormatPr baseColWidth="8" defaultColWidth="9" defaultRowHeight="12.5"/>
  <cols>
    <col width="15.453125" customWidth="1" style="5" min="1" max="1"/>
    <col width="26.54296875" customWidth="1" style="5" min="2" max="2"/>
    <col width="12.1796875" customWidth="1" style="5" min="3" max="3"/>
    <col width="9.54296875" customWidth="1" style="5" min="4" max="4"/>
    <col width="9.81640625" customWidth="1" style="5" min="5" max="5"/>
    <col width="5.1796875" customWidth="1" style="5" min="6" max="8"/>
    <col width="21" customWidth="1" style="5" min="9" max="9"/>
    <col width="33.1796875" customWidth="1" style="5" min="10" max="10"/>
    <col width="11" customWidth="1" style="5" min="11" max="256"/>
    <col width="9" customWidth="1" style="5" min="257" max="16384"/>
  </cols>
  <sheetData>
    <row r="1">
      <c r="A1" s="263" t="n"/>
      <c r="B1" s="263" t="n"/>
      <c r="C1" s="263" t="n"/>
      <c r="D1" s="263" t="n"/>
      <c r="E1" s="263" t="n"/>
      <c r="F1" s="263" t="n"/>
      <c r="G1" s="263" t="n"/>
      <c r="H1" s="263" t="n"/>
      <c r="I1" s="263" t="n"/>
    </row>
    <row r="2" ht="25.5" customHeight="1" s="419">
      <c r="A2" s="304" t="inlineStr">
        <is>
          <t>UNIT TEST REPORT</t>
        </is>
      </c>
    </row>
    <row r="3" ht="14.25" customHeight="1" s="419">
      <c r="A3" s="264" t="n"/>
      <c r="B3" s="265" t="n"/>
      <c r="C3" s="265" t="n"/>
      <c r="D3" s="265" t="n"/>
      <c r="E3" s="265" t="n"/>
      <c r="F3" s="265" t="n"/>
      <c r="G3" s="265" t="n"/>
      <c r="H3" s="265" t="n"/>
      <c r="I3" s="266" t="n"/>
    </row>
    <row r="4" ht="13.5" customHeight="1" s="419">
      <c r="A4" s="285" t="inlineStr">
        <is>
          <t>Project Name</t>
        </is>
      </c>
      <c r="B4" s="446" t="inlineStr">
        <is>
          <t>InterDev</t>
        </is>
      </c>
      <c r="C4" s="421" t="n"/>
      <c r="D4" s="302" t="inlineStr">
        <is>
          <t>Creator</t>
        </is>
      </c>
      <c r="E4" s="421" t="n"/>
      <c r="F4" s="446" t="inlineStr">
        <is>
          <t>GitHub Copilot</t>
        </is>
      </c>
      <c r="G4" s="420" t="n"/>
      <c r="H4" s="420" t="n"/>
      <c r="I4" s="421" t="n"/>
    </row>
    <row r="5" ht="13.5" customHeight="1" s="419">
      <c r="A5" s="285" t="inlineStr">
        <is>
          <t>Project Code</t>
        </is>
      </c>
      <c r="B5" s="446" t="inlineStr">
        <is>
          <t>INTERDEV</t>
        </is>
      </c>
      <c r="C5" s="421" t="n"/>
      <c r="D5" s="302" t="inlineStr">
        <is>
          <t>Reviewer/Approver</t>
        </is>
      </c>
      <c r="E5" s="421" t="n"/>
      <c r="F5" s="446" t="inlineStr">
        <is>
          <t>QA Team</t>
        </is>
      </c>
      <c r="G5" s="420" t="n"/>
      <c r="H5" s="420" t="n"/>
      <c r="I5" s="421" t="n"/>
    </row>
    <row r="6" ht="12.75" customHeight="1" s="419">
      <c r="A6" s="155" t="inlineStr">
        <is>
          <t>Document Code</t>
        </is>
      </c>
      <c r="B6" s="446" t="inlineStr">
        <is>
          <t>SEP492_Unit Test Report_v1.2</t>
        </is>
      </c>
      <c r="C6" s="421" t="n"/>
      <c r="D6" s="302" t="inlineStr">
        <is>
          <t>Issue Date</t>
        </is>
      </c>
      <c r="E6" s="421" t="n"/>
      <c r="F6" s="447" t="inlineStr">
        <is>
          <t>2026-04-06</t>
        </is>
      </c>
      <c r="G6" s="420" t="n"/>
      <c r="H6" s="420" t="n"/>
      <c r="I6" s="421" t="n"/>
    </row>
    <row r="7" ht="15.75" customHeight="1" s="419">
      <c r="A7" s="155" t="inlineStr">
        <is>
          <t>Notes</t>
        </is>
      </c>
      <c r="B7" s="448" t="inlineStr">
        <is>
          <t>Scope includes EP-270, EP-271, EP-272, EP-274, EP-280, EP-281, EP-283, EP-284 for UC-36, UC-37, UC-59, UC-106.</t>
        </is>
      </c>
      <c r="C7" s="420" t="n"/>
      <c r="D7" s="420" t="n"/>
      <c r="E7" s="420" t="n"/>
      <c r="F7" s="420" t="n"/>
      <c r="G7" s="420" t="n"/>
      <c r="H7" s="420" t="n"/>
      <c r="I7" s="421" t="n"/>
    </row>
    <row r="8" ht="14.25" customHeight="1" s="419">
      <c r="A8" s="51" t="n"/>
      <c r="B8" s="52" t="n"/>
      <c r="C8" s="49" t="n"/>
      <c r="D8" s="49" t="n"/>
      <c r="E8" s="49" t="n"/>
      <c r="F8" s="49" t="n"/>
      <c r="G8" s="49" t="n"/>
      <c r="H8" s="49" t="n"/>
      <c r="I8" s="50" t="n"/>
    </row>
    <row r="9">
      <c r="A9" s="51" t="n"/>
      <c r="B9" s="52" t="n"/>
      <c r="C9" s="49" t="n"/>
      <c r="D9" s="49" t="n"/>
      <c r="E9" s="49" t="n"/>
      <c r="F9" s="49" t="n"/>
      <c r="G9" s="49" t="n"/>
      <c r="H9" s="49" t="n"/>
      <c r="I9" s="50" t="n"/>
    </row>
    <row r="10"/>
    <row r="11" ht="14.25" customHeight="1" s="419">
      <c r="A11" s="53" t="inlineStr">
        <is>
          <t>No</t>
        </is>
      </c>
      <c r="B11" s="54" t="inlineStr">
        <is>
          <t>Function code</t>
        </is>
      </c>
      <c r="C11" s="55" t="inlineStr">
        <is>
          <t>Passed</t>
        </is>
      </c>
      <c r="D11" s="54" t="inlineStr">
        <is>
          <t>Failed</t>
        </is>
      </c>
      <c r="E11" s="56" t="inlineStr">
        <is>
          <t>Untested</t>
        </is>
      </c>
      <c r="F11" s="56" t="inlineStr">
        <is>
          <t>N</t>
        </is>
      </c>
      <c r="G11" s="56" t="inlineStr">
        <is>
          <t>A</t>
        </is>
      </c>
      <c r="H11" s="56" t="inlineStr">
        <is>
          <t>B</t>
        </is>
      </c>
      <c r="I11" s="57" t="inlineStr">
        <is>
          <t>Total Test Cases</t>
        </is>
      </c>
    </row>
    <row r="12" ht="13" customHeight="1" s="419">
      <c r="A12" s="449" t="n">
        <v>1</v>
      </c>
      <c r="B12" s="450" t="inlineStr">
        <is>
          <t>EP-270</t>
        </is>
      </c>
      <c r="C12" s="451">
        <f>'Get Project Recent Activity'!$A$7</f>
        <v/>
      </c>
      <c r="D12" s="451">
        <f>'Get Project Recent Activity'!$C$7</f>
        <v/>
      </c>
      <c r="E12" s="451">
        <f>'Get Project Recent Activity'!$F$7</f>
        <v/>
      </c>
      <c r="F12" s="451">
        <f>'Get Project Recent Activity'!$L$7</f>
        <v/>
      </c>
      <c r="G12" s="451">
        <f>'Get Project Recent Activity'!$M$7</f>
        <v/>
      </c>
      <c r="H12" s="451">
        <f>'Get Project Recent Activity'!$N$7</f>
        <v/>
      </c>
      <c r="I12" s="451">
        <f>'Get Project Recent Activity'!$O$7</f>
        <v/>
      </c>
    </row>
    <row r="13" ht="13" customHeight="1" s="419">
      <c r="A13" s="449" t="n">
        <v>2</v>
      </c>
      <c r="B13" s="450" t="inlineStr">
        <is>
          <t>EP-271</t>
        </is>
      </c>
      <c r="C13" s="451">
        <f>'Get Task History'!$A$7</f>
        <v/>
      </c>
      <c r="D13" s="451">
        <f>'Get Task History'!$C$7</f>
        <v/>
      </c>
      <c r="E13" s="451">
        <f>'Get Task History'!$F$7</f>
        <v/>
      </c>
      <c r="F13" s="451">
        <f>'Get Task History'!$L$7</f>
        <v/>
      </c>
      <c r="G13" s="451">
        <f>'Get Task History'!$M$7</f>
        <v/>
      </c>
      <c r="H13" s="451">
        <f>'Get Task History'!$N$7</f>
        <v/>
      </c>
      <c r="I13" s="451">
        <f>'Get Task History'!$O$7</f>
        <v/>
      </c>
    </row>
    <row r="14" ht="13" customHeight="1" s="419">
      <c r="A14" s="449" t="n">
        <v>3</v>
      </c>
      <c r="B14" s="450" t="inlineStr">
        <is>
          <t>EP-272</t>
        </is>
      </c>
      <c r="C14" s="451">
        <f>'Get Task Comments'!$A$7</f>
        <v/>
      </c>
      <c r="D14" s="451">
        <f>'Get Task Comments'!$C$7</f>
        <v/>
      </c>
      <c r="E14" s="451">
        <f>'Get Task Comments'!$F$7</f>
        <v/>
      </c>
      <c r="F14" s="451">
        <f>'Get Task Comments'!$L$7</f>
        <v/>
      </c>
      <c r="G14" s="451">
        <f>'Get Task Comments'!$M$7</f>
        <v/>
      </c>
      <c r="H14" s="451">
        <f>'Get Task Comments'!$N$7</f>
        <v/>
      </c>
      <c r="I14" s="451">
        <f>'Get Task Comments'!$O$7</f>
        <v/>
      </c>
    </row>
    <row r="15" ht="13" customHeight="1" s="419">
      <c r="A15" s="449" t="n">
        <v>4</v>
      </c>
      <c r="B15" s="450" t="inlineStr">
        <is>
          <t>EP-274</t>
        </is>
      </c>
      <c r="C15" s="451">
        <f>'Get Task Submissions'!$A$7</f>
        <v/>
      </c>
      <c r="D15" s="451">
        <f>'Get Task Submissions'!$C$7</f>
        <v/>
      </c>
      <c r="E15" s="451">
        <f>'Get Task Submissions'!$F$7</f>
        <v/>
      </c>
      <c r="F15" s="451">
        <f>'Get Task Submissions'!$L$7</f>
        <v/>
      </c>
      <c r="G15" s="451">
        <f>'Get Task Submissions'!$M$7</f>
        <v/>
      </c>
      <c r="H15" s="451">
        <f>'Get Task Submissions'!$N$7</f>
        <v/>
      </c>
      <c r="I15" s="451">
        <f>'Get Task Submissions'!$O$7</f>
        <v/>
      </c>
    </row>
    <row r="16" ht="13" customHeight="1" s="419">
      <c r="A16" s="449" t="n">
        <v>5</v>
      </c>
      <c r="B16" s="450" t="inlineStr">
        <is>
          <t>EP-280</t>
        </is>
      </c>
      <c r="C16" s="451">
        <f>'Upload Attachment'!$A$7</f>
        <v/>
      </c>
      <c r="D16" s="451">
        <f>'Upload Attachment'!$C$7</f>
        <v/>
      </c>
      <c r="E16" s="451">
        <f>'Upload Attachment'!$F$7</f>
        <v/>
      </c>
      <c r="F16" s="451">
        <f>'Upload Attachment'!$L$7</f>
        <v/>
      </c>
      <c r="G16" s="451">
        <f>'Upload Attachment'!$M$7</f>
        <v/>
      </c>
      <c r="H16" s="451">
        <f>'Upload Attachment'!$N$7</f>
        <v/>
      </c>
      <c r="I16" s="451">
        <f>'Upload Attachment'!$O$7</f>
        <v/>
      </c>
    </row>
    <row r="17" ht="13" customHeight="1" s="419">
      <c r="A17" s="449" t="n">
        <v>6</v>
      </c>
      <c r="B17" s="450" t="inlineStr">
        <is>
          <t>EP-281</t>
        </is>
      </c>
      <c r="C17" s="451">
        <f>'Add Comment'!$A$7</f>
        <v/>
      </c>
      <c r="D17" s="451">
        <f>'Add Comment'!$C$7</f>
        <v/>
      </c>
      <c r="E17" s="451">
        <f>'Add Comment'!$F$7</f>
        <v/>
      </c>
      <c r="F17" s="451">
        <f>'Add Comment'!$L$7</f>
        <v/>
      </c>
      <c r="G17" s="451">
        <f>'Add Comment'!$M$7</f>
        <v/>
      </c>
      <c r="H17" s="451">
        <f>'Add Comment'!$N$7</f>
        <v/>
      </c>
      <c r="I17" s="451">
        <f>'Add Comment'!$O$7</f>
        <v/>
      </c>
    </row>
    <row r="18" ht="13" customHeight="1" s="419">
      <c r="A18" s="449" t="n">
        <v>7</v>
      </c>
      <c r="B18" s="450" t="inlineStr">
        <is>
          <t>EP-283</t>
        </is>
      </c>
      <c r="C18" s="451">
        <f>'Submit Work'!$A$7</f>
        <v/>
      </c>
      <c r="D18" s="451">
        <f>'Submit Work'!$C$7</f>
        <v/>
      </c>
      <c r="E18" s="451">
        <f>'Submit Work'!$F$7</f>
        <v/>
      </c>
      <c r="F18" s="451">
        <f>'Submit Work'!$L$7</f>
        <v/>
      </c>
      <c r="G18" s="451">
        <f>'Submit Work'!$M$7</f>
        <v/>
      </c>
      <c r="H18" s="451">
        <f>'Submit Work'!$N$7</f>
        <v/>
      </c>
      <c r="I18" s="451">
        <f>'Submit Work'!$O$7</f>
        <v/>
      </c>
    </row>
    <row r="19" ht="13" customHeight="1" s="419">
      <c r="A19" s="449" t="n">
        <v>8</v>
      </c>
      <c r="B19" s="450" t="inlineStr">
        <is>
          <t>EP-284</t>
        </is>
      </c>
      <c r="C19" s="451">
        <f>'Review Submission'!$A$7</f>
        <v/>
      </c>
      <c r="D19" s="451">
        <f>'Review Submission'!$C$7</f>
        <v/>
      </c>
      <c r="E19" s="451">
        <f>'Review Submission'!$F$7</f>
        <v/>
      </c>
      <c r="F19" s="451">
        <f>'Review Submission'!$L$7</f>
        <v/>
      </c>
      <c r="G19" s="451">
        <f>'Review Submission'!$M$7</f>
        <v/>
      </c>
      <c r="H19" s="451">
        <f>'Review Submission'!$N$7</f>
        <v/>
      </c>
      <c r="I19" s="451">
        <f>'Review Submission'!$O$7</f>
        <v/>
      </c>
    </row>
    <row r="20" s="419">
      <c r="A20" s="58" t="n"/>
      <c r="B20" s="58" t="n"/>
      <c r="C20" s="58" t="n"/>
      <c r="D20" s="58" t="n"/>
      <c r="E20" s="58" t="n"/>
      <c r="F20" s="58" t="n"/>
      <c r="G20" s="58" t="n"/>
      <c r="H20" s="58" t="n"/>
      <c r="I20" s="58" t="n"/>
    </row>
    <row r="21" ht="14" customHeight="1" s="419">
      <c r="A21" s="61" t="n"/>
      <c r="B21" s="452" t="inlineStr">
        <is>
          <t>Sub total</t>
        </is>
      </c>
      <c r="C21" s="453">
        <f>SUM(C12:C19)</f>
        <v/>
      </c>
      <c r="D21" s="453">
        <f>SUM(D12:D19)</f>
        <v/>
      </c>
      <c r="E21" s="453">
        <f>SUM(E12:E19)</f>
        <v/>
      </c>
      <c r="F21" s="453">
        <f>SUM(F12:F19)</f>
        <v/>
      </c>
      <c r="G21" s="453">
        <f>SUM(G12:G19)</f>
        <v/>
      </c>
      <c r="H21" s="453">
        <f>SUM(H12:H19)</f>
        <v/>
      </c>
      <c r="I21" s="453">
        <f>SUM(I12:I19)</f>
        <v/>
      </c>
    </row>
    <row r="22" s="419">
      <c r="A22" s="63" t="n"/>
      <c r="B22" s="454" t="n"/>
      <c r="C22" s="64" t="n"/>
      <c r="D22" s="65" t="n"/>
      <c r="E22" s="65" t="n"/>
      <c r="F22" s="65" t="n"/>
      <c r="G22" s="65" t="n"/>
      <c r="H22" s="65" t="n"/>
      <c r="I22" s="65" t="n"/>
    </row>
    <row r="23" s="419">
      <c r="A23" s="454" t="n"/>
      <c r="B23" s="455" t="inlineStr">
        <is>
          <t>Test coverage</t>
        </is>
      </c>
      <c r="C23" s="454" t="n"/>
      <c r="D23" s="456">
        <f>IF(I21=0,0,(C21+D21)*100/I21)</f>
        <v/>
      </c>
      <c r="E23" s="457" t="inlineStr">
        <is>
          <t>%</t>
        </is>
      </c>
      <c r="F23" s="454" t="n"/>
      <c r="G23" s="454" t="n"/>
      <c r="H23" s="454" t="n"/>
      <c r="I23" s="66" t="n"/>
    </row>
    <row r="24" s="419">
      <c r="A24" s="454" t="n"/>
      <c r="B24" s="455" t="inlineStr">
        <is>
          <t>Test successful coverage</t>
        </is>
      </c>
      <c r="C24" s="454" t="n"/>
      <c r="D24" s="456">
        <f>IF(I21=0,0,C21*100/I21)</f>
        <v/>
      </c>
      <c r="E24" s="457" t="inlineStr">
        <is>
          <t>%</t>
        </is>
      </c>
      <c r="F24" s="454" t="n"/>
      <c r="G24" s="454" t="n"/>
      <c r="H24" s="454" t="n"/>
      <c r="I24" s="66" t="n"/>
    </row>
    <row r="25" s="419">
      <c r="A25" s="454" t="n"/>
      <c r="B25" s="455" t="inlineStr">
        <is>
          <t>Normal case</t>
        </is>
      </c>
      <c r="C25" s="454" t="n"/>
      <c r="D25" s="456">
        <f>IF(I21=0,0,F21*100/I21)</f>
        <v/>
      </c>
      <c r="E25" s="457" t="inlineStr">
        <is>
          <t>%</t>
        </is>
      </c>
      <c r="F25" s="454" t="n"/>
      <c r="G25" s="454" t="n"/>
      <c r="H25" s="454" t="n"/>
      <c r="I25" s="454" t="n"/>
    </row>
    <row r="26" s="419">
      <c r="A26" s="454" t="n"/>
      <c r="B26" s="455" t="inlineStr">
        <is>
          <t>Abnormal case</t>
        </is>
      </c>
      <c r="C26" s="454" t="n"/>
      <c r="D26" s="456">
        <f>IF(I21=0,0,G21*100/I21)</f>
        <v/>
      </c>
      <c r="E26" s="457" t="inlineStr">
        <is>
          <t>%</t>
        </is>
      </c>
      <c r="F26" s="454" t="n"/>
      <c r="G26" s="454" t="n"/>
      <c r="H26" s="454" t="n"/>
      <c r="I26" s="454" t="n"/>
    </row>
    <row r="27" s="419">
      <c r="A27" s="454" t="n"/>
      <c r="B27" s="455" t="inlineStr">
        <is>
          <t>Boundary case</t>
        </is>
      </c>
      <c r="C27" s="454" t="n"/>
      <c r="D27" s="456">
        <f>IF(I21=0,0,H21*100/I21)</f>
        <v/>
      </c>
      <c r="E27" s="457" t="inlineStr">
        <is>
          <t>%</t>
        </is>
      </c>
      <c r="F27" s="454" t="n"/>
      <c r="G27" s="454" t="n"/>
      <c r="H27" s="454" t="n"/>
      <c r="I27" s="454" t="n"/>
    </row>
    <row r="28" ht="13.5" customHeight="1" s="419"/>
    <row r="29" ht="13.5" customHeight="1" s="419"/>
    <row r="30" ht="13.5" customHeight="1" s="419"/>
    <row r="31" ht="13.5" customHeight="1" s="419"/>
    <row r="32" ht="13.5" customHeight="1" s="419"/>
    <row r="33" ht="13.5" customHeight="1" s="419"/>
    <row r="34" ht="13.5" customHeight="1" s="419"/>
    <row r="35" ht="13.5" customHeight="1" s="419"/>
    <row r="36" ht="13.5" customHeight="1" s="419"/>
    <row r="37" ht="13.5" customHeight="1" s="419"/>
    <row r="38" ht="13.5" customHeight="1" s="419"/>
    <row r="39" ht="13.5" customHeight="1" s="419"/>
    <row r="40" ht="13.5" customHeight="1" s="419"/>
    <row r="41" ht="13.5" customHeight="1" s="419"/>
    <row r="42" ht="13.5" customHeight="1" s="419"/>
    <row r="43" ht="13.5" customHeight="1" s="419"/>
    <row r="44" ht="13.5" customHeight="1" s="419"/>
    <row r="45" ht="13.5" customHeight="1" s="419"/>
    <row r="46" ht="13.5" customHeight="1" s="419"/>
    <row r="47" ht="13.5" customHeight="1" s="419"/>
    <row r="48" ht="13.5" customHeight="1" s="419"/>
    <row r="49" ht="13.5" customHeight="1" s="419"/>
    <row r="50" ht="13.5" customHeight="1" s="419"/>
    <row r="51" ht="13.5" customHeight="1" s="419"/>
    <row r="52" ht="13.5" customHeight="1" s="419"/>
    <row r="53" ht="13.5" customHeight="1" s="419"/>
    <row r="54" ht="13.5" customHeight="1" s="419"/>
    <row r="55" ht="13.5" customHeight="1" s="419"/>
    <row r="56" ht="13.5" customHeight="1" s="419"/>
    <row r="57" ht="13.5" customHeight="1" s="419"/>
    <row r="58" ht="13.5" customHeight="1" s="419"/>
    <row r="59" ht="13.5" customHeight="1" s="419"/>
    <row r="60" ht="13.5" customHeight="1" s="419"/>
    <row r="61" ht="13.5" customHeight="1" s="419"/>
    <row r="62" ht="13.5" customHeight="1" s="419"/>
    <row r="63" ht="13.5" customHeight="1" s="419"/>
    <row r="64" ht="13.5" customHeight="1" s="419"/>
    <row r="65" ht="13.5" customHeight="1" s="419"/>
    <row r="66" ht="13.5" customHeight="1" s="419"/>
    <row r="67" ht="13.5" customHeight="1" s="419"/>
    <row r="68" ht="13.5" customHeight="1" s="419"/>
    <row r="69" ht="13.5" customHeight="1" s="419"/>
    <row r="70" ht="13.5" customHeight="1" s="419"/>
    <row r="71" ht="13.5" customHeight="1" s="419"/>
    <row r="72" ht="13.5" customHeight="1" s="419"/>
    <row r="73" ht="13.5" customHeight="1" s="419"/>
    <row r="74" ht="13.5" customHeight="1" s="419"/>
    <row r="75" ht="13.5" customHeight="1" s="419"/>
    <row r="76" ht="13.5" customHeight="1" s="419"/>
    <row r="77" ht="13.5" customHeight="1" s="419"/>
    <row r="78" ht="13.5" customHeight="1" s="419"/>
    <row r="79" ht="13.5" customHeight="1" s="419"/>
    <row r="80" ht="13.5" customHeight="1" s="419"/>
    <row r="81" ht="13.5" customHeight="1" s="419"/>
    <row r="82" ht="13.5" customHeight="1" s="419"/>
    <row r="83" ht="13.5" customHeight="1" s="419"/>
    <row r="84" ht="13.5" customHeight="1" s="419"/>
    <row r="85" ht="13.5" customHeight="1" s="419"/>
    <row r="86" ht="13.5" customHeight="1" s="419"/>
    <row r="87" ht="13.5" customHeight="1" s="419"/>
    <row r="88" ht="13.5" customHeight="1" s="419"/>
    <row r="89" ht="13.5" customHeight="1" s="419"/>
    <row r="90" ht="13.5" customHeight="1" s="419"/>
    <row r="91" ht="14" customHeight="1" s="419"/>
    <row r="92" ht="14" customHeight="1" s="419"/>
    <row r="93" ht="14" customHeight="1" s="419"/>
    <row r="94" ht="14" customHeight="1" s="419"/>
    <row r="96" ht="14" customHeight="1" s="419"/>
  </sheetData>
  <mergeCells count="11">
    <mergeCell ref="D6:E6"/>
    <mergeCell ref="B6:C6"/>
    <mergeCell ref="A2:I2"/>
    <mergeCell ref="B7:I7"/>
    <mergeCell ref="B5:C5"/>
    <mergeCell ref="F4:I4"/>
    <mergeCell ref="D5:E5"/>
    <mergeCell ref="D4:E4"/>
    <mergeCell ref="F5:I5"/>
    <mergeCell ref="B4:C4"/>
    <mergeCell ref="F6:I6"/>
  </mergeCells>
  <pageMargins left="0.65" right="0.65" top="0.75" bottom="0.75" header="0.5" footer="0.5"/>
  <pageSetup orientation="landscape" firstPageNumber="0" horizontalDpi="300" verticalDpi="300"/>
  <headerFooter alignWithMargins="0">
    <oddHeader/>
    <oddFooter>&amp;L&amp;"Tahoma,Regular"&amp;8 02ae-BM/PM/HDCV/FSOFT v2/1&amp;C&amp;"Tahoma,Regular"&amp;8 Internal use&amp;R&amp;"Tahoma,Regular"&amp;8 &amp;P/&amp;N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6"/>
  <sheetViews>
    <sheetView zoomScale="145" zoomScaleNormal="145" workbookViewId="0">
      <selection activeCell="A1" sqref="A1"/>
    </sheetView>
  </sheetViews>
  <sheetFormatPr baseColWidth="8" defaultColWidth="9" defaultRowHeight="13.5" customHeight="1"/>
  <cols>
    <col width="8.1796875" customWidth="1" style="69" min="1" max="1"/>
    <col width="13.453125" customWidth="1" style="73" min="2" max="2"/>
    <col width="10.81640625" customWidth="1" style="69" min="3" max="3"/>
    <col width="26.6328125" customWidth="1" style="403" min="4" max="4"/>
    <col hidden="1" width="1.81640625" customWidth="1" style="69" min="5" max="5"/>
    <col width="2.81640625" bestFit="1" customWidth="1" style="69" min="6" max="11"/>
    <col width="13" customWidth="1" style="419" min="7" max="7"/>
    <col width="13" customWidth="1" style="419" min="8" max="8"/>
    <col width="13" customWidth="1" style="419" min="9" max="9"/>
    <col width="13" customWidth="1" style="419" min="10" max="10"/>
    <col width="13" customWidth="1" style="419" min="11" max="11"/>
    <col width="2.81640625" customWidth="1" style="69" min="12" max="19"/>
    <col width="13" customWidth="1" style="419" min="13" max="13"/>
    <col width="13" customWidth="1" style="419" min="14" max="14"/>
    <col width="13" customWidth="1" style="419" min="15" max="15"/>
    <col width="13" customWidth="1" style="419" min="16" max="16"/>
    <col width="13" customWidth="1" style="419" min="17" max="17"/>
    <col width="13" customWidth="1" style="419" min="18" max="18"/>
    <col width="13" customWidth="1" style="419" min="19" max="19"/>
    <col width="2.81640625" bestFit="1" customWidth="1" style="69" min="20" max="20"/>
    <col hidden="1" width="2.81640625" customWidth="1" style="69" min="21" max="21"/>
    <col hidden="1" width="11" customWidth="1" style="69" min="22" max="256"/>
    <col width="9" customWidth="1" style="69" min="257" max="16384"/>
  </cols>
  <sheetData>
    <row r="1" ht="13.5" customHeight="1" s="419" thickBot="1">
      <c r="A1" s="67" t="n"/>
      <c r="B1" s="68" t="n"/>
    </row>
    <row r="2" ht="13.5" customHeight="1" s="419">
      <c r="A2" s="346" t="inlineStr">
        <is>
          <t>Function Code</t>
        </is>
      </c>
      <c r="B2" s="458" t="n"/>
      <c r="C2" s="459" t="inlineStr">
        <is>
          <t>EP-270</t>
        </is>
      </c>
      <c r="D2" s="458" t="n"/>
      <c r="E2" s="460" t="n"/>
      <c r="F2" s="404" t="inlineStr">
        <is>
          <t>Function Name</t>
        </is>
      </c>
      <c r="G2" s="461" t="n"/>
      <c r="H2" s="461" t="n"/>
      <c r="I2" s="461" t="n"/>
      <c r="J2" s="461" t="n"/>
      <c r="K2" s="461" t="n"/>
      <c r="L2" s="462" t="inlineStr">
        <is>
          <t>Get Project Recent Activity</t>
        </is>
      </c>
      <c r="M2" s="458" t="n"/>
      <c r="N2" s="458" t="n"/>
      <c r="O2" s="458" t="n"/>
      <c r="P2" s="458" t="n"/>
      <c r="Q2" s="458" t="n"/>
      <c r="R2" s="458" t="n"/>
      <c r="S2" s="458" t="n"/>
      <c r="T2" s="463" t="n"/>
      <c r="V2" s="71" t="n"/>
    </row>
    <row r="3" ht="13.5" customHeight="1" s="419">
      <c r="A3" s="464" t="inlineStr">
        <is>
          <t>Created By</t>
        </is>
      </c>
      <c r="B3" s="421" t="n"/>
      <c r="C3" s="465" t="inlineStr">
        <is>
          <t>GitHub Copilot</t>
        </is>
      </c>
      <c r="D3" s="430" t="n"/>
      <c r="E3" s="466" t="n"/>
      <c r="F3" s="467" t="inlineStr">
        <is>
          <t>Executed By</t>
        </is>
      </c>
      <c r="G3" s="468" t="n"/>
      <c r="H3" s="468" t="n"/>
      <c r="I3" s="468" t="n"/>
      <c r="J3" s="468" t="n"/>
      <c r="K3" s="469" t="n"/>
      <c r="L3" s="470" t="inlineStr">
        <is>
          <t>GitHub Copilot</t>
        </is>
      </c>
      <c r="M3" s="471" t="n"/>
      <c r="N3" s="471" t="n"/>
      <c r="O3" s="471" t="n"/>
      <c r="P3" s="471" t="n"/>
      <c r="Q3" s="471" t="n"/>
      <c r="R3" s="471" t="n"/>
      <c r="S3" s="471" t="n"/>
      <c r="T3" s="472" t="n"/>
    </row>
    <row r="4" ht="13.5" customHeight="1" s="419">
      <c r="A4" s="464" t="inlineStr">
        <is>
          <t>Lines  of code</t>
        </is>
      </c>
      <c r="B4" s="421" t="n"/>
      <c r="C4" s="473" t="n">
        <v>8</v>
      </c>
      <c r="D4" s="420" t="n"/>
      <c r="E4" s="353" t="n"/>
      <c r="F4" s="467" t="inlineStr">
        <is>
          <t>Lack of test cases</t>
        </is>
      </c>
      <c r="G4" s="468" t="n"/>
      <c r="H4" s="468" t="n"/>
      <c r="I4" s="468" t="n"/>
      <c r="J4" s="468" t="n"/>
      <c r="K4" s="469" t="n"/>
      <c r="L4" s="474" t="n">
        <v>0</v>
      </c>
      <c r="M4" s="420" t="n"/>
      <c r="N4" s="420" t="n"/>
      <c r="O4" s="420" t="n"/>
      <c r="P4" s="420" t="n"/>
      <c r="Q4" s="420" t="n"/>
      <c r="R4" s="420" t="n"/>
      <c r="S4" s="420" t="n"/>
      <c r="T4" s="475" t="n"/>
      <c r="V4" s="71" t="n"/>
    </row>
    <row r="5" ht="13.5" customHeight="1" s="419">
      <c r="A5" s="464" t="inlineStr">
        <is>
          <t>Test requirement</t>
        </is>
      </c>
      <c r="B5" s="421" t="n"/>
      <c r="C5" s="476" t="inlineStr">
        <is>
          <t>Verify getProjectRecentActivity: valid, edge, error, and auth cases for EP-270.</t>
        </is>
      </c>
      <c r="D5" s="420" t="n"/>
      <c r="E5" s="420" t="n"/>
      <c r="F5" s="420" t="n"/>
      <c r="G5" s="420" t="n"/>
      <c r="H5" s="420" t="n"/>
      <c r="I5" s="420" t="n"/>
      <c r="J5" s="420" t="n"/>
      <c r="K5" s="420" t="n"/>
      <c r="L5" s="420" t="n"/>
      <c r="M5" s="420" t="n"/>
      <c r="N5" s="420" t="n"/>
      <c r="O5" s="420" t="n"/>
      <c r="P5" s="420" t="n"/>
      <c r="Q5" s="420" t="n"/>
      <c r="R5" s="420" t="n"/>
      <c r="S5" s="420" t="n"/>
      <c r="T5" s="475" t="n"/>
    </row>
    <row r="6" ht="13.5" customHeight="1" s="419">
      <c r="A6" s="477" t="inlineStr">
        <is>
          <t>Passed</t>
        </is>
      </c>
      <c r="B6" s="421" t="n"/>
      <c r="C6" s="478" t="inlineStr">
        <is>
          <t>Failed</t>
        </is>
      </c>
      <c r="D6" s="420" t="n"/>
      <c r="E6" s="421" t="n"/>
      <c r="F6" s="479" t="inlineStr">
        <is>
          <t>Untested</t>
        </is>
      </c>
      <c r="G6" s="420" t="n"/>
      <c r="H6" s="420" t="n"/>
      <c r="I6" s="420" t="n"/>
      <c r="J6" s="420" t="n"/>
      <c r="K6" s="480" t="n"/>
      <c r="L6" s="312" t="inlineStr">
        <is>
          <t>N/A/B</t>
        </is>
      </c>
      <c r="M6" s="420" t="n"/>
      <c r="N6" s="420" t="n"/>
      <c r="O6" s="481" t="inlineStr">
        <is>
          <t>Total Test Cases</t>
        </is>
      </c>
      <c r="P6" s="420" t="n"/>
      <c r="Q6" s="420" t="n"/>
      <c r="R6" s="420" t="n"/>
      <c r="S6" s="420" t="n"/>
      <c r="T6" s="482" t="n"/>
      <c r="V6" s="71" t="n"/>
    </row>
    <row r="7" ht="13.5" customHeight="1" s="419" thickBot="1">
      <c r="A7" s="483">
        <f>COUNTIF(F34:I34,"P")</f>
        <v/>
      </c>
      <c r="B7" s="484" t="n"/>
      <c r="C7" s="485">
        <f>COUNTIF(F34:I34,"F")</f>
        <v/>
      </c>
      <c r="D7" s="486" t="n"/>
      <c r="E7" s="484" t="n"/>
      <c r="F7" s="487">
        <f>COUNTIF(F34:I34,"U")</f>
        <v/>
      </c>
      <c r="G7" s="486" t="n"/>
      <c r="H7" s="486" t="n"/>
      <c r="I7" s="486" t="n"/>
      <c r="J7" s="486" t="n"/>
      <c r="K7" s="488" t="n"/>
      <c r="L7" s="489">
        <f>COUNTIF(F33:I33,"N")</f>
        <v/>
      </c>
      <c r="M7" s="489">
        <f>COUNTIF(F33:I33,"A")</f>
        <v/>
      </c>
      <c r="N7" s="489">
        <f>COUNTIF(F33:I33,"B")</f>
        <v/>
      </c>
      <c r="O7" s="490">
        <f>COUNTA(F9:I9)</f>
        <v/>
      </c>
      <c r="P7" s="486" t="n"/>
      <c r="Q7" s="486" t="n"/>
      <c r="R7" s="486" t="n"/>
      <c r="S7" s="486" t="n"/>
      <c r="T7" s="491" t="n"/>
      <c r="U7" s="72" t="n"/>
    </row>
    <row r="8" ht="10.5" customHeight="1" s="419" thickBot="1"/>
    <row r="9" ht="45" customHeight="1" s="419" thickBot="1" thickTop="1">
      <c r="A9" s="189" t="n"/>
      <c r="B9" s="165" t="n"/>
      <c r="C9" s="166" t="n"/>
      <c r="D9" s="167" t="n"/>
      <c r="E9" s="166" t="n"/>
      <c r="F9" s="168" t="inlineStr">
        <is>
          <t>UTC01</t>
        </is>
      </c>
      <c r="G9" s="168" t="inlineStr">
        <is>
          <t>UTC02</t>
        </is>
      </c>
      <c r="H9" s="168" t="inlineStr">
        <is>
          <t>UTC03</t>
        </is>
      </c>
      <c r="I9" s="168" t="inlineStr">
        <is>
          <t>UTC04</t>
        </is>
      </c>
      <c r="J9" s="168" t="n"/>
      <c r="K9" s="168" t="n"/>
      <c r="L9" s="168" t="n"/>
      <c r="M9" s="168" t="n"/>
      <c r="N9" s="168" t="n"/>
      <c r="O9" s="168" t="n"/>
      <c r="P9" s="168" t="n"/>
      <c r="Q9" s="168" t="n"/>
      <c r="R9" s="168" t="n"/>
      <c r="S9" s="168" t="n"/>
      <c r="T9" s="169" t="n"/>
      <c r="U9" s="74" t="n"/>
      <c r="V9" s="71" t="n"/>
    </row>
    <row r="10" ht="13.5" customHeight="1" s="419">
      <c r="A10" s="183" t="inlineStr">
        <is>
          <t>Condition</t>
        </is>
      </c>
      <c r="B10" s="184" t="inlineStr">
        <is>
          <t>Precondition</t>
        </is>
      </c>
      <c r="C10" s="76" t="n"/>
      <c r="D10" s="77" t="n"/>
      <c r="E10" s="78" t="n"/>
      <c r="F10" s="79" t="n"/>
      <c r="G10" s="79" t="n"/>
      <c r="H10" s="79" t="n"/>
      <c r="I10" s="79" t="n"/>
      <c r="J10" s="79" t="n"/>
      <c r="K10" s="79" t="n"/>
      <c r="L10" s="79" t="n"/>
      <c r="M10" s="79" t="n"/>
      <c r="N10" s="79" t="n"/>
      <c r="O10" s="79" t="n"/>
      <c r="P10" s="79" t="n"/>
      <c r="Q10" s="79" t="n"/>
      <c r="R10" s="79" t="n"/>
      <c r="S10" s="79" t="n"/>
      <c r="T10" s="195" t="n"/>
    </row>
    <row r="11" ht="13.5" customHeight="1" s="419">
      <c r="A11" s="171" t="n"/>
      <c r="B11" s="75" t="n"/>
      <c r="C11" s="76" t="n"/>
      <c r="D11" s="492" t="inlineStr">
        <is>
          <t>user exists</t>
        </is>
      </c>
      <c r="E11" s="80" t="n"/>
      <c r="F11" s="493" t="inlineStr">
        <is>
          <t>O</t>
        </is>
      </c>
      <c r="G11" s="493" t="inlineStr">
        <is>
          <t>O</t>
        </is>
      </c>
      <c r="H11" s="493" t="inlineStr">
        <is>
          <t>O</t>
        </is>
      </c>
      <c r="I11" s="148" t="n"/>
      <c r="J11" s="148" t="n"/>
      <c r="K11" s="148" t="n"/>
      <c r="L11" s="148" t="n"/>
      <c r="M11" s="148" t="n"/>
      <c r="N11" s="148" t="n"/>
      <c r="O11" s="148" t="n"/>
      <c r="P11" s="148" t="n"/>
      <c r="Q11" s="148" t="n"/>
      <c r="R11" s="148" t="n"/>
      <c r="S11" s="148" t="n"/>
      <c r="T11" s="170" t="n"/>
      <c r="U11" s="454" t="n"/>
      <c r="V11" s="71" t="n"/>
    </row>
    <row r="12" ht="13.5" customHeight="1" s="419">
      <c r="A12" s="171" t="n"/>
      <c r="B12" s="75" t="n"/>
      <c r="C12" s="76" t="n"/>
      <c r="D12" s="492" t="inlineStr">
        <is>
          <t>Project "project-1" exists</t>
        </is>
      </c>
      <c r="E12" s="80" t="n"/>
      <c r="F12" s="493" t="inlineStr">
        <is>
          <t>O</t>
        </is>
      </c>
      <c r="G12" s="148" t="n"/>
      <c r="H12" s="148" t="n"/>
      <c r="I12" s="148" t="n"/>
      <c r="J12" s="148" t="n"/>
      <c r="K12" s="148" t="n"/>
      <c r="L12" s="148" t="n"/>
      <c r="M12" s="148" t="n"/>
      <c r="N12" s="148" t="n"/>
      <c r="O12" s="148" t="n"/>
      <c r="P12" s="148" t="n"/>
      <c r="Q12" s="148" t="n"/>
      <c r="R12" s="148" t="n"/>
      <c r="S12" s="148" t="n"/>
      <c r="T12" s="170" t="n"/>
      <c r="U12" s="454" t="n"/>
      <c r="V12" s="71" t="n"/>
    </row>
    <row r="13" ht="27" customHeight="1" s="419">
      <c r="A13" s="171" t="n"/>
      <c r="B13" s="75" t="n"/>
      <c r="C13" s="76" t="n"/>
      <c r="D13" s="492" t="inlineStr">
        <is>
          <t>Project "project-empty" exists with no activity</t>
        </is>
      </c>
      <c r="E13" s="80" t="n"/>
      <c r="F13" s="148" t="n"/>
      <c r="G13" s="493" t="inlineStr">
        <is>
          <t>O</t>
        </is>
      </c>
      <c r="H13" s="148" t="n"/>
      <c r="I13" s="148" t="n"/>
      <c r="J13" s="148" t="n"/>
      <c r="K13" s="148" t="n"/>
      <c r="L13" s="148" t="n"/>
      <c r="M13" s="148" t="n"/>
      <c r="N13" s="148" t="n"/>
      <c r="O13" s="148" t="n"/>
      <c r="P13" s="148" t="n"/>
      <c r="Q13" s="148" t="n"/>
      <c r="R13" s="148" t="n"/>
      <c r="S13" s="148" t="n"/>
      <c r="T13" s="170" t="n"/>
      <c r="U13" s="454" t="n"/>
      <c r="V13" s="71" t="n"/>
    </row>
    <row r="14" ht="27" customHeight="1" s="419">
      <c r="A14" s="171" t="n"/>
      <c r="B14" s="75" t="n"/>
      <c r="C14" s="76" t="n"/>
      <c r="D14" s="492" t="inlineStr">
        <is>
          <t>Project "project-missing" does not exist</t>
        </is>
      </c>
      <c r="E14" s="80" t="n"/>
      <c r="F14" s="148" t="n"/>
      <c r="G14" s="148" t="n"/>
      <c r="H14" s="493" t="inlineStr">
        <is>
          <t>O</t>
        </is>
      </c>
      <c r="I14" s="148" t="n"/>
      <c r="J14" s="148" t="n"/>
      <c r="K14" s="148" t="n"/>
      <c r="L14" s="148" t="n"/>
      <c r="M14" s="148" t="n"/>
      <c r="N14" s="148" t="n"/>
      <c r="O14" s="148" t="n"/>
      <c r="P14" s="148" t="n"/>
      <c r="Q14" s="148" t="n"/>
      <c r="R14" s="148" t="n"/>
      <c r="S14" s="148" t="n"/>
      <c r="T14" s="170" t="n"/>
      <c r="U14" s="454" t="n"/>
      <c r="V14" s="71" t="n"/>
    </row>
    <row r="15" ht="27" customHeight="1" s="419">
      <c r="A15" s="171" t="n"/>
      <c r="B15" s="75" t="n"/>
      <c r="C15" s="76" t="n"/>
      <c r="D15" s="492" t="inlineStr">
        <is>
          <t>TasksController is decorated with class-level guards</t>
        </is>
      </c>
      <c r="E15" s="80" t="n"/>
      <c r="F15" s="148" t="n"/>
      <c r="G15" s="148" t="n"/>
      <c r="H15" s="148" t="n"/>
      <c r="I15" s="493" t="inlineStr">
        <is>
          <t>O</t>
        </is>
      </c>
      <c r="J15" s="148" t="n"/>
      <c r="K15" s="148" t="n"/>
      <c r="L15" s="148" t="n"/>
      <c r="M15" s="148" t="n"/>
      <c r="N15" s="148" t="n"/>
      <c r="O15" s="148" t="n"/>
      <c r="P15" s="148" t="n"/>
      <c r="Q15" s="148" t="n"/>
      <c r="R15" s="148" t="n"/>
      <c r="S15" s="148" t="n"/>
      <c r="T15" s="170" t="n"/>
      <c r="U15" s="454" t="n"/>
      <c r="V15" s="71" t="n"/>
    </row>
    <row r="16" ht="13.5" customHeight="1" s="419">
      <c r="A16" s="171" t="n"/>
      <c r="B16" s="494" t="inlineStr">
        <is>
          <t>projectId</t>
        </is>
      </c>
      <c r="C16" s="76" t="n"/>
      <c r="D16" s="77" t="n"/>
      <c r="E16" s="80" t="n"/>
      <c r="F16" s="148" t="n"/>
      <c r="G16" s="148" t="n"/>
      <c r="H16" s="148" t="n"/>
      <c r="I16" s="148" t="n"/>
      <c r="J16" s="148" t="n"/>
      <c r="K16" s="148" t="n"/>
      <c r="L16" s="148" t="n"/>
      <c r="M16" s="148" t="n"/>
      <c r="N16" s="148" t="n"/>
      <c r="O16" s="148" t="n"/>
      <c r="P16" s="148" t="n"/>
      <c r="Q16" s="148" t="n"/>
      <c r="R16" s="148" t="n"/>
      <c r="S16" s="148" t="n"/>
      <c r="T16" s="170" t="n"/>
      <c r="U16" s="454" t="n"/>
      <c r="V16" s="71" t="n"/>
    </row>
    <row r="17" ht="13.5" customHeight="1" s="419">
      <c r="A17" s="171" t="n"/>
      <c r="B17" s="75" t="n"/>
      <c r="C17" s="76" t="n"/>
      <c r="D17" s="492" t="inlineStr">
        <is>
          <t>project-1</t>
        </is>
      </c>
      <c r="E17" s="80" t="n"/>
      <c r="F17" s="493" t="inlineStr">
        <is>
          <t>O</t>
        </is>
      </c>
      <c r="G17" s="148" t="n"/>
      <c r="H17" s="148" t="n"/>
      <c r="I17" s="148" t="n"/>
      <c r="J17" s="148" t="n"/>
      <c r="K17" s="148" t="n"/>
      <c r="L17" s="148" t="n"/>
      <c r="M17" s="148" t="n"/>
      <c r="N17" s="148" t="n"/>
      <c r="O17" s="148" t="n"/>
      <c r="P17" s="148" t="n"/>
      <c r="Q17" s="148" t="n"/>
      <c r="R17" s="148" t="n"/>
      <c r="S17" s="148" t="n"/>
      <c r="T17" s="170" t="n"/>
      <c r="U17" s="454" t="n"/>
      <c r="V17" s="71" t="n"/>
    </row>
    <row r="18" ht="13.5" customHeight="1" s="419">
      <c r="A18" s="171" t="n"/>
      <c r="B18" s="75" t="n"/>
      <c r="C18" s="76" t="n"/>
      <c r="D18" s="492" t="inlineStr">
        <is>
          <t>project-empty</t>
        </is>
      </c>
      <c r="E18" s="80" t="n"/>
      <c r="F18" s="148" t="n"/>
      <c r="G18" s="493" t="inlineStr">
        <is>
          <t>O</t>
        </is>
      </c>
      <c r="H18" s="148" t="n"/>
      <c r="I18" s="148" t="n"/>
      <c r="J18" s="148" t="n"/>
      <c r="K18" s="148" t="n"/>
      <c r="L18" s="148" t="n"/>
      <c r="M18" s="148" t="n"/>
      <c r="N18" s="148" t="n"/>
      <c r="O18" s="148" t="n"/>
      <c r="P18" s="148" t="n"/>
      <c r="Q18" s="148" t="n"/>
      <c r="R18" s="148" t="n"/>
      <c r="S18" s="148" t="n"/>
      <c r="T18" s="170" t="n"/>
      <c r="U18" s="454" t="n"/>
      <c r="V18" s="71" t="n"/>
    </row>
    <row r="19" ht="13.5" customHeight="1" s="419">
      <c r="A19" s="171" t="n"/>
      <c r="B19" s="75" t="n"/>
      <c r="C19" s="76" t="n"/>
      <c r="D19" s="492" t="inlineStr">
        <is>
          <t>project-missing</t>
        </is>
      </c>
      <c r="E19" s="80" t="n"/>
      <c r="F19" s="148" t="n"/>
      <c r="G19" s="148" t="n"/>
      <c r="H19" s="493" t="inlineStr">
        <is>
          <t>O</t>
        </is>
      </c>
      <c r="I19" s="148" t="n"/>
      <c r="J19" s="148" t="n"/>
      <c r="K19" s="148" t="n"/>
      <c r="L19" s="148" t="n"/>
      <c r="M19" s="148" t="n"/>
      <c r="N19" s="148" t="n"/>
      <c r="O19" s="148" t="n"/>
      <c r="P19" s="148" t="n"/>
      <c r="Q19" s="148" t="n"/>
      <c r="R19" s="148" t="n"/>
      <c r="S19" s="148" t="n"/>
      <c r="T19" s="170" t="n"/>
      <c r="U19" s="454" t="n"/>
      <c r="V19" s="71" t="n"/>
    </row>
    <row r="20" ht="13.5" customHeight="1" s="419">
      <c r="A20" s="171" t="n"/>
      <c r="B20" s="494" t="inlineStr">
        <is>
          <t>metadata</t>
        </is>
      </c>
      <c r="C20" s="76" t="n"/>
      <c r="D20" s="77" t="n"/>
      <c r="E20" s="80" t="n"/>
      <c r="F20" s="148" t="n"/>
      <c r="G20" s="148" t="n"/>
      <c r="H20" s="148" t="n"/>
      <c r="I20" s="148" t="n"/>
      <c r="J20" s="148" t="n"/>
      <c r="K20" s="148" t="n"/>
      <c r="L20" s="148" t="n"/>
      <c r="M20" s="148" t="n"/>
      <c r="N20" s="148" t="n"/>
      <c r="O20" s="148" t="n"/>
      <c r="P20" s="148" t="n"/>
      <c r="Q20" s="148" t="n"/>
      <c r="R20" s="148" t="n"/>
      <c r="S20" s="148" t="n"/>
      <c r="T20" s="170" t="n"/>
      <c r="U20" s="454" t="n"/>
      <c r="V20" s="71" t="n"/>
    </row>
    <row r="21" ht="27" customHeight="1" s="419">
      <c r="A21" s="171" t="n"/>
      <c r="B21" s="75" t="n"/>
      <c r="C21" s="76" t="n"/>
      <c r="D21" s="492" t="inlineStr">
        <is>
          <t>GUARDS_METADATA on TasksController</t>
        </is>
      </c>
      <c r="E21" s="80" t="n"/>
      <c r="F21" s="148" t="n"/>
      <c r="G21" s="148" t="n"/>
      <c r="H21" s="148" t="n"/>
      <c r="I21" s="493" t="inlineStr">
        <is>
          <t>O</t>
        </is>
      </c>
      <c r="J21" s="148" t="n"/>
      <c r="K21" s="148" t="n"/>
      <c r="L21" s="148" t="n"/>
      <c r="M21" s="148" t="n"/>
      <c r="N21" s="148" t="n"/>
      <c r="O21" s="148" t="n"/>
      <c r="P21" s="148" t="n"/>
      <c r="Q21" s="148" t="n"/>
      <c r="R21" s="148" t="n"/>
      <c r="S21" s="148" t="n"/>
      <c r="T21" s="170" t="n"/>
      <c r="U21" s="454" t="n"/>
      <c r="V21" s="71" t="n"/>
    </row>
    <row r="22" ht="13.5" customHeight="1" s="419">
      <c r="A22" s="495" t="inlineStr">
        <is>
          <t>Confirm</t>
        </is>
      </c>
      <c r="B22" s="494" t="inlineStr">
        <is>
          <t>Return</t>
        </is>
      </c>
      <c r="C22" s="76" t="n"/>
      <c r="D22" s="77" t="n"/>
      <c r="E22" s="80" t="n"/>
      <c r="F22" s="148" t="n"/>
      <c r="G22" s="148" t="n"/>
      <c r="H22" s="148" t="n"/>
      <c r="I22" s="148" t="n"/>
      <c r="J22" s="148" t="n"/>
      <c r="K22" s="148" t="n"/>
      <c r="L22" s="148" t="n"/>
      <c r="M22" s="148" t="n"/>
      <c r="N22" s="148" t="n"/>
      <c r="O22" s="148" t="n"/>
      <c r="P22" s="148" t="n"/>
      <c r="Q22" s="148" t="n"/>
      <c r="R22" s="148" t="n"/>
      <c r="S22" s="148" t="n"/>
      <c r="T22" s="170" t="n"/>
      <c r="U22" s="454" t="n"/>
      <c r="V22" s="71" t="n"/>
    </row>
    <row r="23" ht="27" customHeight="1" s="419">
      <c r="A23" s="171" t="n"/>
      <c r="B23" s="75" t="n"/>
      <c r="C23" s="76" t="n"/>
      <c r="D23" s="492" t="inlineStr">
        <is>
          <t>Returns recent activity list for the project</t>
        </is>
      </c>
      <c r="E23" s="80" t="n"/>
      <c r="F23" s="493" t="inlineStr">
        <is>
          <t>O</t>
        </is>
      </c>
      <c r="G23" s="148" t="n"/>
      <c r="H23" s="148" t="n"/>
      <c r="I23" s="148" t="n"/>
      <c r="J23" s="148" t="n"/>
      <c r="K23" s="148" t="n"/>
      <c r="L23" s="148" t="n"/>
      <c r="M23" s="148" t="n"/>
      <c r="N23" s="148" t="n"/>
      <c r="O23" s="148" t="n"/>
      <c r="P23" s="148" t="n"/>
      <c r="Q23" s="148" t="n"/>
      <c r="R23" s="148" t="n"/>
      <c r="S23" s="148" t="n"/>
      <c r="T23" s="170" t="n"/>
      <c r="U23" s="454" t="n"/>
      <c r="V23" s="71" t="n"/>
    </row>
    <row r="24" ht="27" customHeight="1" s="419">
      <c r="A24" s="171" t="n"/>
      <c r="B24" s="75" t="n"/>
      <c r="C24" s="76" t="n"/>
      <c r="D24" s="492" t="inlineStr">
        <is>
          <t>Returns empty array when no activity is tracked</t>
        </is>
      </c>
      <c r="E24" s="80" t="n"/>
      <c r="F24" s="148" t="n"/>
      <c r="G24" s="493" t="inlineStr">
        <is>
          <t>O</t>
        </is>
      </c>
      <c r="H24" s="148" t="n"/>
      <c r="I24" s="148" t="n"/>
      <c r="J24" s="148" t="n"/>
      <c r="K24" s="148" t="n"/>
      <c r="L24" s="148" t="n"/>
      <c r="M24" s="148" t="n"/>
      <c r="N24" s="148" t="n"/>
      <c r="O24" s="148" t="n"/>
      <c r="P24" s="148" t="n"/>
      <c r="Q24" s="148" t="n"/>
      <c r="R24" s="148" t="n"/>
      <c r="S24" s="148" t="n"/>
      <c r="T24" s="170" t="n"/>
      <c r="U24" s="454" t="n"/>
      <c r="V24" s="71" t="n"/>
    </row>
    <row r="25" ht="27" customHeight="1" s="419">
      <c r="A25" s="171" t="n"/>
      <c r="B25" s="75" t="n"/>
      <c r="C25" s="76" t="n"/>
      <c r="D25" s="492" t="inlineStr">
        <is>
          <t>Guard metadata exists for authenticated access</t>
        </is>
      </c>
      <c r="E25" s="80" t="n"/>
      <c r="F25" s="148" t="n"/>
      <c r="G25" s="148" t="n"/>
      <c r="H25" s="148" t="n"/>
      <c r="I25" s="493" t="inlineStr">
        <is>
          <t>O</t>
        </is>
      </c>
      <c r="J25" s="148" t="n"/>
      <c r="K25" s="148" t="n"/>
      <c r="L25" s="148" t="n"/>
      <c r="M25" s="148" t="n"/>
      <c r="N25" s="148" t="n"/>
      <c r="O25" s="148" t="n"/>
      <c r="P25" s="148" t="n"/>
      <c r="Q25" s="148" t="n"/>
      <c r="R25" s="148" t="n"/>
      <c r="S25" s="148" t="n"/>
      <c r="T25" s="170" t="n"/>
      <c r="U25" s="454" t="n"/>
      <c r="V25" s="71" t="n"/>
    </row>
    <row r="26" ht="13.5" customHeight="1" s="419">
      <c r="A26" s="171" t="n"/>
      <c r="B26" s="494" t="inlineStr">
        <is>
          <t>Exception</t>
        </is>
      </c>
      <c r="C26" s="76" t="n"/>
      <c r="D26" s="77" t="n"/>
      <c r="E26" s="80" t="n"/>
      <c r="F26" s="148" t="n"/>
      <c r="G26" s="148" t="n"/>
      <c r="H26" s="148" t="n"/>
      <c r="I26" s="148" t="n"/>
      <c r="J26" s="148" t="n"/>
      <c r="K26" s="148" t="n"/>
      <c r="L26" s="148" t="n"/>
      <c r="M26" s="148" t="n"/>
      <c r="N26" s="148" t="n"/>
      <c r="O26" s="148" t="n"/>
      <c r="P26" s="148" t="n"/>
      <c r="Q26" s="148" t="n"/>
      <c r="R26" s="148" t="n"/>
      <c r="S26" s="148" t="n"/>
      <c r="T26" s="170" t="n"/>
      <c r="U26" s="454" t="n"/>
      <c r="V26" s="71" t="n"/>
    </row>
    <row r="27" ht="27" customHeight="1" s="419">
      <c r="A27" s="171" t="n"/>
      <c r="B27" s="75" t="n"/>
      <c r="C27" s="76" t="n"/>
      <c r="D27" s="492" t="inlineStr">
        <is>
          <t>NotFoundException: Project not found</t>
        </is>
      </c>
      <c r="E27" s="80" t="n"/>
      <c r="F27" s="148" t="n"/>
      <c r="G27" s="148" t="n"/>
      <c r="H27" s="493" t="inlineStr">
        <is>
          <t>O</t>
        </is>
      </c>
      <c r="I27" s="148" t="n"/>
      <c r="J27" s="148" t="n"/>
      <c r="K27" s="148" t="n"/>
      <c r="L27" s="148" t="n"/>
      <c r="M27" s="148" t="n"/>
      <c r="N27" s="148" t="n"/>
      <c r="O27" s="148" t="n"/>
      <c r="P27" s="148" t="n"/>
      <c r="Q27" s="148" t="n"/>
      <c r="R27" s="148" t="n"/>
      <c r="S27" s="148" t="n"/>
      <c r="T27" s="170" t="n"/>
      <c r="U27" s="454" t="n"/>
      <c r="V27" s="71" t="n"/>
    </row>
    <row r="28" ht="13.5" customHeight="1" s="419">
      <c r="A28" s="171" t="n"/>
      <c r="B28" s="494" t="inlineStr">
        <is>
          <t>Log message</t>
        </is>
      </c>
      <c r="C28" s="76" t="n"/>
      <c r="D28" s="77" t="n"/>
      <c r="E28" s="80" t="n"/>
      <c r="F28" s="148" t="n"/>
      <c r="G28" s="148" t="n"/>
      <c r="H28" s="148" t="n"/>
      <c r="I28" s="148" t="n"/>
      <c r="J28" s="148" t="n"/>
      <c r="K28" s="148" t="n"/>
      <c r="L28" s="148" t="n"/>
      <c r="M28" s="148" t="n"/>
      <c r="N28" s="148" t="n"/>
      <c r="O28" s="148" t="n"/>
      <c r="P28" s="148" t="n"/>
      <c r="Q28" s="148" t="n"/>
      <c r="R28" s="148" t="n"/>
      <c r="S28" s="148" t="n"/>
      <c r="T28" s="170" t="n"/>
      <c r="U28" s="454" t="n"/>
      <c r="V28" s="71" t="n"/>
    </row>
    <row r="29" ht="40.5" customHeight="1" s="419">
      <c r="A29" s="171" t="n"/>
      <c r="B29" s="75" t="n"/>
      <c r="C29" s="76" t="n"/>
      <c r="D29" s="492" t="inlineStr">
        <is>
          <t>EP-270 UTC01 Returns recent activity for a valid project id</t>
        </is>
      </c>
      <c r="E29" s="80" t="n"/>
      <c r="F29" s="493" t="inlineStr">
        <is>
          <t>O</t>
        </is>
      </c>
      <c r="G29" s="148" t="n"/>
      <c r="H29" s="148" t="n"/>
      <c r="I29" s="148" t="n"/>
      <c r="J29" s="148" t="n"/>
      <c r="K29" s="148" t="n"/>
      <c r="L29" s="148" t="n"/>
      <c r="M29" s="148" t="n"/>
      <c r="N29" s="148" t="n"/>
      <c r="O29" s="148" t="n"/>
      <c r="P29" s="148" t="n"/>
      <c r="Q29" s="148" t="n"/>
      <c r="R29" s="148" t="n"/>
      <c r="S29" s="148" t="n"/>
      <c r="T29" s="170" t="n"/>
      <c r="U29" s="454" t="n"/>
      <c r="V29" s="71" t="n"/>
    </row>
    <row r="30" ht="40.5" customHeight="1" s="419">
      <c r="A30" s="171" t="n"/>
      <c r="B30" s="75" t="n"/>
      <c r="C30" s="76" t="n"/>
      <c r="D30" s="492" t="inlineStr">
        <is>
          <t>EP-270 UTC02 Returns an empty list when no recent activity exists</t>
        </is>
      </c>
      <c r="E30" s="80" t="n"/>
      <c r="F30" s="148" t="n"/>
      <c r="G30" s="493" t="inlineStr">
        <is>
          <t>O</t>
        </is>
      </c>
      <c r="H30" s="148" t="n"/>
      <c r="I30" s="148" t="n"/>
      <c r="J30" s="148" t="n"/>
      <c r="K30" s="148" t="n"/>
      <c r="L30" s="148" t="n"/>
      <c r="M30" s="148" t="n"/>
      <c r="N30" s="148" t="n"/>
      <c r="O30" s="148" t="n"/>
      <c r="P30" s="148" t="n"/>
      <c r="Q30" s="148" t="n"/>
      <c r="R30" s="148" t="n"/>
      <c r="S30" s="148" t="n"/>
      <c r="T30" s="170" t="n"/>
      <c r="U30" s="454" t="n"/>
      <c r="V30" s="71" t="n"/>
    </row>
    <row r="31" ht="40.5" customHeight="1" s="419">
      <c r="A31" s="171" t="n"/>
      <c r="B31" s="75" t="n"/>
      <c r="C31" s="76" t="n"/>
      <c r="D31" s="492" t="inlineStr">
        <is>
          <t>EP-270 UTC03 propagates service errors for unknown project ids</t>
        </is>
      </c>
      <c r="E31" s="80" t="n"/>
      <c r="F31" s="148" t="n"/>
      <c r="G31" s="148" t="n"/>
      <c r="H31" s="493" t="inlineStr">
        <is>
          <t>O</t>
        </is>
      </c>
      <c r="I31" s="148" t="n"/>
      <c r="J31" s="148" t="n"/>
      <c r="K31" s="148" t="n"/>
      <c r="L31" s="148" t="n"/>
      <c r="M31" s="148" t="n"/>
      <c r="N31" s="148" t="n"/>
      <c r="O31" s="148" t="n"/>
      <c r="P31" s="148" t="n"/>
      <c r="Q31" s="148" t="n"/>
      <c r="R31" s="148" t="n"/>
      <c r="S31" s="148" t="n"/>
      <c r="T31" s="170" t="n"/>
      <c r="U31" s="454" t="n"/>
      <c r="V31" s="71" t="n"/>
    </row>
    <row r="32" ht="40.5" customHeight="1" s="419">
      <c r="A32" s="171" t="n"/>
      <c r="B32" s="75" t="n"/>
      <c r="C32" s="76" t="n"/>
      <c r="D32" s="492" t="inlineStr">
        <is>
          <t>EP-270 UTC04 is protected by JwtAuthGuard at controller level</t>
        </is>
      </c>
      <c r="E32" s="80" t="n"/>
      <c r="F32" s="148" t="n"/>
      <c r="G32" s="148" t="n"/>
      <c r="H32" s="148" t="n"/>
      <c r="I32" s="493" t="inlineStr">
        <is>
          <t>O</t>
        </is>
      </c>
      <c r="J32" s="148" t="n"/>
      <c r="K32" s="148" t="n"/>
      <c r="L32" s="148" t="n"/>
      <c r="M32" s="148" t="n"/>
      <c r="N32" s="148" t="n"/>
      <c r="O32" s="148" t="n"/>
      <c r="P32" s="148" t="n"/>
      <c r="Q32" s="148" t="n"/>
      <c r="R32" s="148" t="n"/>
      <c r="S32" s="148" t="n"/>
      <c r="T32" s="170" t="n"/>
      <c r="U32" s="454" t="n"/>
      <c r="V32" s="71" t="n"/>
    </row>
    <row r="33" ht="13.5" customHeight="1" s="419">
      <c r="A33" s="495" t="inlineStr">
        <is>
          <t>Result</t>
        </is>
      </c>
      <c r="B33" s="494" t="inlineStr">
        <is>
          <t>Type(N : Normal, A : Abnormal, B : Boundary)</t>
        </is>
      </c>
      <c r="C33" s="76" t="n"/>
      <c r="D33" s="77" t="n"/>
      <c r="E33" s="80" t="n"/>
      <c r="F33" s="493" t="inlineStr">
        <is>
          <t>N</t>
        </is>
      </c>
      <c r="G33" s="493" t="inlineStr">
        <is>
          <t>B</t>
        </is>
      </c>
      <c r="H33" s="493" t="inlineStr">
        <is>
          <t>A</t>
        </is>
      </c>
      <c r="I33" s="493" t="inlineStr">
        <is>
          <t>A</t>
        </is>
      </c>
      <c r="J33" s="148" t="n"/>
      <c r="K33" s="148" t="n"/>
      <c r="L33" s="148" t="n"/>
      <c r="M33" s="148" t="n"/>
      <c r="N33" s="148" t="n"/>
      <c r="O33" s="148" t="n"/>
      <c r="P33" s="148" t="n"/>
      <c r="Q33" s="148" t="n"/>
      <c r="R33" s="148" t="n"/>
      <c r="S33" s="148" t="n"/>
      <c r="T33" s="170" t="n"/>
      <c r="U33" s="454" t="n"/>
      <c r="V33" s="71" t="n"/>
    </row>
    <row r="34" ht="13.5" customHeight="1" s="419">
      <c r="A34" s="171" t="n"/>
      <c r="B34" s="494" t="inlineStr">
        <is>
          <t>Passed/Failed</t>
        </is>
      </c>
      <c r="C34" s="76" t="n"/>
      <c r="D34" s="77" t="n"/>
      <c r="E34" s="81" t="n"/>
      <c r="F34" s="496" t="inlineStr">
        <is>
          <t>P</t>
        </is>
      </c>
      <c r="G34" s="496" t="inlineStr">
        <is>
          <t>P</t>
        </is>
      </c>
      <c r="H34" s="496" t="inlineStr">
        <is>
          <t>P</t>
        </is>
      </c>
      <c r="I34" s="496" t="inlineStr">
        <is>
          <t>P</t>
        </is>
      </c>
      <c r="J34" s="79" t="n"/>
      <c r="K34" s="79" t="n"/>
      <c r="L34" s="79" t="n"/>
      <c r="M34" s="79" t="n"/>
      <c r="N34" s="79" t="n"/>
      <c r="O34" s="79" t="n"/>
      <c r="P34" s="79" t="n"/>
      <c r="Q34" s="79" t="n"/>
      <c r="R34" s="79" t="n"/>
      <c r="S34" s="79" t="n"/>
      <c r="T34" s="195" t="n"/>
      <c r="U34" s="454" t="n"/>
      <c r="V34" s="454" t="n"/>
    </row>
    <row r="35" ht="42" customHeight="1" s="419">
      <c r="A35" s="171" t="n"/>
      <c r="B35" s="494" t="inlineStr">
        <is>
          <t>Executed Date</t>
        </is>
      </c>
      <c r="C35" s="76" t="n"/>
      <c r="D35" s="77" t="n"/>
      <c r="E35" s="80" t="n"/>
      <c r="F35" s="497" t="inlineStr">
        <is>
          <t>04-06</t>
        </is>
      </c>
      <c r="G35" s="497" t="inlineStr">
        <is>
          <t>04-06</t>
        </is>
      </c>
      <c r="H35" s="497" t="inlineStr">
        <is>
          <t>04-06</t>
        </is>
      </c>
      <c r="I35" s="497" t="inlineStr">
        <is>
          <t>04-06</t>
        </is>
      </c>
      <c r="J35" s="148" t="n"/>
      <c r="K35" s="148" t="n"/>
      <c r="L35" s="148" t="n"/>
      <c r="M35" s="148" t="n"/>
      <c r="N35" s="148" t="n"/>
      <c r="O35" s="148" t="n"/>
      <c r="P35" s="148" t="n"/>
      <c r="Q35" s="148" t="n"/>
      <c r="R35" s="148" t="n"/>
      <c r="S35" s="148" t="n"/>
      <c r="T35" s="170" t="n"/>
      <c r="U35" s="454" t="n"/>
      <c r="V35" s="71" t="n"/>
    </row>
    <row r="36" ht="13.5" customHeight="1" s="419">
      <c r="A36" s="171" t="n"/>
      <c r="B36" s="494" t="inlineStr">
        <is>
          <t>Defect ID</t>
        </is>
      </c>
      <c r="C36" s="76" t="n"/>
      <c r="D36" s="77" t="n"/>
      <c r="E36" s="80" t="n"/>
      <c r="F36" s="493" t="inlineStr"/>
      <c r="G36" s="493" t="inlineStr"/>
      <c r="H36" s="493" t="inlineStr"/>
      <c r="I36" s="493" t="inlineStr"/>
      <c r="J36" s="148" t="n"/>
      <c r="K36" s="148" t="n"/>
      <c r="L36" s="148" t="n"/>
      <c r="M36" s="148" t="n"/>
      <c r="N36" s="148" t="n"/>
      <c r="O36" s="148" t="n"/>
      <c r="P36" s="148" t="n"/>
      <c r="Q36" s="148" t="n"/>
      <c r="R36" s="148" t="n"/>
      <c r="S36" s="148" t="n"/>
      <c r="T36" s="170" t="n"/>
      <c r="U36" s="454" t="n"/>
      <c r="V36" s="71" t="n"/>
    </row>
    <row r="37" ht="13.5" customHeight="1" s="419"/>
    <row r="38" ht="13.5" customHeight="1" s="419"/>
    <row r="39" ht="13.5" customHeight="1" s="419"/>
    <row r="40" ht="13.5" customHeight="1" s="419"/>
    <row r="41" ht="13.5" customHeight="1" s="419"/>
    <row r="42" ht="13.5" customHeight="1" s="419"/>
    <row r="43" ht="13.5" customHeight="1" s="419"/>
    <row r="44" ht="13.5" customHeight="1" s="419"/>
    <row r="45" ht="13.5" customHeight="1" s="419"/>
    <row r="46" ht="13.5" customHeight="1" s="419"/>
    <row r="47" ht="13.5" customHeight="1" s="419"/>
    <row r="48" ht="13.5" customHeight="1" s="419"/>
    <row r="49" ht="13.5" customHeight="1" s="419"/>
    <row r="50" ht="13.5" customHeight="1" s="419"/>
    <row r="51" ht="13.5" customHeight="1" s="419"/>
    <row r="52" ht="13.5" customHeight="1" s="419"/>
    <row r="53" ht="13.5" customHeight="1" s="419"/>
    <row r="54" ht="13.5" customHeight="1" s="419"/>
    <row r="55" ht="13.5" customHeight="1" s="419"/>
    <row r="56" ht="13.5" customHeight="1" s="419"/>
    <row r="57" ht="13.5" customHeight="1" s="419"/>
    <row r="58" ht="13.5" customHeight="1" s="419"/>
    <row r="59" ht="13.5" customHeight="1" s="419"/>
    <row r="60" ht="13.5" customHeight="1" s="419"/>
    <row r="61" ht="13.5" customHeight="1" s="419"/>
    <row r="62" ht="13.5" customHeight="1" s="419"/>
    <row r="63" ht="13.5" customHeight="1" s="419"/>
    <row r="64" ht="13.5" customHeight="1" s="419"/>
    <row r="65" ht="13.5" customHeight="1" s="419" thickBot="1"/>
    <row r="66" ht="13.5" customHeight="1" s="419" thickTop="1"/>
    <row r="67" ht="13.5" customHeight="1" s="419"/>
    <row r="68" ht="71.5" customHeight="1" s="419"/>
    <row r="69" ht="10.5" customHeight="1" s="419" thickBot="1"/>
  </sheetData>
  <mergeCells count="27">
    <mergeCell ref="B67:D67"/>
    <mergeCell ref="F2:K2"/>
    <mergeCell ref="B69:D69"/>
    <mergeCell ref="A6:B6"/>
    <mergeCell ref="C4:D4"/>
    <mergeCell ref="C2:E2"/>
    <mergeCell ref="L4:T4"/>
    <mergeCell ref="A7:B7"/>
    <mergeCell ref="B68:D68"/>
    <mergeCell ref="C7:E7"/>
    <mergeCell ref="L6:N6"/>
    <mergeCell ref="A3:B3"/>
    <mergeCell ref="A2:B2"/>
    <mergeCell ref="A5:B5"/>
    <mergeCell ref="C3:E3"/>
    <mergeCell ref="F4:K4"/>
    <mergeCell ref="O7:T7"/>
    <mergeCell ref="C6:E6"/>
    <mergeCell ref="A4:B4"/>
    <mergeCell ref="L2:T2"/>
    <mergeCell ref="O6:T6"/>
    <mergeCell ref="B66:D66"/>
    <mergeCell ref="F6:K6"/>
    <mergeCell ref="F7:K7"/>
    <mergeCell ref="C5:T5"/>
    <mergeCell ref="L3:T3"/>
    <mergeCell ref="F3:K3"/>
  </mergeCells>
  <pageMargins left="0.75" right="0.75" top="0.75" bottom="0.75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6"/>
  <sheetViews>
    <sheetView zoomScale="145" zoomScaleNormal="145" workbookViewId="0">
      <selection activeCell="A1" sqref="A1"/>
    </sheetView>
  </sheetViews>
  <sheetFormatPr baseColWidth="8" defaultColWidth="9" defaultRowHeight="13.5" customHeight="1"/>
  <cols>
    <col width="8.1796875" customWidth="1" style="69" min="1" max="1"/>
    <col width="13.453125" customWidth="1" style="73" min="2" max="2"/>
    <col width="10.81640625" customWidth="1" style="69" min="3" max="3"/>
    <col width="26.6328125" customWidth="1" style="403" min="4" max="4"/>
    <col hidden="1" width="1.81640625" customWidth="1" style="69" min="5" max="5"/>
    <col width="2.81640625" bestFit="1" customWidth="1" style="69" min="6" max="11"/>
    <col width="13" customWidth="1" style="419" min="7" max="7"/>
    <col width="13" customWidth="1" style="419" min="8" max="8"/>
    <col width="13" customWidth="1" style="419" min="9" max="9"/>
    <col width="13" customWidth="1" style="419" min="10" max="10"/>
    <col width="13" customWidth="1" style="419" min="11" max="11"/>
    <col width="2.81640625" customWidth="1" style="69" min="12" max="19"/>
    <col width="13" customWidth="1" style="419" min="13" max="13"/>
    <col width="13" customWidth="1" style="419" min="14" max="14"/>
    <col width="13" customWidth="1" style="419" min="15" max="15"/>
    <col width="13" customWidth="1" style="419" min="16" max="16"/>
    <col width="13" customWidth="1" style="419" min="17" max="17"/>
    <col width="13" customWidth="1" style="419" min="18" max="18"/>
    <col width="13" customWidth="1" style="419" min="19" max="19"/>
    <col width="2.81640625" bestFit="1" customWidth="1" style="69" min="20" max="20"/>
    <col hidden="1" width="2.81640625" customWidth="1" style="69" min="21" max="21"/>
    <col hidden="1" width="11" customWidth="1" style="69" min="22" max="256"/>
    <col width="9" customWidth="1" style="69" min="257" max="16384"/>
  </cols>
  <sheetData>
    <row r="1" ht="13.5" customHeight="1" s="419" thickBot="1">
      <c r="A1" s="67" t="n"/>
      <c r="B1" s="68" t="n"/>
    </row>
    <row r="2" ht="13.5" customHeight="1" s="419">
      <c r="A2" s="346" t="inlineStr">
        <is>
          <t>Function Code</t>
        </is>
      </c>
      <c r="B2" s="458" t="n"/>
      <c r="C2" s="459" t="inlineStr">
        <is>
          <t>EP-271</t>
        </is>
      </c>
      <c r="D2" s="458" t="n"/>
      <c r="E2" s="460" t="n"/>
      <c r="F2" s="404" t="inlineStr">
        <is>
          <t>Function Name</t>
        </is>
      </c>
      <c r="G2" s="461" t="n"/>
      <c r="H2" s="461" t="n"/>
      <c r="I2" s="461" t="n"/>
      <c r="J2" s="461" t="n"/>
      <c r="K2" s="461" t="n"/>
      <c r="L2" s="462" t="inlineStr">
        <is>
          <t>Get Task History</t>
        </is>
      </c>
      <c r="M2" s="458" t="n"/>
      <c r="N2" s="458" t="n"/>
      <c r="O2" s="458" t="n"/>
      <c r="P2" s="458" t="n"/>
      <c r="Q2" s="458" t="n"/>
      <c r="R2" s="458" t="n"/>
      <c r="S2" s="458" t="n"/>
      <c r="T2" s="463" t="n"/>
      <c r="V2" s="71" t="n"/>
    </row>
    <row r="3" ht="13.5" customHeight="1" s="419">
      <c r="A3" s="464" t="inlineStr">
        <is>
          <t>Created By</t>
        </is>
      </c>
      <c r="B3" s="421" t="n"/>
      <c r="C3" s="465" t="inlineStr">
        <is>
          <t>GitHub Copilot</t>
        </is>
      </c>
      <c r="D3" s="430" t="n"/>
      <c r="E3" s="466" t="n"/>
      <c r="F3" s="467" t="inlineStr">
        <is>
          <t>Executed By</t>
        </is>
      </c>
      <c r="G3" s="468" t="n"/>
      <c r="H3" s="468" t="n"/>
      <c r="I3" s="468" t="n"/>
      <c r="J3" s="468" t="n"/>
      <c r="K3" s="469" t="n"/>
      <c r="L3" s="470" t="inlineStr">
        <is>
          <t>GitHub Copilot</t>
        </is>
      </c>
      <c r="M3" s="471" t="n"/>
      <c r="N3" s="471" t="n"/>
      <c r="O3" s="471" t="n"/>
      <c r="P3" s="471" t="n"/>
      <c r="Q3" s="471" t="n"/>
      <c r="R3" s="471" t="n"/>
      <c r="S3" s="471" t="n"/>
      <c r="T3" s="472" t="n"/>
    </row>
    <row r="4" ht="13.5" customHeight="1" s="419">
      <c r="A4" s="464" t="inlineStr">
        <is>
          <t>Lines  of code</t>
        </is>
      </c>
      <c r="B4" s="421" t="n"/>
      <c r="C4" s="473" t="n">
        <v>4</v>
      </c>
      <c r="D4" s="420" t="n"/>
      <c r="E4" s="353" t="n"/>
      <c r="F4" s="467" t="inlineStr">
        <is>
          <t>Lack of test cases</t>
        </is>
      </c>
      <c r="G4" s="468" t="n"/>
      <c r="H4" s="468" t="n"/>
      <c r="I4" s="468" t="n"/>
      <c r="J4" s="468" t="n"/>
      <c r="K4" s="469" t="n"/>
      <c r="L4" s="474" t="n">
        <v>0</v>
      </c>
      <c r="M4" s="420" t="n"/>
      <c r="N4" s="420" t="n"/>
      <c r="O4" s="420" t="n"/>
      <c r="P4" s="420" t="n"/>
      <c r="Q4" s="420" t="n"/>
      <c r="R4" s="420" t="n"/>
      <c r="S4" s="420" t="n"/>
      <c r="T4" s="475" t="n"/>
      <c r="V4" s="71" t="n"/>
    </row>
    <row r="5" ht="13.5" customHeight="1" s="419">
      <c r="A5" s="464" t="inlineStr">
        <is>
          <t>Test requirement</t>
        </is>
      </c>
      <c r="B5" s="421" t="n"/>
      <c r="C5" s="476" t="inlineStr">
        <is>
          <t>Verify getTaskHistory: valid, edge, error, and auth cases for EP-271.</t>
        </is>
      </c>
      <c r="D5" s="420" t="n"/>
      <c r="E5" s="420" t="n"/>
      <c r="F5" s="420" t="n"/>
      <c r="G5" s="420" t="n"/>
      <c r="H5" s="420" t="n"/>
      <c r="I5" s="420" t="n"/>
      <c r="J5" s="420" t="n"/>
      <c r="K5" s="420" t="n"/>
      <c r="L5" s="420" t="n"/>
      <c r="M5" s="420" t="n"/>
      <c r="N5" s="420" t="n"/>
      <c r="O5" s="420" t="n"/>
      <c r="P5" s="420" t="n"/>
      <c r="Q5" s="420" t="n"/>
      <c r="R5" s="420" t="n"/>
      <c r="S5" s="420" t="n"/>
      <c r="T5" s="475" t="n"/>
    </row>
    <row r="6" ht="13.5" customHeight="1" s="419">
      <c r="A6" s="477" t="inlineStr">
        <is>
          <t>Passed</t>
        </is>
      </c>
      <c r="B6" s="421" t="n"/>
      <c r="C6" s="478" t="inlineStr">
        <is>
          <t>Failed</t>
        </is>
      </c>
      <c r="D6" s="420" t="n"/>
      <c r="E6" s="421" t="n"/>
      <c r="F6" s="479" t="inlineStr">
        <is>
          <t>Untested</t>
        </is>
      </c>
      <c r="G6" s="420" t="n"/>
      <c r="H6" s="420" t="n"/>
      <c r="I6" s="420" t="n"/>
      <c r="J6" s="420" t="n"/>
      <c r="K6" s="480" t="n"/>
      <c r="L6" s="312" t="inlineStr">
        <is>
          <t>N/A/B</t>
        </is>
      </c>
      <c r="M6" s="420" t="n"/>
      <c r="N6" s="420" t="n"/>
      <c r="O6" s="481" t="inlineStr">
        <is>
          <t>Total Test Cases</t>
        </is>
      </c>
      <c r="P6" s="420" t="n"/>
      <c r="Q6" s="420" t="n"/>
      <c r="R6" s="420" t="n"/>
      <c r="S6" s="420" t="n"/>
      <c r="T6" s="482" t="n"/>
      <c r="V6" s="71" t="n"/>
    </row>
    <row r="7" ht="13.5" customHeight="1" s="419" thickBot="1">
      <c r="A7" s="483">
        <f>COUNTIF(F34:I34,"P")</f>
        <v/>
      </c>
      <c r="B7" s="484" t="n"/>
      <c r="C7" s="485">
        <f>COUNTIF(F34:I34,"F")</f>
        <v/>
      </c>
      <c r="D7" s="486" t="n"/>
      <c r="E7" s="484" t="n"/>
      <c r="F7" s="487">
        <f>COUNTIF(F34:I34,"U")</f>
        <v/>
      </c>
      <c r="G7" s="486" t="n"/>
      <c r="H7" s="486" t="n"/>
      <c r="I7" s="486" t="n"/>
      <c r="J7" s="486" t="n"/>
      <c r="K7" s="488" t="n"/>
      <c r="L7" s="489">
        <f>COUNTIF(F33:I33,"N")</f>
        <v/>
      </c>
      <c r="M7" s="489">
        <f>COUNTIF(F33:I33,"A")</f>
        <v/>
      </c>
      <c r="N7" s="489">
        <f>COUNTIF(F33:I33,"B")</f>
        <v/>
      </c>
      <c r="O7" s="490">
        <f>COUNTA(F9:I9)</f>
        <v/>
      </c>
      <c r="P7" s="486" t="n"/>
      <c r="Q7" s="486" t="n"/>
      <c r="R7" s="486" t="n"/>
      <c r="S7" s="486" t="n"/>
      <c r="T7" s="491" t="n"/>
      <c r="U7" s="72" t="n"/>
    </row>
    <row r="8" ht="10.5" customHeight="1" s="419" thickBot="1"/>
    <row r="9" ht="45" customHeight="1" s="419" thickBot="1" thickTop="1">
      <c r="A9" s="189" t="n"/>
      <c r="B9" s="165" t="n"/>
      <c r="C9" s="166" t="n"/>
      <c r="D9" s="167" t="n"/>
      <c r="E9" s="166" t="n"/>
      <c r="F9" s="168" t="inlineStr">
        <is>
          <t>UTC01</t>
        </is>
      </c>
      <c r="G9" s="168" t="inlineStr">
        <is>
          <t>UTC02</t>
        </is>
      </c>
      <c r="H9" s="168" t="inlineStr">
        <is>
          <t>UTC03</t>
        </is>
      </c>
      <c r="I9" s="168" t="inlineStr">
        <is>
          <t>UTC04</t>
        </is>
      </c>
      <c r="J9" s="168" t="n"/>
      <c r="K9" s="168" t="n"/>
      <c r="L9" s="168" t="n"/>
      <c r="M9" s="168" t="n"/>
      <c r="N9" s="168" t="n"/>
      <c r="O9" s="168" t="n"/>
      <c r="P9" s="168" t="n"/>
      <c r="Q9" s="168" t="n"/>
      <c r="R9" s="168" t="n"/>
      <c r="S9" s="168" t="n"/>
      <c r="T9" s="169" t="n"/>
      <c r="U9" s="74" t="n"/>
      <c r="V9" s="71" t="n"/>
    </row>
    <row r="10" ht="13.5" customHeight="1" s="419">
      <c r="A10" s="183" t="inlineStr">
        <is>
          <t>Condition</t>
        </is>
      </c>
      <c r="B10" s="184" t="inlineStr">
        <is>
          <t>Precondition</t>
        </is>
      </c>
      <c r="C10" s="76" t="n"/>
      <c r="D10" s="77" t="n"/>
      <c r="E10" s="78" t="n"/>
      <c r="F10" s="79" t="n"/>
      <c r="G10" s="79" t="n"/>
      <c r="H10" s="79" t="n"/>
      <c r="I10" s="79" t="n"/>
      <c r="J10" s="79" t="n"/>
      <c r="K10" s="79" t="n"/>
      <c r="L10" s="79" t="n"/>
      <c r="M10" s="79" t="n"/>
      <c r="N10" s="79" t="n"/>
      <c r="O10" s="79" t="n"/>
      <c r="P10" s="79" t="n"/>
      <c r="Q10" s="79" t="n"/>
      <c r="R10" s="79" t="n"/>
      <c r="S10" s="79" t="n"/>
      <c r="T10" s="195" t="n"/>
    </row>
    <row r="11" ht="13.5" customHeight="1" s="419">
      <c r="A11" s="171" t="n"/>
      <c r="B11" s="75" t="n"/>
      <c r="C11" s="76" t="n"/>
      <c r="D11" s="492" t="inlineStr">
        <is>
          <t>user exists</t>
        </is>
      </c>
      <c r="E11" s="80" t="n"/>
      <c r="F11" s="493" t="inlineStr">
        <is>
          <t>O</t>
        </is>
      </c>
      <c r="G11" s="493" t="inlineStr">
        <is>
          <t>O</t>
        </is>
      </c>
      <c r="H11" s="493" t="inlineStr">
        <is>
          <t>O</t>
        </is>
      </c>
      <c r="I11" s="148" t="n"/>
      <c r="J11" s="148" t="n"/>
      <c r="K11" s="148" t="n"/>
      <c r="L11" s="148" t="n"/>
      <c r="M11" s="148" t="n"/>
      <c r="N11" s="148" t="n"/>
      <c r="O11" s="148" t="n"/>
      <c r="P11" s="148" t="n"/>
      <c r="Q11" s="148" t="n"/>
      <c r="R11" s="148" t="n"/>
      <c r="S11" s="148" t="n"/>
      <c r="T11" s="170" t="n"/>
      <c r="U11" s="454" t="n"/>
      <c r="V11" s="71" t="n"/>
    </row>
    <row r="12" ht="13.5" customHeight="1" s="419">
      <c r="A12" s="171" t="n"/>
      <c r="B12" s="75" t="n"/>
      <c r="C12" s="76" t="n"/>
      <c r="D12" s="492" t="inlineStr">
        <is>
          <t>Task "task-1" exists</t>
        </is>
      </c>
      <c r="E12" s="80" t="n"/>
      <c r="F12" s="493" t="inlineStr">
        <is>
          <t>O</t>
        </is>
      </c>
      <c r="G12" s="148" t="n"/>
      <c r="H12" s="148" t="n"/>
      <c r="I12" s="148" t="n"/>
      <c r="J12" s="148" t="n"/>
      <c r="K12" s="148" t="n"/>
      <c r="L12" s="148" t="n"/>
      <c r="M12" s="148" t="n"/>
      <c r="N12" s="148" t="n"/>
      <c r="O12" s="148" t="n"/>
      <c r="P12" s="148" t="n"/>
      <c r="Q12" s="148" t="n"/>
      <c r="R12" s="148" t="n"/>
      <c r="S12" s="148" t="n"/>
      <c r="T12" s="170" t="n"/>
      <c r="U12" s="454" t="n"/>
      <c r="V12" s="71" t="n"/>
    </row>
    <row r="13" ht="27" customHeight="1" s="419">
      <c r="A13" s="171" t="n"/>
      <c r="B13" s="75" t="n"/>
      <c r="C13" s="76" t="n"/>
      <c r="D13" s="492" t="inlineStr">
        <is>
          <t>Task "task-clean" exists with no history</t>
        </is>
      </c>
      <c r="E13" s="80" t="n"/>
      <c r="F13" s="148" t="n"/>
      <c r="G13" s="493" t="inlineStr">
        <is>
          <t>O</t>
        </is>
      </c>
      <c r="H13" s="148" t="n"/>
      <c r="I13" s="148" t="n"/>
      <c r="J13" s="148" t="n"/>
      <c r="K13" s="148" t="n"/>
      <c r="L13" s="148" t="n"/>
      <c r="M13" s="148" t="n"/>
      <c r="N13" s="148" t="n"/>
      <c r="O13" s="148" t="n"/>
      <c r="P13" s="148" t="n"/>
      <c r="Q13" s="148" t="n"/>
      <c r="R13" s="148" t="n"/>
      <c r="S13" s="148" t="n"/>
      <c r="T13" s="170" t="n"/>
      <c r="U13" s="454" t="n"/>
      <c r="V13" s="71" t="n"/>
    </row>
    <row r="14" ht="27" customHeight="1" s="419">
      <c r="A14" s="171" t="n"/>
      <c r="B14" s="75" t="n"/>
      <c r="C14" s="76" t="n"/>
      <c r="D14" s="492" t="inlineStr">
        <is>
          <t>Task "task-missing" does not exist</t>
        </is>
      </c>
      <c r="E14" s="80" t="n"/>
      <c r="F14" s="148" t="n"/>
      <c r="G14" s="148" t="n"/>
      <c r="H14" s="493" t="inlineStr">
        <is>
          <t>O</t>
        </is>
      </c>
      <c r="I14" s="148" t="n"/>
      <c r="J14" s="148" t="n"/>
      <c r="K14" s="148" t="n"/>
      <c r="L14" s="148" t="n"/>
      <c r="M14" s="148" t="n"/>
      <c r="N14" s="148" t="n"/>
      <c r="O14" s="148" t="n"/>
      <c r="P14" s="148" t="n"/>
      <c r="Q14" s="148" t="n"/>
      <c r="R14" s="148" t="n"/>
      <c r="S14" s="148" t="n"/>
      <c r="T14" s="170" t="n"/>
      <c r="U14" s="454" t="n"/>
      <c r="V14" s="71" t="n"/>
    </row>
    <row r="15" ht="27" customHeight="1" s="419">
      <c r="A15" s="171" t="n"/>
      <c r="B15" s="75" t="n"/>
      <c r="C15" s="76" t="n"/>
      <c r="D15" s="492" t="inlineStr">
        <is>
          <t>TasksController is decorated with class-level guards</t>
        </is>
      </c>
      <c r="E15" s="80" t="n"/>
      <c r="F15" s="148" t="n"/>
      <c r="G15" s="148" t="n"/>
      <c r="H15" s="148" t="n"/>
      <c r="I15" s="493" t="inlineStr">
        <is>
          <t>O</t>
        </is>
      </c>
      <c r="J15" s="148" t="n"/>
      <c r="K15" s="148" t="n"/>
      <c r="L15" s="148" t="n"/>
      <c r="M15" s="148" t="n"/>
      <c r="N15" s="148" t="n"/>
      <c r="O15" s="148" t="n"/>
      <c r="P15" s="148" t="n"/>
      <c r="Q15" s="148" t="n"/>
      <c r="R15" s="148" t="n"/>
      <c r="S15" s="148" t="n"/>
      <c r="T15" s="170" t="n"/>
      <c r="U15" s="454" t="n"/>
      <c r="V15" s="71" t="n"/>
    </row>
    <row r="16" ht="13.5" customHeight="1" s="419">
      <c r="A16" s="171" t="n"/>
      <c r="B16" s="494" t="inlineStr">
        <is>
          <t>id</t>
        </is>
      </c>
      <c r="C16" s="76" t="n"/>
      <c r="D16" s="77" t="n"/>
      <c r="E16" s="80" t="n"/>
      <c r="F16" s="148" t="n"/>
      <c r="G16" s="148" t="n"/>
      <c r="H16" s="148" t="n"/>
      <c r="I16" s="148" t="n"/>
      <c r="J16" s="148" t="n"/>
      <c r="K16" s="148" t="n"/>
      <c r="L16" s="148" t="n"/>
      <c r="M16" s="148" t="n"/>
      <c r="N16" s="148" t="n"/>
      <c r="O16" s="148" t="n"/>
      <c r="P16" s="148" t="n"/>
      <c r="Q16" s="148" t="n"/>
      <c r="R16" s="148" t="n"/>
      <c r="S16" s="148" t="n"/>
      <c r="T16" s="170" t="n"/>
      <c r="U16" s="454" t="n"/>
      <c r="V16" s="71" t="n"/>
    </row>
    <row r="17" ht="13.5" customHeight="1" s="419">
      <c r="A17" s="171" t="n"/>
      <c r="B17" s="75" t="n"/>
      <c r="C17" s="76" t="n"/>
      <c r="D17" s="492" t="inlineStr">
        <is>
          <t>task-1</t>
        </is>
      </c>
      <c r="E17" s="80" t="n"/>
      <c r="F17" s="493" t="inlineStr">
        <is>
          <t>O</t>
        </is>
      </c>
      <c r="G17" s="148" t="n"/>
      <c r="H17" s="148" t="n"/>
      <c r="I17" s="148" t="n"/>
      <c r="J17" s="148" t="n"/>
      <c r="K17" s="148" t="n"/>
      <c r="L17" s="148" t="n"/>
      <c r="M17" s="148" t="n"/>
      <c r="N17" s="148" t="n"/>
      <c r="O17" s="148" t="n"/>
      <c r="P17" s="148" t="n"/>
      <c r="Q17" s="148" t="n"/>
      <c r="R17" s="148" t="n"/>
      <c r="S17" s="148" t="n"/>
      <c r="T17" s="170" t="n"/>
      <c r="U17" s="454" t="n"/>
      <c r="V17" s="71" t="n"/>
    </row>
    <row r="18" ht="13.5" customHeight="1" s="419">
      <c r="A18" s="171" t="n"/>
      <c r="B18" s="75" t="n"/>
      <c r="C18" s="76" t="n"/>
      <c r="D18" s="492" t="inlineStr">
        <is>
          <t>task-clean</t>
        </is>
      </c>
      <c r="E18" s="80" t="n"/>
      <c r="F18" s="148" t="n"/>
      <c r="G18" s="493" t="inlineStr">
        <is>
          <t>O</t>
        </is>
      </c>
      <c r="H18" s="148" t="n"/>
      <c r="I18" s="148" t="n"/>
      <c r="J18" s="148" t="n"/>
      <c r="K18" s="148" t="n"/>
      <c r="L18" s="148" t="n"/>
      <c r="M18" s="148" t="n"/>
      <c r="N18" s="148" t="n"/>
      <c r="O18" s="148" t="n"/>
      <c r="P18" s="148" t="n"/>
      <c r="Q18" s="148" t="n"/>
      <c r="R18" s="148" t="n"/>
      <c r="S18" s="148" t="n"/>
      <c r="T18" s="170" t="n"/>
      <c r="U18" s="454" t="n"/>
      <c r="V18" s="71" t="n"/>
    </row>
    <row r="19" ht="13.5" customHeight="1" s="419">
      <c r="A19" s="171" t="n"/>
      <c r="B19" s="75" t="n"/>
      <c r="C19" s="76" t="n"/>
      <c r="D19" s="492" t="inlineStr">
        <is>
          <t>task-missing</t>
        </is>
      </c>
      <c r="E19" s="80" t="n"/>
      <c r="F19" s="148" t="n"/>
      <c r="G19" s="148" t="n"/>
      <c r="H19" s="493" t="inlineStr">
        <is>
          <t>O</t>
        </is>
      </c>
      <c r="I19" s="148" t="n"/>
      <c r="J19" s="148" t="n"/>
      <c r="K19" s="148" t="n"/>
      <c r="L19" s="148" t="n"/>
      <c r="M19" s="148" t="n"/>
      <c r="N19" s="148" t="n"/>
      <c r="O19" s="148" t="n"/>
      <c r="P19" s="148" t="n"/>
      <c r="Q19" s="148" t="n"/>
      <c r="R19" s="148" t="n"/>
      <c r="S19" s="148" t="n"/>
      <c r="T19" s="170" t="n"/>
      <c r="U19" s="454" t="n"/>
      <c r="V19" s="71" t="n"/>
    </row>
    <row r="20" ht="13.5" customHeight="1" s="419">
      <c r="A20" s="171" t="n"/>
      <c r="B20" s="494" t="inlineStr">
        <is>
          <t>metadata</t>
        </is>
      </c>
      <c r="C20" s="76" t="n"/>
      <c r="D20" s="77" t="n"/>
      <c r="E20" s="80" t="n"/>
      <c r="F20" s="148" t="n"/>
      <c r="G20" s="148" t="n"/>
      <c r="H20" s="148" t="n"/>
      <c r="I20" s="148" t="n"/>
      <c r="J20" s="148" t="n"/>
      <c r="K20" s="148" t="n"/>
      <c r="L20" s="148" t="n"/>
      <c r="M20" s="148" t="n"/>
      <c r="N20" s="148" t="n"/>
      <c r="O20" s="148" t="n"/>
      <c r="P20" s="148" t="n"/>
      <c r="Q20" s="148" t="n"/>
      <c r="R20" s="148" t="n"/>
      <c r="S20" s="148" t="n"/>
      <c r="T20" s="170" t="n"/>
      <c r="U20" s="454" t="n"/>
      <c r="V20" s="71" t="n"/>
    </row>
    <row r="21" ht="27" customHeight="1" s="419">
      <c r="A21" s="171" t="n"/>
      <c r="B21" s="75" t="n"/>
      <c r="C21" s="76" t="n"/>
      <c r="D21" s="492" t="inlineStr">
        <is>
          <t>GUARDS_METADATA on TasksController</t>
        </is>
      </c>
      <c r="E21" s="80" t="n"/>
      <c r="F21" s="148" t="n"/>
      <c r="G21" s="148" t="n"/>
      <c r="H21" s="148" t="n"/>
      <c r="I21" s="493" t="inlineStr">
        <is>
          <t>O</t>
        </is>
      </c>
      <c r="J21" s="148" t="n"/>
      <c r="K21" s="148" t="n"/>
      <c r="L21" s="148" t="n"/>
      <c r="M21" s="148" t="n"/>
      <c r="N21" s="148" t="n"/>
      <c r="O21" s="148" t="n"/>
      <c r="P21" s="148" t="n"/>
      <c r="Q21" s="148" t="n"/>
      <c r="R21" s="148" t="n"/>
      <c r="S21" s="148" t="n"/>
      <c r="T21" s="170" t="n"/>
      <c r="U21" s="454" t="n"/>
      <c r="V21" s="71" t="n"/>
    </row>
    <row r="22" ht="13.5" customHeight="1" s="419">
      <c r="A22" s="495" t="inlineStr">
        <is>
          <t>Confirm</t>
        </is>
      </c>
      <c r="B22" s="494" t="inlineStr">
        <is>
          <t>Return</t>
        </is>
      </c>
      <c r="C22" s="76" t="n"/>
      <c r="D22" s="77" t="n"/>
      <c r="E22" s="80" t="n"/>
      <c r="F22" s="148" t="n"/>
      <c r="G22" s="148" t="n"/>
      <c r="H22" s="148" t="n"/>
      <c r="I22" s="148" t="n"/>
      <c r="J22" s="148" t="n"/>
      <c r="K22" s="148" t="n"/>
      <c r="L22" s="148" t="n"/>
      <c r="M22" s="148" t="n"/>
      <c r="N22" s="148" t="n"/>
      <c r="O22" s="148" t="n"/>
      <c r="P22" s="148" t="n"/>
      <c r="Q22" s="148" t="n"/>
      <c r="R22" s="148" t="n"/>
      <c r="S22" s="148" t="n"/>
      <c r="T22" s="170" t="n"/>
      <c r="U22" s="454" t="n"/>
      <c r="V22" s="71" t="n"/>
    </row>
    <row r="23" ht="27" customHeight="1" s="419">
      <c r="A23" s="171" t="n"/>
      <c r="B23" s="75" t="n"/>
      <c r="C23" s="76" t="n"/>
      <c r="D23" s="492" t="inlineStr">
        <is>
          <t>Returns history entries for task</t>
        </is>
      </c>
      <c r="E23" s="80" t="n"/>
      <c r="F23" s="493" t="inlineStr">
        <is>
          <t>O</t>
        </is>
      </c>
      <c r="G23" s="148" t="n"/>
      <c r="H23" s="148" t="n"/>
      <c r="I23" s="148" t="n"/>
      <c r="J23" s="148" t="n"/>
      <c r="K23" s="148" t="n"/>
      <c r="L23" s="148" t="n"/>
      <c r="M23" s="148" t="n"/>
      <c r="N23" s="148" t="n"/>
      <c r="O23" s="148" t="n"/>
      <c r="P23" s="148" t="n"/>
      <c r="Q23" s="148" t="n"/>
      <c r="R23" s="148" t="n"/>
      <c r="S23" s="148" t="n"/>
      <c r="T23" s="170" t="n"/>
      <c r="U23" s="454" t="n"/>
      <c r="V23" s="71" t="n"/>
    </row>
    <row r="24" ht="13.5" customHeight="1" s="419">
      <c r="A24" s="171" t="n"/>
      <c r="B24" s="75" t="n"/>
      <c r="C24" s="76" t="n"/>
      <c r="D24" s="492" t="inlineStr">
        <is>
          <t>Returns empty history list</t>
        </is>
      </c>
      <c r="E24" s="80" t="n"/>
      <c r="F24" s="148" t="n"/>
      <c r="G24" s="493" t="inlineStr">
        <is>
          <t>O</t>
        </is>
      </c>
      <c r="H24" s="148" t="n"/>
      <c r="I24" s="148" t="n"/>
      <c r="J24" s="148" t="n"/>
      <c r="K24" s="148" t="n"/>
      <c r="L24" s="148" t="n"/>
      <c r="M24" s="148" t="n"/>
      <c r="N24" s="148" t="n"/>
      <c r="O24" s="148" t="n"/>
      <c r="P24" s="148" t="n"/>
      <c r="Q24" s="148" t="n"/>
      <c r="R24" s="148" t="n"/>
      <c r="S24" s="148" t="n"/>
      <c r="T24" s="170" t="n"/>
      <c r="U24" s="454" t="n"/>
      <c r="V24" s="71" t="n"/>
    </row>
    <row r="25" ht="27" customHeight="1" s="419">
      <c r="A25" s="171" t="n"/>
      <c r="B25" s="75" t="n"/>
      <c r="C25" s="76" t="n"/>
      <c r="D25" s="492" t="inlineStr">
        <is>
          <t>Guard metadata exists for authenticated access</t>
        </is>
      </c>
      <c r="E25" s="80" t="n"/>
      <c r="F25" s="148" t="n"/>
      <c r="G25" s="148" t="n"/>
      <c r="H25" s="148" t="n"/>
      <c r="I25" s="493" t="inlineStr">
        <is>
          <t>O</t>
        </is>
      </c>
      <c r="J25" s="148" t="n"/>
      <c r="K25" s="148" t="n"/>
      <c r="L25" s="148" t="n"/>
      <c r="M25" s="148" t="n"/>
      <c r="N25" s="148" t="n"/>
      <c r="O25" s="148" t="n"/>
      <c r="P25" s="148" t="n"/>
      <c r="Q25" s="148" t="n"/>
      <c r="R25" s="148" t="n"/>
      <c r="S25" s="148" t="n"/>
      <c r="T25" s="170" t="n"/>
      <c r="U25" s="454" t="n"/>
      <c r="V25" s="71" t="n"/>
    </row>
    <row r="26" ht="13.5" customHeight="1" s="419">
      <c r="A26" s="171" t="n"/>
      <c r="B26" s="494" t="inlineStr">
        <is>
          <t>Exception</t>
        </is>
      </c>
      <c r="C26" s="76" t="n"/>
      <c r="D26" s="77" t="n"/>
      <c r="E26" s="80" t="n"/>
      <c r="F26" s="148" t="n"/>
      <c r="G26" s="148" t="n"/>
      <c r="H26" s="148" t="n"/>
      <c r="I26" s="148" t="n"/>
      <c r="J26" s="148" t="n"/>
      <c r="K26" s="148" t="n"/>
      <c r="L26" s="148" t="n"/>
      <c r="M26" s="148" t="n"/>
      <c r="N26" s="148" t="n"/>
      <c r="O26" s="148" t="n"/>
      <c r="P26" s="148" t="n"/>
      <c r="Q26" s="148" t="n"/>
      <c r="R26" s="148" t="n"/>
      <c r="S26" s="148" t="n"/>
      <c r="T26" s="170" t="n"/>
      <c r="U26" s="454" t="n"/>
      <c r="V26" s="71" t="n"/>
    </row>
    <row r="27" ht="27" customHeight="1" s="419">
      <c r="A27" s="171" t="n"/>
      <c r="B27" s="75" t="n"/>
      <c r="C27" s="76" t="n"/>
      <c r="D27" s="492" t="inlineStr">
        <is>
          <t>NotFoundException: Task not found</t>
        </is>
      </c>
      <c r="E27" s="80" t="n"/>
      <c r="F27" s="148" t="n"/>
      <c r="G27" s="148" t="n"/>
      <c r="H27" s="493" t="inlineStr">
        <is>
          <t>O</t>
        </is>
      </c>
      <c r="I27" s="148" t="n"/>
      <c r="J27" s="148" t="n"/>
      <c r="K27" s="148" t="n"/>
      <c r="L27" s="148" t="n"/>
      <c r="M27" s="148" t="n"/>
      <c r="N27" s="148" t="n"/>
      <c r="O27" s="148" t="n"/>
      <c r="P27" s="148" t="n"/>
      <c r="Q27" s="148" t="n"/>
      <c r="R27" s="148" t="n"/>
      <c r="S27" s="148" t="n"/>
      <c r="T27" s="170" t="n"/>
      <c r="U27" s="454" t="n"/>
      <c r="V27" s="71" t="n"/>
    </row>
    <row r="28" ht="13.5" customHeight="1" s="419">
      <c r="A28" s="171" t="n"/>
      <c r="B28" s="494" t="inlineStr">
        <is>
          <t>Log message</t>
        </is>
      </c>
      <c r="C28" s="76" t="n"/>
      <c r="D28" s="77" t="n"/>
      <c r="E28" s="80" t="n"/>
      <c r="F28" s="148" t="n"/>
      <c r="G28" s="148" t="n"/>
      <c r="H28" s="148" t="n"/>
      <c r="I28" s="148" t="n"/>
      <c r="J28" s="148" t="n"/>
      <c r="K28" s="148" t="n"/>
      <c r="L28" s="148" t="n"/>
      <c r="M28" s="148" t="n"/>
      <c r="N28" s="148" t="n"/>
      <c r="O28" s="148" t="n"/>
      <c r="P28" s="148" t="n"/>
      <c r="Q28" s="148" t="n"/>
      <c r="R28" s="148" t="n"/>
      <c r="S28" s="148" t="n"/>
      <c r="T28" s="170" t="n"/>
      <c r="U28" s="454" t="n"/>
      <c r="V28" s="71" t="n"/>
    </row>
    <row r="29" ht="40.5" customHeight="1" s="419">
      <c r="A29" s="171" t="n"/>
      <c r="B29" s="75" t="n"/>
      <c r="C29" s="76" t="n"/>
      <c r="D29" s="492" t="inlineStr">
        <is>
          <t>EP-271 UTC01 Returns task history for a valid task id</t>
        </is>
      </c>
      <c r="E29" s="80" t="n"/>
      <c r="F29" s="493" t="inlineStr">
        <is>
          <t>O</t>
        </is>
      </c>
      <c r="G29" s="148" t="n"/>
      <c r="H29" s="148" t="n"/>
      <c r="I29" s="148" t="n"/>
      <c r="J29" s="148" t="n"/>
      <c r="K29" s="148" t="n"/>
      <c r="L29" s="148" t="n"/>
      <c r="M29" s="148" t="n"/>
      <c r="N29" s="148" t="n"/>
      <c r="O29" s="148" t="n"/>
      <c r="P29" s="148" t="n"/>
      <c r="Q29" s="148" t="n"/>
      <c r="R29" s="148" t="n"/>
      <c r="S29" s="148" t="n"/>
      <c r="T29" s="170" t="n"/>
      <c r="U29" s="454" t="n"/>
      <c r="V29" s="71" t="n"/>
    </row>
    <row r="30" ht="40.5" customHeight="1" s="419">
      <c r="A30" s="171" t="n"/>
      <c r="B30" s="75" t="n"/>
      <c r="C30" s="76" t="n"/>
      <c r="D30" s="492" t="inlineStr">
        <is>
          <t>EP-271 UTC02 Returns an empty list for tasks without history</t>
        </is>
      </c>
      <c r="E30" s="80" t="n"/>
      <c r="F30" s="148" t="n"/>
      <c r="G30" s="493" t="inlineStr">
        <is>
          <t>O</t>
        </is>
      </c>
      <c r="H30" s="148" t="n"/>
      <c r="I30" s="148" t="n"/>
      <c r="J30" s="148" t="n"/>
      <c r="K30" s="148" t="n"/>
      <c r="L30" s="148" t="n"/>
      <c r="M30" s="148" t="n"/>
      <c r="N30" s="148" t="n"/>
      <c r="O30" s="148" t="n"/>
      <c r="P30" s="148" t="n"/>
      <c r="Q30" s="148" t="n"/>
      <c r="R30" s="148" t="n"/>
      <c r="S30" s="148" t="n"/>
      <c r="T30" s="170" t="n"/>
      <c r="U30" s="454" t="n"/>
      <c r="V30" s="71" t="n"/>
    </row>
    <row r="31" ht="40.5" customHeight="1" s="419">
      <c r="A31" s="171" t="n"/>
      <c r="B31" s="75" t="n"/>
      <c r="C31" s="76" t="n"/>
      <c r="D31" s="492" t="inlineStr">
        <is>
          <t>EP-271 UTC03 propagates service errors for missing tasks</t>
        </is>
      </c>
      <c r="E31" s="80" t="n"/>
      <c r="F31" s="148" t="n"/>
      <c r="G31" s="148" t="n"/>
      <c r="H31" s="493" t="inlineStr">
        <is>
          <t>O</t>
        </is>
      </c>
      <c r="I31" s="148" t="n"/>
      <c r="J31" s="148" t="n"/>
      <c r="K31" s="148" t="n"/>
      <c r="L31" s="148" t="n"/>
      <c r="M31" s="148" t="n"/>
      <c r="N31" s="148" t="n"/>
      <c r="O31" s="148" t="n"/>
      <c r="P31" s="148" t="n"/>
      <c r="Q31" s="148" t="n"/>
      <c r="R31" s="148" t="n"/>
      <c r="S31" s="148" t="n"/>
      <c r="T31" s="170" t="n"/>
      <c r="U31" s="454" t="n"/>
      <c r="V31" s="71" t="n"/>
    </row>
    <row r="32" ht="40.5" customHeight="1" s="419">
      <c r="A32" s="171" t="n"/>
      <c r="B32" s="75" t="n"/>
      <c r="C32" s="76" t="n"/>
      <c r="D32" s="492" t="inlineStr">
        <is>
          <t>EP-271 UTC04 is protected by JwtAuthGuard at controller level</t>
        </is>
      </c>
      <c r="E32" s="80" t="n"/>
      <c r="F32" s="148" t="n"/>
      <c r="G32" s="148" t="n"/>
      <c r="H32" s="148" t="n"/>
      <c r="I32" s="493" t="inlineStr">
        <is>
          <t>O</t>
        </is>
      </c>
      <c r="J32" s="148" t="n"/>
      <c r="K32" s="148" t="n"/>
      <c r="L32" s="148" t="n"/>
      <c r="M32" s="148" t="n"/>
      <c r="N32" s="148" t="n"/>
      <c r="O32" s="148" t="n"/>
      <c r="P32" s="148" t="n"/>
      <c r="Q32" s="148" t="n"/>
      <c r="R32" s="148" t="n"/>
      <c r="S32" s="148" t="n"/>
      <c r="T32" s="170" t="n"/>
      <c r="U32" s="454" t="n"/>
      <c r="V32" s="71" t="n"/>
    </row>
    <row r="33" ht="13.5" customHeight="1" s="419">
      <c r="A33" s="495" t="inlineStr">
        <is>
          <t>Result</t>
        </is>
      </c>
      <c r="B33" s="494" t="inlineStr">
        <is>
          <t>Type(N : Normal, A : Abnormal, B : Boundary)</t>
        </is>
      </c>
      <c r="C33" s="76" t="n"/>
      <c r="D33" s="77" t="n"/>
      <c r="E33" s="80" t="n"/>
      <c r="F33" s="493" t="inlineStr">
        <is>
          <t>N</t>
        </is>
      </c>
      <c r="G33" s="493" t="inlineStr">
        <is>
          <t>B</t>
        </is>
      </c>
      <c r="H33" s="493" t="inlineStr">
        <is>
          <t>A</t>
        </is>
      </c>
      <c r="I33" s="493" t="inlineStr">
        <is>
          <t>A</t>
        </is>
      </c>
      <c r="J33" s="148" t="n"/>
      <c r="K33" s="148" t="n"/>
      <c r="L33" s="148" t="n"/>
      <c r="M33" s="148" t="n"/>
      <c r="N33" s="148" t="n"/>
      <c r="O33" s="148" t="n"/>
      <c r="P33" s="148" t="n"/>
      <c r="Q33" s="148" t="n"/>
      <c r="R33" s="148" t="n"/>
      <c r="S33" s="148" t="n"/>
      <c r="T33" s="170" t="n"/>
      <c r="U33" s="454" t="n"/>
      <c r="V33" s="71" t="n"/>
    </row>
    <row r="34" ht="13.5" customHeight="1" s="419">
      <c r="A34" s="171" t="n"/>
      <c r="B34" s="494" t="inlineStr">
        <is>
          <t>Passed/Failed</t>
        </is>
      </c>
      <c r="C34" s="76" t="n"/>
      <c r="D34" s="77" t="n"/>
      <c r="E34" s="81" t="n"/>
      <c r="F34" s="496" t="inlineStr">
        <is>
          <t>P</t>
        </is>
      </c>
      <c r="G34" s="496" t="inlineStr">
        <is>
          <t>P</t>
        </is>
      </c>
      <c r="H34" s="496" t="inlineStr">
        <is>
          <t>P</t>
        </is>
      </c>
      <c r="I34" s="496" t="inlineStr">
        <is>
          <t>P</t>
        </is>
      </c>
      <c r="J34" s="79" t="n"/>
      <c r="K34" s="79" t="n"/>
      <c r="L34" s="79" t="n"/>
      <c r="M34" s="79" t="n"/>
      <c r="N34" s="79" t="n"/>
      <c r="O34" s="79" t="n"/>
      <c r="P34" s="79" t="n"/>
      <c r="Q34" s="79" t="n"/>
      <c r="R34" s="79" t="n"/>
      <c r="S34" s="79" t="n"/>
      <c r="T34" s="195" t="n"/>
      <c r="U34" s="454" t="n"/>
      <c r="V34" s="454" t="n"/>
    </row>
    <row r="35" ht="42" customHeight="1" s="419">
      <c r="A35" s="171" t="n"/>
      <c r="B35" s="494" t="inlineStr">
        <is>
          <t>Executed Date</t>
        </is>
      </c>
      <c r="C35" s="76" t="n"/>
      <c r="D35" s="77" t="n"/>
      <c r="E35" s="80" t="n"/>
      <c r="F35" s="497" t="inlineStr">
        <is>
          <t>04-06</t>
        </is>
      </c>
      <c r="G35" s="497" t="inlineStr">
        <is>
          <t>04-06</t>
        </is>
      </c>
      <c r="H35" s="497" t="inlineStr">
        <is>
          <t>04-06</t>
        </is>
      </c>
      <c r="I35" s="497" t="inlineStr">
        <is>
          <t>04-06</t>
        </is>
      </c>
      <c r="J35" s="148" t="n"/>
      <c r="K35" s="148" t="n"/>
      <c r="L35" s="148" t="n"/>
      <c r="M35" s="148" t="n"/>
      <c r="N35" s="148" t="n"/>
      <c r="O35" s="148" t="n"/>
      <c r="P35" s="148" t="n"/>
      <c r="Q35" s="148" t="n"/>
      <c r="R35" s="148" t="n"/>
      <c r="S35" s="148" t="n"/>
      <c r="T35" s="170" t="n"/>
      <c r="U35" s="454" t="n"/>
      <c r="V35" s="71" t="n"/>
    </row>
    <row r="36" ht="13.5" customHeight="1" s="419">
      <c r="A36" s="171" t="n"/>
      <c r="B36" s="494" t="inlineStr">
        <is>
          <t>Defect ID</t>
        </is>
      </c>
      <c r="C36" s="76" t="n"/>
      <c r="D36" s="77" t="n"/>
      <c r="E36" s="80" t="n"/>
      <c r="F36" s="493" t="inlineStr"/>
      <c r="G36" s="493" t="inlineStr"/>
      <c r="H36" s="493" t="inlineStr"/>
      <c r="I36" s="493" t="inlineStr"/>
      <c r="J36" s="148" t="n"/>
      <c r="K36" s="148" t="n"/>
      <c r="L36" s="148" t="n"/>
      <c r="M36" s="148" t="n"/>
      <c r="N36" s="148" t="n"/>
      <c r="O36" s="148" t="n"/>
      <c r="P36" s="148" t="n"/>
      <c r="Q36" s="148" t="n"/>
      <c r="R36" s="148" t="n"/>
      <c r="S36" s="148" t="n"/>
      <c r="T36" s="170" t="n"/>
      <c r="U36" s="454" t="n"/>
      <c r="V36" s="71" t="n"/>
    </row>
    <row r="37" ht="13.5" customHeight="1" s="419"/>
    <row r="38" ht="13.5" customHeight="1" s="419"/>
    <row r="39" ht="13.5" customHeight="1" s="419"/>
    <row r="40" ht="13.5" customHeight="1" s="419"/>
    <row r="41" ht="13.5" customHeight="1" s="419"/>
    <row r="42" ht="13.5" customHeight="1" s="419"/>
    <row r="43" ht="13.5" customHeight="1" s="419"/>
    <row r="44" ht="13.5" customHeight="1" s="419"/>
    <row r="45" ht="13.5" customHeight="1" s="419"/>
    <row r="46" ht="13.5" customHeight="1" s="419"/>
    <row r="47" ht="13.5" customHeight="1" s="419"/>
    <row r="48" ht="13.5" customHeight="1" s="419"/>
    <row r="49" ht="13.5" customHeight="1" s="419"/>
    <row r="50" ht="13.5" customHeight="1" s="419"/>
    <row r="51" ht="13.5" customHeight="1" s="419"/>
    <row r="52" ht="13.5" customHeight="1" s="419"/>
    <row r="53" ht="13.5" customHeight="1" s="419"/>
    <row r="54" ht="13.5" customHeight="1" s="419"/>
    <row r="55" ht="13.5" customHeight="1" s="419"/>
    <row r="56" ht="13.5" customHeight="1" s="419"/>
    <row r="57" ht="13.5" customHeight="1" s="419"/>
    <row r="58" ht="13.5" customHeight="1" s="419"/>
    <row r="59" ht="13.5" customHeight="1" s="419"/>
    <row r="60" ht="13.5" customHeight="1" s="419"/>
    <row r="61" ht="13.5" customHeight="1" s="419"/>
    <row r="62" ht="13.5" customHeight="1" s="419"/>
    <row r="63" ht="13.5" customHeight="1" s="419"/>
    <row r="64" ht="13.5" customHeight="1" s="419"/>
    <row r="65" ht="13.5" customHeight="1" s="419" thickBot="1"/>
    <row r="66" ht="13.5" customHeight="1" s="419" thickTop="1"/>
    <row r="67" ht="13.5" customHeight="1" s="419"/>
    <row r="68" ht="71.5" customHeight="1" s="419"/>
    <row r="69" ht="10.5" customHeight="1" s="419" thickBot="1"/>
  </sheetData>
  <mergeCells count="27">
    <mergeCell ref="B67:D67"/>
    <mergeCell ref="F2:K2"/>
    <mergeCell ref="B69:D69"/>
    <mergeCell ref="A6:B6"/>
    <mergeCell ref="C4:D4"/>
    <mergeCell ref="C2:E2"/>
    <mergeCell ref="L4:T4"/>
    <mergeCell ref="A7:B7"/>
    <mergeCell ref="B68:D68"/>
    <mergeCell ref="C7:E7"/>
    <mergeCell ref="L6:N6"/>
    <mergeCell ref="A3:B3"/>
    <mergeCell ref="A2:B2"/>
    <mergeCell ref="A5:B5"/>
    <mergeCell ref="C3:E3"/>
    <mergeCell ref="F4:K4"/>
    <mergeCell ref="O7:T7"/>
    <mergeCell ref="C6:E6"/>
    <mergeCell ref="A4:B4"/>
    <mergeCell ref="L2:T2"/>
    <mergeCell ref="O6:T6"/>
    <mergeCell ref="B66:D66"/>
    <mergeCell ref="F6:K6"/>
    <mergeCell ref="F7:K7"/>
    <mergeCell ref="C5:T5"/>
    <mergeCell ref="L3:T3"/>
    <mergeCell ref="F3:K3"/>
  </mergeCells>
  <pageMargins left="0.75" right="0.75" top="0.75" bottom="0.75" header="0.5" footer="0.5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6"/>
  <sheetViews>
    <sheetView zoomScale="145" zoomScaleNormal="145" workbookViewId="0">
      <selection activeCell="A1" sqref="A1"/>
    </sheetView>
  </sheetViews>
  <sheetFormatPr baseColWidth="8" defaultColWidth="9" defaultRowHeight="13.5" customHeight="1"/>
  <cols>
    <col width="8.1796875" customWidth="1" style="69" min="1" max="1"/>
    <col width="13.453125" customWidth="1" style="73" min="2" max="2"/>
    <col width="10.81640625" customWidth="1" style="69" min="3" max="3"/>
    <col width="26.6328125" customWidth="1" style="403" min="4" max="4"/>
    <col hidden="1" width="1.81640625" customWidth="1" style="69" min="5" max="5"/>
    <col width="2.81640625" bestFit="1" customWidth="1" style="69" min="6" max="11"/>
    <col width="13" customWidth="1" style="419" min="7" max="7"/>
    <col width="13" customWidth="1" style="419" min="8" max="8"/>
    <col width="13" customWidth="1" style="419" min="9" max="9"/>
    <col width="13" customWidth="1" style="419" min="10" max="10"/>
    <col width="13" customWidth="1" style="419" min="11" max="11"/>
    <col width="2.81640625" customWidth="1" style="69" min="12" max="19"/>
    <col width="13" customWidth="1" style="419" min="13" max="13"/>
    <col width="13" customWidth="1" style="419" min="14" max="14"/>
    <col width="13" customWidth="1" style="419" min="15" max="15"/>
    <col width="13" customWidth="1" style="419" min="16" max="16"/>
    <col width="13" customWidth="1" style="419" min="17" max="17"/>
    <col width="13" customWidth="1" style="419" min="18" max="18"/>
    <col width="13" customWidth="1" style="419" min="19" max="19"/>
    <col width="2.81640625" bestFit="1" customWidth="1" style="69" min="20" max="20"/>
    <col hidden="1" width="2.81640625" customWidth="1" style="69" min="21" max="21"/>
    <col hidden="1" width="11" customWidth="1" style="69" min="22" max="256"/>
    <col width="9" customWidth="1" style="69" min="257" max="16384"/>
  </cols>
  <sheetData>
    <row r="1" ht="13.5" customHeight="1" s="419" thickBot="1">
      <c r="A1" s="67" t="n"/>
      <c r="B1" s="68" t="n"/>
    </row>
    <row r="2" ht="13.5" customHeight="1" s="419">
      <c r="A2" s="346" t="inlineStr">
        <is>
          <t>Function Code</t>
        </is>
      </c>
      <c r="B2" s="458" t="n"/>
      <c r="C2" s="459" t="inlineStr">
        <is>
          <t>EP-272</t>
        </is>
      </c>
      <c r="D2" s="458" t="n"/>
      <c r="E2" s="460" t="n"/>
      <c r="F2" s="404" t="inlineStr">
        <is>
          <t>Function Name</t>
        </is>
      </c>
      <c r="G2" s="461" t="n"/>
      <c r="H2" s="461" t="n"/>
      <c r="I2" s="461" t="n"/>
      <c r="J2" s="461" t="n"/>
      <c r="K2" s="461" t="n"/>
      <c r="L2" s="462" t="inlineStr">
        <is>
          <t>Get Task Comments</t>
        </is>
      </c>
      <c r="M2" s="458" t="n"/>
      <c r="N2" s="458" t="n"/>
      <c r="O2" s="458" t="n"/>
      <c r="P2" s="458" t="n"/>
      <c r="Q2" s="458" t="n"/>
      <c r="R2" s="458" t="n"/>
      <c r="S2" s="458" t="n"/>
      <c r="T2" s="463" t="n"/>
      <c r="V2" s="71" t="n"/>
    </row>
    <row r="3" ht="13.5" customHeight="1" s="419">
      <c r="A3" s="464" t="inlineStr">
        <is>
          <t>Created By</t>
        </is>
      </c>
      <c r="B3" s="421" t="n"/>
      <c r="C3" s="465" t="inlineStr">
        <is>
          <t>GitHub Copilot</t>
        </is>
      </c>
      <c r="D3" s="430" t="n"/>
      <c r="E3" s="466" t="n"/>
      <c r="F3" s="467" t="inlineStr">
        <is>
          <t>Executed By</t>
        </is>
      </c>
      <c r="G3" s="468" t="n"/>
      <c r="H3" s="468" t="n"/>
      <c r="I3" s="468" t="n"/>
      <c r="J3" s="468" t="n"/>
      <c r="K3" s="469" t="n"/>
      <c r="L3" s="470" t="inlineStr">
        <is>
          <t>GitHub Copilot</t>
        </is>
      </c>
      <c r="M3" s="471" t="n"/>
      <c r="N3" s="471" t="n"/>
      <c r="O3" s="471" t="n"/>
      <c r="P3" s="471" t="n"/>
      <c r="Q3" s="471" t="n"/>
      <c r="R3" s="471" t="n"/>
      <c r="S3" s="471" t="n"/>
      <c r="T3" s="472" t="n"/>
    </row>
    <row r="4" ht="13.5" customHeight="1" s="419">
      <c r="A4" s="464" t="inlineStr">
        <is>
          <t>Lines  of code</t>
        </is>
      </c>
      <c r="B4" s="421" t="n"/>
      <c r="C4" s="473" t="n">
        <v>4</v>
      </c>
      <c r="D4" s="420" t="n"/>
      <c r="E4" s="353" t="n"/>
      <c r="F4" s="467" t="inlineStr">
        <is>
          <t>Lack of test cases</t>
        </is>
      </c>
      <c r="G4" s="468" t="n"/>
      <c r="H4" s="468" t="n"/>
      <c r="I4" s="468" t="n"/>
      <c r="J4" s="468" t="n"/>
      <c r="K4" s="469" t="n"/>
      <c r="L4" s="474" t="n">
        <v>0</v>
      </c>
      <c r="M4" s="420" t="n"/>
      <c r="N4" s="420" t="n"/>
      <c r="O4" s="420" t="n"/>
      <c r="P4" s="420" t="n"/>
      <c r="Q4" s="420" t="n"/>
      <c r="R4" s="420" t="n"/>
      <c r="S4" s="420" t="n"/>
      <c r="T4" s="475" t="n"/>
      <c r="V4" s="71" t="n"/>
    </row>
    <row r="5" ht="13.5" customHeight="1" s="419">
      <c r="A5" s="464" t="inlineStr">
        <is>
          <t>Test requirement</t>
        </is>
      </c>
      <c r="B5" s="421" t="n"/>
      <c r="C5" s="476" t="inlineStr">
        <is>
          <t>Verify getTaskComments: valid, edge, error, and auth cases for EP-272.</t>
        </is>
      </c>
      <c r="D5" s="420" t="n"/>
      <c r="E5" s="420" t="n"/>
      <c r="F5" s="420" t="n"/>
      <c r="G5" s="420" t="n"/>
      <c r="H5" s="420" t="n"/>
      <c r="I5" s="420" t="n"/>
      <c r="J5" s="420" t="n"/>
      <c r="K5" s="420" t="n"/>
      <c r="L5" s="420" t="n"/>
      <c r="M5" s="420" t="n"/>
      <c r="N5" s="420" t="n"/>
      <c r="O5" s="420" t="n"/>
      <c r="P5" s="420" t="n"/>
      <c r="Q5" s="420" t="n"/>
      <c r="R5" s="420" t="n"/>
      <c r="S5" s="420" t="n"/>
      <c r="T5" s="475" t="n"/>
    </row>
    <row r="6" ht="13.5" customHeight="1" s="419">
      <c r="A6" s="477" t="inlineStr">
        <is>
          <t>Passed</t>
        </is>
      </c>
      <c r="B6" s="421" t="n"/>
      <c r="C6" s="478" t="inlineStr">
        <is>
          <t>Failed</t>
        </is>
      </c>
      <c r="D6" s="420" t="n"/>
      <c r="E6" s="421" t="n"/>
      <c r="F6" s="479" t="inlineStr">
        <is>
          <t>Untested</t>
        </is>
      </c>
      <c r="G6" s="420" t="n"/>
      <c r="H6" s="420" t="n"/>
      <c r="I6" s="420" t="n"/>
      <c r="J6" s="420" t="n"/>
      <c r="K6" s="480" t="n"/>
      <c r="L6" s="312" t="inlineStr">
        <is>
          <t>N/A/B</t>
        </is>
      </c>
      <c r="M6" s="420" t="n"/>
      <c r="N6" s="420" t="n"/>
      <c r="O6" s="481" t="inlineStr">
        <is>
          <t>Total Test Cases</t>
        </is>
      </c>
      <c r="P6" s="420" t="n"/>
      <c r="Q6" s="420" t="n"/>
      <c r="R6" s="420" t="n"/>
      <c r="S6" s="420" t="n"/>
      <c r="T6" s="482" t="n"/>
      <c r="V6" s="71" t="n"/>
    </row>
    <row r="7" ht="13.5" customHeight="1" s="419" thickBot="1">
      <c r="A7" s="483">
        <f>COUNTIF(F34:I34,"P")</f>
        <v/>
      </c>
      <c r="B7" s="484" t="n"/>
      <c r="C7" s="485">
        <f>COUNTIF(F34:I34,"F")</f>
        <v/>
      </c>
      <c r="D7" s="486" t="n"/>
      <c r="E7" s="484" t="n"/>
      <c r="F7" s="487">
        <f>COUNTIF(F34:I34,"U")</f>
        <v/>
      </c>
      <c r="G7" s="486" t="n"/>
      <c r="H7" s="486" t="n"/>
      <c r="I7" s="486" t="n"/>
      <c r="J7" s="486" t="n"/>
      <c r="K7" s="488" t="n"/>
      <c r="L7" s="489">
        <f>COUNTIF(F33:I33,"N")</f>
        <v/>
      </c>
      <c r="M7" s="489">
        <f>COUNTIF(F33:I33,"A")</f>
        <v/>
      </c>
      <c r="N7" s="489">
        <f>COUNTIF(F33:I33,"B")</f>
        <v/>
      </c>
      <c r="O7" s="490">
        <f>COUNTA(F9:I9)</f>
        <v/>
      </c>
      <c r="P7" s="486" t="n"/>
      <c r="Q7" s="486" t="n"/>
      <c r="R7" s="486" t="n"/>
      <c r="S7" s="486" t="n"/>
      <c r="T7" s="491" t="n"/>
      <c r="U7" s="72" t="n"/>
    </row>
    <row r="8" ht="10.5" customHeight="1" s="419" thickBot="1"/>
    <row r="9" ht="45" customHeight="1" s="419" thickBot="1" thickTop="1">
      <c r="A9" s="189" t="n"/>
      <c r="B9" s="165" t="n"/>
      <c r="C9" s="166" t="n"/>
      <c r="D9" s="167" t="n"/>
      <c r="E9" s="166" t="n"/>
      <c r="F9" s="168" t="inlineStr">
        <is>
          <t>UTC01</t>
        </is>
      </c>
      <c r="G9" s="168" t="inlineStr">
        <is>
          <t>UTC02</t>
        </is>
      </c>
      <c r="H9" s="168" t="inlineStr">
        <is>
          <t>UTC03</t>
        </is>
      </c>
      <c r="I9" s="168" t="inlineStr">
        <is>
          <t>UTC04</t>
        </is>
      </c>
      <c r="J9" s="168" t="n"/>
      <c r="K9" s="168" t="n"/>
      <c r="L9" s="168" t="n"/>
      <c r="M9" s="168" t="n"/>
      <c r="N9" s="168" t="n"/>
      <c r="O9" s="168" t="n"/>
      <c r="P9" s="168" t="n"/>
      <c r="Q9" s="168" t="n"/>
      <c r="R9" s="168" t="n"/>
      <c r="S9" s="168" t="n"/>
      <c r="T9" s="169" t="n"/>
      <c r="U9" s="74" t="n"/>
      <c r="V9" s="71" t="n"/>
    </row>
    <row r="10" ht="13.5" customHeight="1" s="419">
      <c r="A10" s="183" t="inlineStr">
        <is>
          <t>Condition</t>
        </is>
      </c>
      <c r="B10" s="184" t="inlineStr">
        <is>
          <t>Precondition</t>
        </is>
      </c>
      <c r="C10" s="76" t="n"/>
      <c r="D10" s="77" t="n"/>
      <c r="E10" s="78" t="n"/>
      <c r="F10" s="79" t="n"/>
      <c r="G10" s="79" t="n"/>
      <c r="H10" s="79" t="n"/>
      <c r="I10" s="79" t="n"/>
      <c r="J10" s="79" t="n"/>
      <c r="K10" s="79" t="n"/>
      <c r="L10" s="79" t="n"/>
      <c r="M10" s="79" t="n"/>
      <c r="N10" s="79" t="n"/>
      <c r="O10" s="79" t="n"/>
      <c r="P10" s="79" t="n"/>
      <c r="Q10" s="79" t="n"/>
      <c r="R10" s="79" t="n"/>
      <c r="S10" s="79" t="n"/>
      <c r="T10" s="195" t="n"/>
    </row>
    <row r="11" ht="13.5" customHeight="1" s="419">
      <c r="A11" s="171" t="n"/>
      <c r="B11" s="75" t="n"/>
      <c r="C11" s="76" t="n"/>
      <c r="D11" s="492" t="inlineStr">
        <is>
          <t>user exists</t>
        </is>
      </c>
      <c r="E11" s="80" t="n"/>
      <c r="F11" s="493" t="inlineStr">
        <is>
          <t>O</t>
        </is>
      </c>
      <c r="G11" s="493" t="inlineStr">
        <is>
          <t>O</t>
        </is>
      </c>
      <c r="H11" s="493" t="inlineStr">
        <is>
          <t>O</t>
        </is>
      </c>
      <c r="I11" s="148" t="n"/>
      <c r="J11" s="148" t="n"/>
      <c r="K11" s="148" t="n"/>
      <c r="L11" s="148" t="n"/>
      <c r="M11" s="148" t="n"/>
      <c r="N11" s="148" t="n"/>
      <c r="O11" s="148" t="n"/>
      <c r="P11" s="148" t="n"/>
      <c r="Q11" s="148" t="n"/>
      <c r="R11" s="148" t="n"/>
      <c r="S11" s="148" t="n"/>
      <c r="T11" s="170" t="n"/>
      <c r="U11" s="454" t="n"/>
      <c r="V11" s="71" t="n"/>
    </row>
    <row r="12" ht="13.5" customHeight="1" s="419">
      <c r="A12" s="171" t="n"/>
      <c r="B12" s="75" t="n"/>
      <c r="C12" s="76" t="n"/>
      <c r="D12" s="492" t="inlineStr">
        <is>
          <t>Task "task-1" exists</t>
        </is>
      </c>
      <c r="E12" s="80" t="n"/>
      <c r="F12" s="493" t="inlineStr">
        <is>
          <t>O</t>
        </is>
      </c>
      <c r="G12" s="148" t="n"/>
      <c r="H12" s="148" t="n"/>
      <c r="I12" s="148" t="n"/>
      <c r="J12" s="148" t="n"/>
      <c r="K12" s="148" t="n"/>
      <c r="L12" s="148" t="n"/>
      <c r="M12" s="148" t="n"/>
      <c r="N12" s="148" t="n"/>
      <c r="O12" s="148" t="n"/>
      <c r="P12" s="148" t="n"/>
      <c r="Q12" s="148" t="n"/>
      <c r="R12" s="148" t="n"/>
      <c r="S12" s="148" t="n"/>
      <c r="T12" s="170" t="n"/>
      <c r="U12" s="454" t="n"/>
      <c r="V12" s="71" t="n"/>
    </row>
    <row r="13" ht="27" customHeight="1" s="419">
      <c r="A13" s="171" t="n"/>
      <c r="B13" s="75" t="n"/>
      <c r="C13" s="76" t="n"/>
      <c r="D13" s="492" t="inlineStr">
        <is>
          <t>Task "task-silent" has no comments</t>
        </is>
      </c>
      <c r="E13" s="80" t="n"/>
      <c r="F13" s="148" t="n"/>
      <c r="G13" s="493" t="inlineStr">
        <is>
          <t>O</t>
        </is>
      </c>
      <c r="H13" s="148" t="n"/>
      <c r="I13" s="148" t="n"/>
      <c r="J13" s="148" t="n"/>
      <c r="K13" s="148" t="n"/>
      <c r="L13" s="148" t="n"/>
      <c r="M13" s="148" t="n"/>
      <c r="N13" s="148" t="n"/>
      <c r="O13" s="148" t="n"/>
      <c r="P13" s="148" t="n"/>
      <c r="Q13" s="148" t="n"/>
      <c r="R13" s="148" t="n"/>
      <c r="S13" s="148" t="n"/>
      <c r="T13" s="170" t="n"/>
      <c r="U13" s="454" t="n"/>
      <c r="V13" s="71" t="n"/>
    </row>
    <row r="14" ht="27" customHeight="1" s="419">
      <c r="A14" s="171" t="n"/>
      <c r="B14" s="75" t="n"/>
      <c r="C14" s="76" t="n"/>
      <c r="D14" s="492" t="inlineStr">
        <is>
          <t>Task "task-missing" does not exist</t>
        </is>
      </c>
      <c r="E14" s="80" t="n"/>
      <c r="F14" s="148" t="n"/>
      <c r="G14" s="148" t="n"/>
      <c r="H14" s="493" t="inlineStr">
        <is>
          <t>O</t>
        </is>
      </c>
      <c r="I14" s="148" t="n"/>
      <c r="J14" s="148" t="n"/>
      <c r="K14" s="148" t="n"/>
      <c r="L14" s="148" t="n"/>
      <c r="M14" s="148" t="n"/>
      <c r="N14" s="148" t="n"/>
      <c r="O14" s="148" t="n"/>
      <c r="P14" s="148" t="n"/>
      <c r="Q14" s="148" t="n"/>
      <c r="R14" s="148" t="n"/>
      <c r="S14" s="148" t="n"/>
      <c r="T14" s="170" t="n"/>
      <c r="U14" s="454" t="n"/>
      <c r="V14" s="71" t="n"/>
    </row>
    <row r="15" ht="27" customHeight="1" s="419">
      <c r="A15" s="171" t="n"/>
      <c r="B15" s="75" t="n"/>
      <c r="C15" s="76" t="n"/>
      <c r="D15" s="492" t="inlineStr">
        <is>
          <t>TasksController is decorated with class-level guards</t>
        </is>
      </c>
      <c r="E15" s="80" t="n"/>
      <c r="F15" s="148" t="n"/>
      <c r="G15" s="148" t="n"/>
      <c r="H15" s="148" t="n"/>
      <c r="I15" s="493" t="inlineStr">
        <is>
          <t>O</t>
        </is>
      </c>
      <c r="J15" s="148" t="n"/>
      <c r="K15" s="148" t="n"/>
      <c r="L15" s="148" t="n"/>
      <c r="M15" s="148" t="n"/>
      <c r="N15" s="148" t="n"/>
      <c r="O15" s="148" t="n"/>
      <c r="P15" s="148" t="n"/>
      <c r="Q15" s="148" t="n"/>
      <c r="R15" s="148" t="n"/>
      <c r="S15" s="148" t="n"/>
      <c r="T15" s="170" t="n"/>
      <c r="U15" s="454" t="n"/>
      <c r="V15" s="71" t="n"/>
    </row>
    <row r="16" ht="13.5" customHeight="1" s="419">
      <c r="A16" s="171" t="n"/>
      <c r="B16" s="494" t="inlineStr">
        <is>
          <t>taskId</t>
        </is>
      </c>
      <c r="C16" s="76" t="n"/>
      <c r="D16" s="77" t="n"/>
      <c r="E16" s="80" t="n"/>
      <c r="F16" s="148" t="n"/>
      <c r="G16" s="148" t="n"/>
      <c r="H16" s="148" t="n"/>
      <c r="I16" s="148" t="n"/>
      <c r="J16" s="148" t="n"/>
      <c r="K16" s="148" t="n"/>
      <c r="L16" s="148" t="n"/>
      <c r="M16" s="148" t="n"/>
      <c r="N16" s="148" t="n"/>
      <c r="O16" s="148" t="n"/>
      <c r="P16" s="148" t="n"/>
      <c r="Q16" s="148" t="n"/>
      <c r="R16" s="148" t="n"/>
      <c r="S16" s="148" t="n"/>
      <c r="T16" s="170" t="n"/>
      <c r="U16" s="454" t="n"/>
      <c r="V16" s="71" t="n"/>
    </row>
    <row r="17" ht="13.5" customHeight="1" s="419">
      <c r="A17" s="171" t="n"/>
      <c r="B17" s="75" t="n"/>
      <c r="C17" s="76" t="n"/>
      <c r="D17" s="492" t="inlineStr">
        <is>
          <t>task-1</t>
        </is>
      </c>
      <c r="E17" s="80" t="n"/>
      <c r="F17" s="493" t="inlineStr">
        <is>
          <t>O</t>
        </is>
      </c>
      <c r="G17" s="148" t="n"/>
      <c r="H17" s="148" t="n"/>
      <c r="I17" s="148" t="n"/>
      <c r="J17" s="148" t="n"/>
      <c r="K17" s="148" t="n"/>
      <c r="L17" s="148" t="n"/>
      <c r="M17" s="148" t="n"/>
      <c r="N17" s="148" t="n"/>
      <c r="O17" s="148" t="n"/>
      <c r="P17" s="148" t="n"/>
      <c r="Q17" s="148" t="n"/>
      <c r="R17" s="148" t="n"/>
      <c r="S17" s="148" t="n"/>
      <c r="T17" s="170" t="n"/>
      <c r="U17" s="454" t="n"/>
      <c r="V17" s="71" t="n"/>
    </row>
    <row r="18" ht="13.5" customHeight="1" s="419">
      <c r="A18" s="171" t="n"/>
      <c r="B18" s="75" t="n"/>
      <c r="C18" s="76" t="n"/>
      <c r="D18" s="492" t="inlineStr">
        <is>
          <t>task-silent</t>
        </is>
      </c>
      <c r="E18" s="80" t="n"/>
      <c r="F18" s="148" t="n"/>
      <c r="G18" s="493" t="inlineStr">
        <is>
          <t>O</t>
        </is>
      </c>
      <c r="H18" s="148" t="n"/>
      <c r="I18" s="148" t="n"/>
      <c r="J18" s="148" t="n"/>
      <c r="K18" s="148" t="n"/>
      <c r="L18" s="148" t="n"/>
      <c r="M18" s="148" t="n"/>
      <c r="N18" s="148" t="n"/>
      <c r="O18" s="148" t="n"/>
      <c r="P18" s="148" t="n"/>
      <c r="Q18" s="148" t="n"/>
      <c r="R18" s="148" t="n"/>
      <c r="S18" s="148" t="n"/>
      <c r="T18" s="170" t="n"/>
      <c r="U18" s="454" t="n"/>
      <c r="V18" s="71" t="n"/>
    </row>
    <row r="19" ht="13.5" customHeight="1" s="419">
      <c r="A19" s="171" t="n"/>
      <c r="B19" s="75" t="n"/>
      <c r="C19" s="76" t="n"/>
      <c r="D19" s="492" t="inlineStr">
        <is>
          <t>task-missing</t>
        </is>
      </c>
      <c r="E19" s="80" t="n"/>
      <c r="F19" s="148" t="n"/>
      <c r="G19" s="148" t="n"/>
      <c r="H19" s="493" t="inlineStr">
        <is>
          <t>O</t>
        </is>
      </c>
      <c r="I19" s="148" t="n"/>
      <c r="J19" s="148" t="n"/>
      <c r="K19" s="148" t="n"/>
      <c r="L19" s="148" t="n"/>
      <c r="M19" s="148" t="n"/>
      <c r="N19" s="148" t="n"/>
      <c r="O19" s="148" t="n"/>
      <c r="P19" s="148" t="n"/>
      <c r="Q19" s="148" t="n"/>
      <c r="R19" s="148" t="n"/>
      <c r="S19" s="148" t="n"/>
      <c r="T19" s="170" t="n"/>
      <c r="U19" s="454" t="n"/>
      <c r="V19" s="71" t="n"/>
    </row>
    <row r="20" ht="13.5" customHeight="1" s="419">
      <c r="A20" s="171" t="n"/>
      <c r="B20" s="494" t="inlineStr">
        <is>
          <t>metadata</t>
        </is>
      </c>
      <c r="C20" s="76" t="n"/>
      <c r="D20" s="77" t="n"/>
      <c r="E20" s="80" t="n"/>
      <c r="F20" s="148" t="n"/>
      <c r="G20" s="148" t="n"/>
      <c r="H20" s="148" t="n"/>
      <c r="I20" s="148" t="n"/>
      <c r="J20" s="148" t="n"/>
      <c r="K20" s="148" t="n"/>
      <c r="L20" s="148" t="n"/>
      <c r="M20" s="148" t="n"/>
      <c r="N20" s="148" t="n"/>
      <c r="O20" s="148" t="n"/>
      <c r="P20" s="148" t="n"/>
      <c r="Q20" s="148" t="n"/>
      <c r="R20" s="148" t="n"/>
      <c r="S20" s="148" t="n"/>
      <c r="T20" s="170" t="n"/>
      <c r="U20" s="454" t="n"/>
      <c r="V20" s="71" t="n"/>
    </row>
    <row r="21" ht="27" customHeight="1" s="419">
      <c r="A21" s="171" t="n"/>
      <c r="B21" s="75" t="n"/>
      <c r="C21" s="76" t="n"/>
      <c r="D21" s="492" t="inlineStr">
        <is>
          <t>GUARDS_METADATA on TasksController</t>
        </is>
      </c>
      <c r="E21" s="80" t="n"/>
      <c r="F21" s="148" t="n"/>
      <c r="G21" s="148" t="n"/>
      <c r="H21" s="148" t="n"/>
      <c r="I21" s="493" t="inlineStr">
        <is>
          <t>O</t>
        </is>
      </c>
      <c r="J21" s="148" t="n"/>
      <c r="K21" s="148" t="n"/>
      <c r="L21" s="148" t="n"/>
      <c r="M21" s="148" t="n"/>
      <c r="N21" s="148" t="n"/>
      <c r="O21" s="148" t="n"/>
      <c r="P21" s="148" t="n"/>
      <c r="Q21" s="148" t="n"/>
      <c r="R21" s="148" t="n"/>
      <c r="S21" s="148" t="n"/>
      <c r="T21" s="170" t="n"/>
      <c r="U21" s="454" t="n"/>
      <c r="V21" s="71" t="n"/>
    </row>
    <row r="22" ht="13.5" customHeight="1" s="419">
      <c r="A22" s="495" t="inlineStr">
        <is>
          <t>Confirm</t>
        </is>
      </c>
      <c r="B22" s="494" t="inlineStr">
        <is>
          <t>Return</t>
        </is>
      </c>
      <c r="C22" s="76" t="n"/>
      <c r="D22" s="77" t="n"/>
      <c r="E22" s="80" t="n"/>
      <c r="F22" s="148" t="n"/>
      <c r="G22" s="148" t="n"/>
      <c r="H22" s="148" t="n"/>
      <c r="I22" s="148" t="n"/>
      <c r="J22" s="148" t="n"/>
      <c r="K22" s="148" t="n"/>
      <c r="L22" s="148" t="n"/>
      <c r="M22" s="148" t="n"/>
      <c r="N22" s="148" t="n"/>
      <c r="O22" s="148" t="n"/>
      <c r="P22" s="148" t="n"/>
      <c r="Q22" s="148" t="n"/>
      <c r="R22" s="148" t="n"/>
      <c r="S22" s="148" t="n"/>
      <c r="T22" s="170" t="n"/>
      <c r="U22" s="454" t="n"/>
      <c r="V22" s="71" t="n"/>
    </row>
    <row r="23" ht="13.5" customHeight="1" s="419">
      <c r="A23" s="171" t="n"/>
      <c r="B23" s="75" t="n"/>
      <c r="C23" s="76" t="n"/>
      <c r="D23" s="492" t="inlineStr">
        <is>
          <t>Returns comment list</t>
        </is>
      </c>
      <c r="E23" s="80" t="n"/>
      <c r="F23" s="493" t="inlineStr">
        <is>
          <t>O</t>
        </is>
      </c>
      <c r="G23" s="148" t="n"/>
      <c r="H23" s="148" t="n"/>
      <c r="I23" s="148" t="n"/>
      <c r="J23" s="148" t="n"/>
      <c r="K23" s="148" t="n"/>
      <c r="L23" s="148" t="n"/>
      <c r="M23" s="148" t="n"/>
      <c r="N23" s="148" t="n"/>
      <c r="O23" s="148" t="n"/>
      <c r="P23" s="148" t="n"/>
      <c r="Q23" s="148" t="n"/>
      <c r="R23" s="148" t="n"/>
      <c r="S23" s="148" t="n"/>
      <c r="T23" s="170" t="n"/>
      <c r="U23" s="454" t="n"/>
      <c r="V23" s="71" t="n"/>
    </row>
    <row r="24" ht="13.5" customHeight="1" s="419">
      <c r="A24" s="171" t="n"/>
      <c r="B24" s="75" t="n"/>
      <c r="C24" s="76" t="n"/>
      <c r="D24" s="492" t="inlineStr">
        <is>
          <t>Returns empty comment list</t>
        </is>
      </c>
      <c r="E24" s="80" t="n"/>
      <c r="F24" s="148" t="n"/>
      <c r="G24" s="493" t="inlineStr">
        <is>
          <t>O</t>
        </is>
      </c>
      <c r="H24" s="148" t="n"/>
      <c r="I24" s="148" t="n"/>
      <c r="J24" s="148" t="n"/>
      <c r="K24" s="148" t="n"/>
      <c r="L24" s="148" t="n"/>
      <c r="M24" s="148" t="n"/>
      <c r="N24" s="148" t="n"/>
      <c r="O24" s="148" t="n"/>
      <c r="P24" s="148" t="n"/>
      <c r="Q24" s="148" t="n"/>
      <c r="R24" s="148" t="n"/>
      <c r="S24" s="148" t="n"/>
      <c r="T24" s="170" t="n"/>
      <c r="U24" s="454" t="n"/>
      <c r="V24" s="71" t="n"/>
    </row>
    <row r="25" ht="27" customHeight="1" s="419">
      <c r="A25" s="171" t="n"/>
      <c r="B25" s="75" t="n"/>
      <c r="C25" s="76" t="n"/>
      <c r="D25" s="492" t="inlineStr">
        <is>
          <t>Guard metadata exists for authenticated access</t>
        </is>
      </c>
      <c r="E25" s="80" t="n"/>
      <c r="F25" s="148" t="n"/>
      <c r="G25" s="148" t="n"/>
      <c r="H25" s="148" t="n"/>
      <c r="I25" s="493" t="inlineStr">
        <is>
          <t>O</t>
        </is>
      </c>
      <c r="J25" s="148" t="n"/>
      <c r="K25" s="148" t="n"/>
      <c r="L25" s="148" t="n"/>
      <c r="M25" s="148" t="n"/>
      <c r="N25" s="148" t="n"/>
      <c r="O25" s="148" t="n"/>
      <c r="P25" s="148" t="n"/>
      <c r="Q25" s="148" t="n"/>
      <c r="R25" s="148" t="n"/>
      <c r="S25" s="148" t="n"/>
      <c r="T25" s="170" t="n"/>
      <c r="U25" s="454" t="n"/>
      <c r="V25" s="71" t="n"/>
    </row>
    <row r="26" ht="13.5" customHeight="1" s="419">
      <c r="A26" s="171" t="n"/>
      <c r="B26" s="494" t="inlineStr">
        <is>
          <t>Exception</t>
        </is>
      </c>
      <c r="C26" s="76" t="n"/>
      <c r="D26" s="77" t="n"/>
      <c r="E26" s="80" t="n"/>
      <c r="F26" s="148" t="n"/>
      <c r="G26" s="148" t="n"/>
      <c r="H26" s="148" t="n"/>
      <c r="I26" s="148" t="n"/>
      <c r="J26" s="148" t="n"/>
      <c r="K26" s="148" t="n"/>
      <c r="L26" s="148" t="n"/>
      <c r="M26" s="148" t="n"/>
      <c r="N26" s="148" t="n"/>
      <c r="O26" s="148" t="n"/>
      <c r="P26" s="148" t="n"/>
      <c r="Q26" s="148" t="n"/>
      <c r="R26" s="148" t="n"/>
      <c r="S26" s="148" t="n"/>
      <c r="T26" s="170" t="n"/>
      <c r="U26" s="454" t="n"/>
      <c r="V26" s="71" t="n"/>
    </row>
    <row r="27" ht="27" customHeight="1" s="419">
      <c r="A27" s="171" t="n"/>
      <c r="B27" s="75" t="n"/>
      <c r="C27" s="76" t="n"/>
      <c r="D27" s="492" t="inlineStr">
        <is>
          <t>NotFoundException: Task not found</t>
        </is>
      </c>
      <c r="E27" s="80" t="n"/>
      <c r="F27" s="148" t="n"/>
      <c r="G27" s="148" t="n"/>
      <c r="H27" s="493" t="inlineStr">
        <is>
          <t>O</t>
        </is>
      </c>
      <c r="I27" s="148" t="n"/>
      <c r="J27" s="148" t="n"/>
      <c r="K27" s="148" t="n"/>
      <c r="L27" s="148" t="n"/>
      <c r="M27" s="148" t="n"/>
      <c r="N27" s="148" t="n"/>
      <c r="O27" s="148" t="n"/>
      <c r="P27" s="148" t="n"/>
      <c r="Q27" s="148" t="n"/>
      <c r="R27" s="148" t="n"/>
      <c r="S27" s="148" t="n"/>
      <c r="T27" s="170" t="n"/>
      <c r="U27" s="454" t="n"/>
      <c r="V27" s="71" t="n"/>
    </row>
    <row r="28" ht="13.5" customHeight="1" s="419">
      <c r="A28" s="171" t="n"/>
      <c r="B28" s="494" t="inlineStr">
        <is>
          <t>Log message</t>
        </is>
      </c>
      <c r="C28" s="76" t="n"/>
      <c r="D28" s="77" t="n"/>
      <c r="E28" s="80" t="n"/>
      <c r="F28" s="148" t="n"/>
      <c r="G28" s="148" t="n"/>
      <c r="H28" s="148" t="n"/>
      <c r="I28" s="148" t="n"/>
      <c r="J28" s="148" t="n"/>
      <c r="K28" s="148" t="n"/>
      <c r="L28" s="148" t="n"/>
      <c r="M28" s="148" t="n"/>
      <c r="N28" s="148" t="n"/>
      <c r="O28" s="148" t="n"/>
      <c r="P28" s="148" t="n"/>
      <c r="Q28" s="148" t="n"/>
      <c r="R28" s="148" t="n"/>
      <c r="S28" s="148" t="n"/>
      <c r="T28" s="170" t="n"/>
      <c r="U28" s="454" t="n"/>
      <c r="V28" s="71" t="n"/>
    </row>
    <row r="29" ht="27" customHeight="1" s="419">
      <c r="A29" s="171" t="n"/>
      <c r="B29" s="75" t="n"/>
      <c r="C29" s="76" t="n"/>
      <c r="D29" s="492" t="inlineStr">
        <is>
          <t>EP-272 UTC01 Returns comments for a valid task id</t>
        </is>
      </c>
      <c r="E29" s="80" t="n"/>
      <c r="F29" s="493" t="inlineStr">
        <is>
          <t>O</t>
        </is>
      </c>
      <c r="G29" s="148" t="n"/>
      <c r="H29" s="148" t="n"/>
      <c r="I29" s="148" t="n"/>
      <c r="J29" s="148" t="n"/>
      <c r="K29" s="148" t="n"/>
      <c r="L29" s="148" t="n"/>
      <c r="M29" s="148" t="n"/>
      <c r="N29" s="148" t="n"/>
      <c r="O29" s="148" t="n"/>
      <c r="P29" s="148" t="n"/>
      <c r="Q29" s="148" t="n"/>
      <c r="R29" s="148" t="n"/>
      <c r="S29" s="148" t="n"/>
      <c r="T29" s="170" t="n"/>
      <c r="U29" s="454" t="n"/>
      <c r="V29" s="71" t="n"/>
    </row>
    <row r="30" ht="40.5" customHeight="1" s="419">
      <c r="A30" s="171" t="n"/>
      <c r="B30" s="75" t="n"/>
      <c r="C30" s="76" t="n"/>
      <c r="D30" s="492" t="inlineStr">
        <is>
          <t>EP-272 UTC02 Returns an empty list when discussion has no comments</t>
        </is>
      </c>
      <c r="E30" s="80" t="n"/>
      <c r="F30" s="148" t="n"/>
      <c r="G30" s="493" t="inlineStr">
        <is>
          <t>O</t>
        </is>
      </c>
      <c r="H30" s="148" t="n"/>
      <c r="I30" s="148" t="n"/>
      <c r="J30" s="148" t="n"/>
      <c r="K30" s="148" t="n"/>
      <c r="L30" s="148" t="n"/>
      <c r="M30" s="148" t="n"/>
      <c r="N30" s="148" t="n"/>
      <c r="O30" s="148" t="n"/>
      <c r="P30" s="148" t="n"/>
      <c r="Q30" s="148" t="n"/>
      <c r="R30" s="148" t="n"/>
      <c r="S30" s="148" t="n"/>
      <c r="T30" s="170" t="n"/>
      <c r="U30" s="454" t="n"/>
      <c r="V30" s="71" t="n"/>
    </row>
    <row r="31" ht="40.5" customHeight="1" s="419">
      <c r="A31" s="171" t="n"/>
      <c r="B31" s="75" t="n"/>
      <c r="C31" s="76" t="n"/>
      <c r="D31" s="492" t="inlineStr">
        <is>
          <t>EP-272 UTC03 propagates service errors for missing tasks</t>
        </is>
      </c>
      <c r="E31" s="80" t="n"/>
      <c r="F31" s="148" t="n"/>
      <c r="G31" s="148" t="n"/>
      <c r="H31" s="493" t="inlineStr">
        <is>
          <t>O</t>
        </is>
      </c>
      <c r="I31" s="148" t="n"/>
      <c r="J31" s="148" t="n"/>
      <c r="K31" s="148" t="n"/>
      <c r="L31" s="148" t="n"/>
      <c r="M31" s="148" t="n"/>
      <c r="N31" s="148" t="n"/>
      <c r="O31" s="148" t="n"/>
      <c r="P31" s="148" t="n"/>
      <c r="Q31" s="148" t="n"/>
      <c r="R31" s="148" t="n"/>
      <c r="S31" s="148" t="n"/>
      <c r="T31" s="170" t="n"/>
      <c r="U31" s="454" t="n"/>
      <c r="V31" s="71" t="n"/>
    </row>
    <row r="32" ht="40.5" customHeight="1" s="419">
      <c r="A32" s="171" t="n"/>
      <c r="B32" s="75" t="n"/>
      <c r="C32" s="76" t="n"/>
      <c r="D32" s="492" t="inlineStr">
        <is>
          <t>EP-272 UTC04 is protected by JwtAuthGuard at controller level</t>
        </is>
      </c>
      <c r="E32" s="80" t="n"/>
      <c r="F32" s="148" t="n"/>
      <c r="G32" s="148" t="n"/>
      <c r="H32" s="148" t="n"/>
      <c r="I32" s="493" t="inlineStr">
        <is>
          <t>O</t>
        </is>
      </c>
      <c r="J32" s="148" t="n"/>
      <c r="K32" s="148" t="n"/>
      <c r="L32" s="148" t="n"/>
      <c r="M32" s="148" t="n"/>
      <c r="N32" s="148" t="n"/>
      <c r="O32" s="148" t="n"/>
      <c r="P32" s="148" t="n"/>
      <c r="Q32" s="148" t="n"/>
      <c r="R32" s="148" t="n"/>
      <c r="S32" s="148" t="n"/>
      <c r="T32" s="170" t="n"/>
      <c r="U32" s="454" t="n"/>
      <c r="V32" s="71" t="n"/>
    </row>
    <row r="33" ht="13.5" customHeight="1" s="419">
      <c r="A33" s="495" t="inlineStr">
        <is>
          <t>Result</t>
        </is>
      </c>
      <c r="B33" s="494" t="inlineStr">
        <is>
          <t>Type(N : Normal, A : Abnormal, B : Boundary)</t>
        </is>
      </c>
      <c r="C33" s="76" t="n"/>
      <c r="D33" s="77" t="n"/>
      <c r="E33" s="80" t="n"/>
      <c r="F33" s="493" t="inlineStr">
        <is>
          <t>N</t>
        </is>
      </c>
      <c r="G33" s="493" t="inlineStr">
        <is>
          <t>B</t>
        </is>
      </c>
      <c r="H33" s="493" t="inlineStr">
        <is>
          <t>A</t>
        </is>
      </c>
      <c r="I33" s="493" t="inlineStr">
        <is>
          <t>A</t>
        </is>
      </c>
      <c r="J33" s="148" t="n"/>
      <c r="K33" s="148" t="n"/>
      <c r="L33" s="148" t="n"/>
      <c r="M33" s="148" t="n"/>
      <c r="N33" s="148" t="n"/>
      <c r="O33" s="148" t="n"/>
      <c r="P33" s="148" t="n"/>
      <c r="Q33" s="148" t="n"/>
      <c r="R33" s="148" t="n"/>
      <c r="S33" s="148" t="n"/>
      <c r="T33" s="170" t="n"/>
      <c r="U33" s="454" t="n"/>
      <c r="V33" s="71" t="n"/>
    </row>
    <row r="34" ht="13.5" customHeight="1" s="419">
      <c r="A34" s="171" t="n"/>
      <c r="B34" s="494" t="inlineStr">
        <is>
          <t>Passed/Failed</t>
        </is>
      </c>
      <c r="C34" s="76" t="n"/>
      <c r="D34" s="77" t="n"/>
      <c r="E34" s="81" t="n"/>
      <c r="F34" s="496" t="inlineStr">
        <is>
          <t>P</t>
        </is>
      </c>
      <c r="G34" s="496" t="inlineStr">
        <is>
          <t>P</t>
        </is>
      </c>
      <c r="H34" s="496" t="inlineStr">
        <is>
          <t>P</t>
        </is>
      </c>
      <c r="I34" s="496" t="inlineStr">
        <is>
          <t>P</t>
        </is>
      </c>
      <c r="J34" s="79" t="n"/>
      <c r="K34" s="79" t="n"/>
      <c r="L34" s="79" t="n"/>
      <c r="M34" s="79" t="n"/>
      <c r="N34" s="79" t="n"/>
      <c r="O34" s="79" t="n"/>
      <c r="P34" s="79" t="n"/>
      <c r="Q34" s="79" t="n"/>
      <c r="R34" s="79" t="n"/>
      <c r="S34" s="79" t="n"/>
      <c r="T34" s="195" t="n"/>
      <c r="U34" s="454" t="n"/>
      <c r="V34" s="454" t="n"/>
    </row>
    <row r="35" ht="42" customHeight="1" s="419">
      <c r="A35" s="171" t="n"/>
      <c r="B35" s="494" t="inlineStr">
        <is>
          <t>Executed Date</t>
        </is>
      </c>
      <c r="C35" s="76" t="n"/>
      <c r="D35" s="77" t="n"/>
      <c r="E35" s="80" t="n"/>
      <c r="F35" s="497" t="inlineStr">
        <is>
          <t>04-06</t>
        </is>
      </c>
      <c r="G35" s="497" t="inlineStr">
        <is>
          <t>04-06</t>
        </is>
      </c>
      <c r="H35" s="497" t="inlineStr">
        <is>
          <t>04-06</t>
        </is>
      </c>
      <c r="I35" s="497" t="inlineStr">
        <is>
          <t>04-06</t>
        </is>
      </c>
      <c r="J35" s="148" t="n"/>
      <c r="K35" s="148" t="n"/>
      <c r="L35" s="148" t="n"/>
      <c r="M35" s="148" t="n"/>
      <c r="N35" s="148" t="n"/>
      <c r="O35" s="148" t="n"/>
      <c r="P35" s="148" t="n"/>
      <c r="Q35" s="148" t="n"/>
      <c r="R35" s="148" t="n"/>
      <c r="S35" s="148" t="n"/>
      <c r="T35" s="170" t="n"/>
      <c r="U35" s="454" t="n"/>
      <c r="V35" s="71" t="n"/>
    </row>
    <row r="36" ht="13.5" customHeight="1" s="419">
      <c r="A36" s="171" t="n"/>
      <c r="B36" s="494" t="inlineStr">
        <is>
          <t>Defect ID</t>
        </is>
      </c>
      <c r="C36" s="76" t="n"/>
      <c r="D36" s="77" t="n"/>
      <c r="E36" s="80" t="n"/>
      <c r="F36" s="493" t="inlineStr"/>
      <c r="G36" s="493" t="inlineStr"/>
      <c r="H36" s="493" t="inlineStr"/>
      <c r="I36" s="493" t="inlineStr"/>
      <c r="J36" s="148" t="n"/>
      <c r="K36" s="148" t="n"/>
      <c r="L36" s="148" t="n"/>
      <c r="M36" s="148" t="n"/>
      <c r="N36" s="148" t="n"/>
      <c r="O36" s="148" t="n"/>
      <c r="P36" s="148" t="n"/>
      <c r="Q36" s="148" t="n"/>
      <c r="R36" s="148" t="n"/>
      <c r="S36" s="148" t="n"/>
      <c r="T36" s="170" t="n"/>
      <c r="U36" s="454" t="n"/>
      <c r="V36" s="71" t="n"/>
    </row>
    <row r="37" ht="13.5" customHeight="1" s="419"/>
    <row r="38" ht="13.5" customHeight="1" s="419"/>
    <row r="39" ht="13.5" customHeight="1" s="419"/>
    <row r="40" ht="13.5" customHeight="1" s="419"/>
    <row r="41" ht="13.5" customHeight="1" s="419"/>
    <row r="42" ht="13.5" customHeight="1" s="419"/>
    <row r="43" ht="13.5" customHeight="1" s="419"/>
    <row r="44" ht="13.5" customHeight="1" s="419"/>
    <row r="45" ht="13.5" customHeight="1" s="419"/>
    <row r="46" ht="13.5" customHeight="1" s="419"/>
    <row r="47" ht="13.5" customHeight="1" s="419"/>
    <row r="48" ht="13.5" customHeight="1" s="419"/>
    <row r="49" ht="13.5" customHeight="1" s="419"/>
    <row r="50" ht="13.5" customHeight="1" s="419"/>
    <row r="51" ht="13.5" customHeight="1" s="419"/>
    <row r="52" ht="13.5" customHeight="1" s="419"/>
    <row r="53" ht="13.5" customHeight="1" s="419"/>
    <row r="54" ht="13.5" customHeight="1" s="419"/>
    <row r="55" ht="13.5" customHeight="1" s="419"/>
    <row r="56" ht="13.5" customHeight="1" s="419"/>
    <row r="57" ht="13.5" customHeight="1" s="419"/>
    <row r="58" ht="13.5" customHeight="1" s="419"/>
    <row r="59" ht="13.5" customHeight="1" s="419"/>
    <row r="60" ht="13.5" customHeight="1" s="419"/>
    <row r="61" ht="13.5" customHeight="1" s="419"/>
    <row r="62" ht="13.5" customHeight="1" s="419"/>
    <row r="63" ht="13.5" customHeight="1" s="419"/>
    <row r="64" ht="13.5" customHeight="1" s="419"/>
    <row r="65" ht="13.5" customHeight="1" s="419" thickBot="1"/>
    <row r="66" ht="13.5" customHeight="1" s="419" thickTop="1"/>
    <row r="67" ht="13.5" customHeight="1" s="419"/>
    <row r="68" ht="71.5" customHeight="1" s="419"/>
    <row r="69" ht="10.5" customHeight="1" s="419" thickBot="1"/>
  </sheetData>
  <mergeCells count="27">
    <mergeCell ref="B67:D67"/>
    <mergeCell ref="F2:K2"/>
    <mergeCell ref="B69:D69"/>
    <mergeCell ref="A6:B6"/>
    <mergeCell ref="C4:D4"/>
    <mergeCell ref="C2:E2"/>
    <mergeCell ref="L4:T4"/>
    <mergeCell ref="A7:B7"/>
    <mergeCell ref="B68:D68"/>
    <mergeCell ref="C7:E7"/>
    <mergeCell ref="L6:N6"/>
    <mergeCell ref="A3:B3"/>
    <mergeCell ref="A2:B2"/>
    <mergeCell ref="A5:B5"/>
    <mergeCell ref="C3:E3"/>
    <mergeCell ref="F4:K4"/>
    <mergeCell ref="O7:T7"/>
    <mergeCell ref="C6:E6"/>
    <mergeCell ref="A4:B4"/>
    <mergeCell ref="L2:T2"/>
    <mergeCell ref="O6:T6"/>
    <mergeCell ref="B66:D66"/>
    <mergeCell ref="F6:K6"/>
    <mergeCell ref="F7:K7"/>
    <mergeCell ref="C5:T5"/>
    <mergeCell ref="L3:T3"/>
    <mergeCell ref="F3:K3"/>
  </mergeCells>
  <pageMargins left="0.75" right="0.75" top="0.75" bottom="0.75" header="0.5" footer="0.5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6"/>
  <sheetViews>
    <sheetView zoomScale="145" zoomScaleNormal="145" workbookViewId="0">
      <selection activeCell="A1" sqref="A1"/>
    </sheetView>
  </sheetViews>
  <sheetFormatPr baseColWidth="8" defaultColWidth="9" defaultRowHeight="13.5" customHeight="1"/>
  <cols>
    <col width="8.1796875" customWidth="1" style="69" min="1" max="1"/>
    <col width="13.453125" customWidth="1" style="73" min="2" max="2"/>
    <col width="10.81640625" customWidth="1" style="69" min="3" max="3"/>
    <col width="26.6328125" customWidth="1" style="403" min="4" max="4"/>
    <col hidden="1" width="1.81640625" customWidth="1" style="69" min="5" max="5"/>
    <col width="2.81640625" bestFit="1" customWidth="1" style="69" min="6" max="11"/>
    <col width="13" customWidth="1" style="419" min="7" max="7"/>
    <col width="13" customWidth="1" style="419" min="8" max="8"/>
    <col width="13" customWidth="1" style="419" min="9" max="9"/>
    <col width="13" customWidth="1" style="419" min="10" max="10"/>
    <col width="13" customWidth="1" style="419" min="11" max="11"/>
    <col width="2.81640625" customWidth="1" style="69" min="12" max="19"/>
    <col width="13" customWidth="1" style="419" min="13" max="13"/>
    <col width="13" customWidth="1" style="419" min="14" max="14"/>
    <col width="13" customWidth="1" style="419" min="15" max="15"/>
    <col width="13" customWidth="1" style="419" min="16" max="16"/>
    <col width="13" customWidth="1" style="419" min="17" max="17"/>
    <col width="13" customWidth="1" style="419" min="18" max="18"/>
    <col width="13" customWidth="1" style="419" min="19" max="19"/>
    <col width="2.81640625" bestFit="1" customWidth="1" style="69" min="20" max="20"/>
    <col hidden="1" width="2.81640625" customWidth="1" style="69" min="21" max="21"/>
    <col hidden="1" width="11" customWidth="1" style="69" min="22" max="256"/>
    <col width="9" customWidth="1" style="69" min="257" max="16384"/>
  </cols>
  <sheetData>
    <row r="1" ht="13.5" customHeight="1" s="419" thickBot="1">
      <c r="A1" s="67" t="n"/>
      <c r="B1" s="68" t="n"/>
    </row>
    <row r="2" ht="13.5" customHeight="1" s="419">
      <c r="A2" s="346" t="inlineStr">
        <is>
          <t>Function Code</t>
        </is>
      </c>
      <c r="B2" s="458" t="n"/>
      <c r="C2" s="459" t="inlineStr">
        <is>
          <t>EP-274</t>
        </is>
      </c>
      <c r="D2" s="458" t="n"/>
      <c r="E2" s="460" t="n"/>
      <c r="F2" s="404" t="inlineStr">
        <is>
          <t>Function Name</t>
        </is>
      </c>
      <c r="G2" s="461" t="n"/>
      <c r="H2" s="461" t="n"/>
      <c r="I2" s="461" t="n"/>
      <c r="J2" s="461" t="n"/>
      <c r="K2" s="461" t="n"/>
      <c r="L2" s="462" t="inlineStr">
        <is>
          <t>Get Task Submissions</t>
        </is>
      </c>
      <c r="M2" s="458" t="n"/>
      <c r="N2" s="458" t="n"/>
      <c r="O2" s="458" t="n"/>
      <c r="P2" s="458" t="n"/>
      <c r="Q2" s="458" t="n"/>
      <c r="R2" s="458" t="n"/>
      <c r="S2" s="458" t="n"/>
      <c r="T2" s="463" t="n"/>
      <c r="V2" s="71" t="n"/>
    </row>
    <row r="3" ht="13.5" customHeight="1" s="419">
      <c r="A3" s="464" t="inlineStr">
        <is>
          <t>Created By</t>
        </is>
      </c>
      <c r="B3" s="421" t="n"/>
      <c r="C3" s="465" t="inlineStr">
        <is>
          <t>GitHub Copilot</t>
        </is>
      </c>
      <c r="D3" s="430" t="n"/>
      <c r="E3" s="466" t="n"/>
      <c r="F3" s="467" t="inlineStr">
        <is>
          <t>Executed By</t>
        </is>
      </c>
      <c r="G3" s="468" t="n"/>
      <c r="H3" s="468" t="n"/>
      <c r="I3" s="468" t="n"/>
      <c r="J3" s="468" t="n"/>
      <c r="K3" s="469" t="n"/>
      <c r="L3" s="470" t="inlineStr">
        <is>
          <t>GitHub Copilot</t>
        </is>
      </c>
      <c r="M3" s="471" t="n"/>
      <c r="N3" s="471" t="n"/>
      <c r="O3" s="471" t="n"/>
      <c r="P3" s="471" t="n"/>
      <c r="Q3" s="471" t="n"/>
      <c r="R3" s="471" t="n"/>
      <c r="S3" s="471" t="n"/>
      <c r="T3" s="472" t="n"/>
    </row>
    <row r="4" ht="13.5" customHeight="1" s="419">
      <c r="A4" s="464" t="inlineStr">
        <is>
          <t>Lines  of code</t>
        </is>
      </c>
      <c r="B4" s="421" t="n"/>
      <c r="C4" s="473" t="n">
        <v>4</v>
      </c>
      <c r="D4" s="420" t="n"/>
      <c r="E4" s="353" t="n"/>
      <c r="F4" s="467" t="inlineStr">
        <is>
          <t>Lack of test cases</t>
        </is>
      </c>
      <c r="G4" s="468" t="n"/>
      <c r="H4" s="468" t="n"/>
      <c r="I4" s="468" t="n"/>
      <c r="J4" s="468" t="n"/>
      <c r="K4" s="469" t="n"/>
      <c r="L4" s="474" t="n">
        <v>0</v>
      </c>
      <c r="M4" s="420" t="n"/>
      <c r="N4" s="420" t="n"/>
      <c r="O4" s="420" t="n"/>
      <c r="P4" s="420" t="n"/>
      <c r="Q4" s="420" t="n"/>
      <c r="R4" s="420" t="n"/>
      <c r="S4" s="420" t="n"/>
      <c r="T4" s="475" t="n"/>
      <c r="V4" s="71" t="n"/>
    </row>
    <row r="5" ht="13.5" customHeight="1" s="419">
      <c r="A5" s="464" t="inlineStr">
        <is>
          <t>Test requirement</t>
        </is>
      </c>
      <c r="B5" s="421" t="n"/>
      <c r="C5" s="476" t="inlineStr">
        <is>
          <t>Verify getTaskSubmissions: valid, edge, error, and auth cases for EP-274.</t>
        </is>
      </c>
      <c r="D5" s="420" t="n"/>
      <c r="E5" s="420" t="n"/>
      <c r="F5" s="420" t="n"/>
      <c r="G5" s="420" t="n"/>
      <c r="H5" s="420" t="n"/>
      <c r="I5" s="420" t="n"/>
      <c r="J5" s="420" t="n"/>
      <c r="K5" s="420" t="n"/>
      <c r="L5" s="420" t="n"/>
      <c r="M5" s="420" t="n"/>
      <c r="N5" s="420" t="n"/>
      <c r="O5" s="420" t="n"/>
      <c r="P5" s="420" t="n"/>
      <c r="Q5" s="420" t="n"/>
      <c r="R5" s="420" t="n"/>
      <c r="S5" s="420" t="n"/>
      <c r="T5" s="475" t="n"/>
    </row>
    <row r="6" ht="13.5" customHeight="1" s="419">
      <c r="A6" s="477" t="inlineStr">
        <is>
          <t>Passed</t>
        </is>
      </c>
      <c r="B6" s="421" t="n"/>
      <c r="C6" s="478" t="inlineStr">
        <is>
          <t>Failed</t>
        </is>
      </c>
      <c r="D6" s="420" t="n"/>
      <c r="E6" s="421" t="n"/>
      <c r="F6" s="479" t="inlineStr">
        <is>
          <t>Untested</t>
        </is>
      </c>
      <c r="G6" s="420" t="n"/>
      <c r="H6" s="420" t="n"/>
      <c r="I6" s="420" t="n"/>
      <c r="J6" s="420" t="n"/>
      <c r="K6" s="480" t="n"/>
      <c r="L6" s="312" t="inlineStr">
        <is>
          <t>N/A/B</t>
        </is>
      </c>
      <c r="M6" s="420" t="n"/>
      <c r="N6" s="420" t="n"/>
      <c r="O6" s="481" t="inlineStr">
        <is>
          <t>Total Test Cases</t>
        </is>
      </c>
      <c r="P6" s="420" t="n"/>
      <c r="Q6" s="420" t="n"/>
      <c r="R6" s="420" t="n"/>
      <c r="S6" s="420" t="n"/>
      <c r="T6" s="482" t="n"/>
      <c r="V6" s="71" t="n"/>
    </row>
    <row r="7" ht="13.5" customHeight="1" s="419" thickBot="1">
      <c r="A7" s="483">
        <f>COUNTIF(F34:I34,"P")</f>
        <v/>
      </c>
      <c r="B7" s="484" t="n"/>
      <c r="C7" s="485">
        <f>COUNTIF(F34:I34,"F")</f>
        <v/>
      </c>
      <c r="D7" s="486" t="n"/>
      <c r="E7" s="484" t="n"/>
      <c r="F7" s="487">
        <f>COUNTIF(F34:I34,"U")</f>
        <v/>
      </c>
      <c r="G7" s="486" t="n"/>
      <c r="H7" s="486" t="n"/>
      <c r="I7" s="486" t="n"/>
      <c r="J7" s="486" t="n"/>
      <c r="K7" s="488" t="n"/>
      <c r="L7" s="489">
        <f>COUNTIF(F33:I33,"N")</f>
        <v/>
      </c>
      <c r="M7" s="489">
        <f>COUNTIF(F33:I33,"A")</f>
        <v/>
      </c>
      <c r="N7" s="489">
        <f>COUNTIF(F33:I33,"B")</f>
        <v/>
      </c>
      <c r="O7" s="490">
        <f>COUNTA(F9:I9)</f>
        <v/>
      </c>
      <c r="P7" s="486" t="n"/>
      <c r="Q7" s="486" t="n"/>
      <c r="R7" s="486" t="n"/>
      <c r="S7" s="486" t="n"/>
      <c r="T7" s="491" t="n"/>
      <c r="U7" s="72" t="n"/>
    </row>
    <row r="8" ht="10.5" customHeight="1" s="419" thickBot="1"/>
    <row r="9" ht="45" customHeight="1" s="419" thickBot="1" thickTop="1">
      <c r="A9" s="189" t="n"/>
      <c r="B9" s="165" t="n"/>
      <c r="C9" s="166" t="n"/>
      <c r="D9" s="167" t="n"/>
      <c r="E9" s="166" t="n"/>
      <c r="F9" s="168" t="inlineStr">
        <is>
          <t>UTC01</t>
        </is>
      </c>
      <c r="G9" s="168" t="inlineStr">
        <is>
          <t>UTC02</t>
        </is>
      </c>
      <c r="H9" s="168" t="inlineStr">
        <is>
          <t>UTC03</t>
        </is>
      </c>
      <c r="I9" s="168" t="inlineStr">
        <is>
          <t>UTC04</t>
        </is>
      </c>
      <c r="J9" s="168" t="n"/>
      <c r="K9" s="168" t="n"/>
      <c r="L9" s="168" t="n"/>
      <c r="M9" s="168" t="n"/>
      <c r="N9" s="168" t="n"/>
      <c r="O9" s="168" t="n"/>
      <c r="P9" s="168" t="n"/>
      <c r="Q9" s="168" t="n"/>
      <c r="R9" s="168" t="n"/>
      <c r="S9" s="168" t="n"/>
      <c r="T9" s="169" t="n"/>
      <c r="U9" s="74" t="n"/>
      <c r="V9" s="71" t="n"/>
    </row>
    <row r="10" ht="13.5" customHeight="1" s="419">
      <c r="A10" s="183" t="inlineStr">
        <is>
          <t>Condition</t>
        </is>
      </c>
      <c r="B10" s="184" t="inlineStr">
        <is>
          <t>Precondition</t>
        </is>
      </c>
      <c r="C10" s="76" t="n"/>
      <c r="D10" s="77" t="n"/>
      <c r="E10" s="78" t="n"/>
      <c r="F10" s="79" t="n"/>
      <c r="G10" s="79" t="n"/>
      <c r="H10" s="79" t="n"/>
      <c r="I10" s="79" t="n"/>
      <c r="J10" s="79" t="n"/>
      <c r="K10" s="79" t="n"/>
      <c r="L10" s="79" t="n"/>
      <c r="M10" s="79" t="n"/>
      <c r="N10" s="79" t="n"/>
      <c r="O10" s="79" t="n"/>
      <c r="P10" s="79" t="n"/>
      <c r="Q10" s="79" t="n"/>
      <c r="R10" s="79" t="n"/>
      <c r="S10" s="79" t="n"/>
      <c r="T10" s="195" t="n"/>
    </row>
    <row r="11" ht="13.5" customHeight="1" s="419">
      <c r="A11" s="171" t="n"/>
      <c r="B11" s="75" t="n"/>
      <c r="C11" s="76" t="n"/>
      <c r="D11" s="492" t="inlineStr">
        <is>
          <t>user exists</t>
        </is>
      </c>
      <c r="E11" s="80" t="n"/>
      <c r="F11" s="493" t="inlineStr">
        <is>
          <t>O</t>
        </is>
      </c>
      <c r="G11" s="493" t="inlineStr">
        <is>
          <t>O</t>
        </is>
      </c>
      <c r="H11" s="493" t="inlineStr">
        <is>
          <t>O</t>
        </is>
      </c>
      <c r="I11" s="148" t="n"/>
      <c r="J11" s="148" t="n"/>
      <c r="K11" s="148" t="n"/>
      <c r="L11" s="148" t="n"/>
      <c r="M11" s="148" t="n"/>
      <c r="N11" s="148" t="n"/>
      <c r="O11" s="148" t="n"/>
      <c r="P11" s="148" t="n"/>
      <c r="Q11" s="148" t="n"/>
      <c r="R11" s="148" t="n"/>
      <c r="S11" s="148" t="n"/>
      <c r="T11" s="170" t="n"/>
      <c r="U11" s="454" t="n"/>
      <c r="V11" s="71" t="n"/>
    </row>
    <row r="12" ht="13.5" customHeight="1" s="419">
      <c r="A12" s="171" t="n"/>
      <c r="B12" s="75" t="n"/>
      <c r="C12" s="76" t="n"/>
      <c r="D12" s="492" t="inlineStr">
        <is>
          <t>Task "task-1" exists</t>
        </is>
      </c>
      <c r="E12" s="80" t="n"/>
      <c r="F12" s="493" t="inlineStr">
        <is>
          <t>O</t>
        </is>
      </c>
      <c r="G12" s="148" t="n"/>
      <c r="H12" s="148" t="n"/>
      <c r="I12" s="148" t="n"/>
      <c r="J12" s="148" t="n"/>
      <c r="K12" s="148" t="n"/>
      <c r="L12" s="148" t="n"/>
      <c r="M12" s="148" t="n"/>
      <c r="N12" s="148" t="n"/>
      <c r="O12" s="148" t="n"/>
      <c r="P12" s="148" t="n"/>
      <c r="Q12" s="148" t="n"/>
      <c r="R12" s="148" t="n"/>
      <c r="S12" s="148" t="n"/>
      <c r="T12" s="170" t="n"/>
      <c r="U12" s="454" t="n"/>
      <c r="V12" s="71" t="n"/>
    </row>
    <row r="13" ht="27" customHeight="1" s="419">
      <c r="A13" s="171" t="n"/>
      <c r="B13" s="75" t="n"/>
      <c r="C13" s="76" t="n"/>
      <c r="D13" s="492" t="inlineStr">
        <is>
          <t>Task "task-open" has no submissions</t>
        </is>
      </c>
      <c r="E13" s="80" t="n"/>
      <c r="F13" s="148" t="n"/>
      <c r="G13" s="493" t="inlineStr">
        <is>
          <t>O</t>
        </is>
      </c>
      <c r="H13" s="148" t="n"/>
      <c r="I13" s="148" t="n"/>
      <c r="J13" s="148" t="n"/>
      <c r="K13" s="148" t="n"/>
      <c r="L13" s="148" t="n"/>
      <c r="M13" s="148" t="n"/>
      <c r="N13" s="148" t="n"/>
      <c r="O13" s="148" t="n"/>
      <c r="P13" s="148" t="n"/>
      <c r="Q13" s="148" t="n"/>
      <c r="R13" s="148" t="n"/>
      <c r="S13" s="148" t="n"/>
      <c r="T13" s="170" t="n"/>
      <c r="U13" s="454" t="n"/>
      <c r="V13" s="71" t="n"/>
    </row>
    <row r="14" ht="27" customHeight="1" s="419">
      <c r="A14" s="171" t="n"/>
      <c r="B14" s="75" t="n"/>
      <c r="C14" s="76" t="n"/>
      <c r="D14" s="492" t="inlineStr">
        <is>
          <t>Task "task-missing" does not exist</t>
        </is>
      </c>
      <c r="E14" s="80" t="n"/>
      <c r="F14" s="148" t="n"/>
      <c r="G14" s="148" t="n"/>
      <c r="H14" s="493" t="inlineStr">
        <is>
          <t>O</t>
        </is>
      </c>
      <c r="I14" s="148" t="n"/>
      <c r="J14" s="148" t="n"/>
      <c r="K14" s="148" t="n"/>
      <c r="L14" s="148" t="n"/>
      <c r="M14" s="148" t="n"/>
      <c r="N14" s="148" t="n"/>
      <c r="O14" s="148" t="n"/>
      <c r="P14" s="148" t="n"/>
      <c r="Q14" s="148" t="n"/>
      <c r="R14" s="148" t="n"/>
      <c r="S14" s="148" t="n"/>
      <c r="T14" s="170" t="n"/>
      <c r="U14" s="454" t="n"/>
      <c r="V14" s="71" t="n"/>
    </row>
    <row r="15" ht="27" customHeight="1" s="419">
      <c r="A15" s="171" t="n"/>
      <c r="B15" s="75" t="n"/>
      <c r="C15" s="76" t="n"/>
      <c r="D15" s="492" t="inlineStr">
        <is>
          <t>TasksController is decorated with class-level guards</t>
        </is>
      </c>
      <c r="E15" s="80" t="n"/>
      <c r="F15" s="148" t="n"/>
      <c r="G15" s="148" t="n"/>
      <c r="H15" s="148" t="n"/>
      <c r="I15" s="493" t="inlineStr">
        <is>
          <t>O</t>
        </is>
      </c>
      <c r="J15" s="148" t="n"/>
      <c r="K15" s="148" t="n"/>
      <c r="L15" s="148" t="n"/>
      <c r="M15" s="148" t="n"/>
      <c r="N15" s="148" t="n"/>
      <c r="O15" s="148" t="n"/>
      <c r="P15" s="148" t="n"/>
      <c r="Q15" s="148" t="n"/>
      <c r="R15" s="148" t="n"/>
      <c r="S15" s="148" t="n"/>
      <c r="T15" s="170" t="n"/>
      <c r="U15" s="454" t="n"/>
      <c r="V15" s="71" t="n"/>
    </row>
    <row r="16" ht="13.5" customHeight="1" s="419">
      <c r="A16" s="171" t="n"/>
      <c r="B16" s="494" t="inlineStr">
        <is>
          <t>id</t>
        </is>
      </c>
      <c r="C16" s="76" t="n"/>
      <c r="D16" s="77" t="n"/>
      <c r="E16" s="80" t="n"/>
      <c r="F16" s="148" t="n"/>
      <c r="G16" s="148" t="n"/>
      <c r="H16" s="148" t="n"/>
      <c r="I16" s="148" t="n"/>
      <c r="J16" s="148" t="n"/>
      <c r="K16" s="148" t="n"/>
      <c r="L16" s="148" t="n"/>
      <c r="M16" s="148" t="n"/>
      <c r="N16" s="148" t="n"/>
      <c r="O16" s="148" t="n"/>
      <c r="P16" s="148" t="n"/>
      <c r="Q16" s="148" t="n"/>
      <c r="R16" s="148" t="n"/>
      <c r="S16" s="148" t="n"/>
      <c r="T16" s="170" t="n"/>
      <c r="U16" s="454" t="n"/>
      <c r="V16" s="71" t="n"/>
    </row>
    <row r="17" ht="13.5" customHeight="1" s="419">
      <c r="A17" s="171" t="n"/>
      <c r="B17" s="75" t="n"/>
      <c r="C17" s="76" t="n"/>
      <c r="D17" s="492" t="inlineStr">
        <is>
          <t>task-1</t>
        </is>
      </c>
      <c r="E17" s="80" t="n"/>
      <c r="F17" s="493" t="inlineStr">
        <is>
          <t>O</t>
        </is>
      </c>
      <c r="G17" s="148" t="n"/>
      <c r="H17" s="148" t="n"/>
      <c r="I17" s="148" t="n"/>
      <c r="J17" s="148" t="n"/>
      <c r="K17" s="148" t="n"/>
      <c r="L17" s="148" t="n"/>
      <c r="M17" s="148" t="n"/>
      <c r="N17" s="148" t="n"/>
      <c r="O17" s="148" t="n"/>
      <c r="P17" s="148" t="n"/>
      <c r="Q17" s="148" t="n"/>
      <c r="R17" s="148" t="n"/>
      <c r="S17" s="148" t="n"/>
      <c r="T17" s="170" t="n"/>
      <c r="U17" s="454" t="n"/>
      <c r="V17" s="71" t="n"/>
    </row>
    <row r="18" ht="13.5" customHeight="1" s="419">
      <c r="A18" s="171" t="n"/>
      <c r="B18" s="75" t="n"/>
      <c r="C18" s="76" t="n"/>
      <c r="D18" s="492" t="inlineStr">
        <is>
          <t>task-open</t>
        </is>
      </c>
      <c r="E18" s="80" t="n"/>
      <c r="F18" s="148" t="n"/>
      <c r="G18" s="493" t="inlineStr">
        <is>
          <t>O</t>
        </is>
      </c>
      <c r="H18" s="148" t="n"/>
      <c r="I18" s="148" t="n"/>
      <c r="J18" s="148" t="n"/>
      <c r="K18" s="148" t="n"/>
      <c r="L18" s="148" t="n"/>
      <c r="M18" s="148" t="n"/>
      <c r="N18" s="148" t="n"/>
      <c r="O18" s="148" t="n"/>
      <c r="P18" s="148" t="n"/>
      <c r="Q18" s="148" t="n"/>
      <c r="R18" s="148" t="n"/>
      <c r="S18" s="148" t="n"/>
      <c r="T18" s="170" t="n"/>
      <c r="U18" s="454" t="n"/>
      <c r="V18" s="71" t="n"/>
    </row>
    <row r="19" ht="13.5" customHeight="1" s="419">
      <c r="A19" s="171" t="n"/>
      <c r="B19" s="75" t="n"/>
      <c r="C19" s="76" t="n"/>
      <c r="D19" s="492" t="inlineStr">
        <is>
          <t>task-missing</t>
        </is>
      </c>
      <c r="E19" s="80" t="n"/>
      <c r="F19" s="148" t="n"/>
      <c r="G19" s="148" t="n"/>
      <c r="H19" s="493" t="inlineStr">
        <is>
          <t>O</t>
        </is>
      </c>
      <c r="I19" s="148" t="n"/>
      <c r="J19" s="148" t="n"/>
      <c r="K19" s="148" t="n"/>
      <c r="L19" s="148" t="n"/>
      <c r="M19" s="148" t="n"/>
      <c r="N19" s="148" t="n"/>
      <c r="O19" s="148" t="n"/>
      <c r="P19" s="148" t="n"/>
      <c r="Q19" s="148" t="n"/>
      <c r="R19" s="148" t="n"/>
      <c r="S19" s="148" t="n"/>
      <c r="T19" s="170" t="n"/>
      <c r="U19" s="454" t="n"/>
      <c r="V19" s="71" t="n"/>
    </row>
    <row r="20" ht="13.5" customHeight="1" s="419">
      <c r="A20" s="171" t="n"/>
      <c r="B20" s="494" t="inlineStr">
        <is>
          <t>metadata</t>
        </is>
      </c>
      <c r="C20" s="76" t="n"/>
      <c r="D20" s="77" t="n"/>
      <c r="E20" s="80" t="n"/>
      <c r="F20" s="148" t="n"/>
      <c r="G20" s="148" t="n"/>
      <c r="H20" s="148" t="n"/>
      <c r="I20" s="148" t="n"/>
      <c r="J20" s="148" t="n"/>
      <c r="K20" s="148" t="n"/>
      <c r="L20" s="148" t="n"/>
      <c r="M20" s="148" t="n"/>
      <c r="N20" s="148" t="n"/>
      <c r="O20" s="148" t="n"/>
      <c r="P20" s="148" t="n"/>
      <c r="Q20" s="148" t="n"/>
      <c r="R20" s="148" t="n"/>
      <c r="S20" s="148" t="n"/>
      <c r="T20" s="170" t="n"/>
      <c r="U20" s="454" t="n"/>
      <c r="V20" s="71" t="n"/>
    </row>
    <row r="21" ht="27" customHeight="1" s="419">
      <c r="A21" s="171" t="n"/>
      <c r="B21" s="75" t="n"/>
      <c r="C21" s="76" t="n"/>
      <c r="D21" s="492" t="inlineStr">
        <is>
          <t>GUARDS_METADATA on TasksController</t>
        </is>
      </c>
      <c r="E21" s="80" t="n"/>
      <c r="F21" s="148" t="n"/>
      <c r="G21" s="148" t="n"/>
      <c r="H21" s="148" t="n"/>
      <c r="I21" s="493" t="inlineStr">
        <is>
          <t>O</t>
        </is>
      </c>
      <c r="J21" s="148" t="n"/>
      <c r="K21" s="148" t="n"/>
      <c r="L21" s="148" t="n"/>
      <c r="M21" s="148" t="n"/>
      <c r="N21" s="148" t="n"/>
      <c r="O21" s="148" t="n"/>
      <c r="P21" s="148" t="n"/>
      <c r="Q21" s="148" t="n"/>
      <c r="R21" s="148" t="n"/>
      <c r="S21" s="148" t="n"/>
      <c r="T21" s="170" t="n"/>
      <c r="U21" s="454" t="n"/>
      <c r="V21" s="71" t="n"/>
    </row>
    <row r="22" ht="13.5" customHeight="1" s="419">
      <c r="A22" s="495" t="inlineStr">
        <is>
          <t>Confirm</t>
        </is>
      </c>
      <c r="B22" s="494" t="inlineStr">
        <is>
          <t>Return</t>
        </is>
      </c>
      <c r="C22" s="76" t="n"/>
      <c r="D22" s="77" t="n"/>
      <c r="E22" s="80" t="n"/>
      <c r="F22" s="148" t="n"/>
      <c r="G22" s="148" t="n"/>
      <c r="H22" s="148" t="n"/>
      <c r="I22" s="148" t="n"/>
      <c r="J22" s="148" t="n"/>
      <c r="K22" s="148" t="n"/>
      <c r="L22" s="148" t="n"/>
      <c r="M22" s="148" t="n"/>
      <c r="N22" s="148" t="n"/>
      <c r="O22" s="148" t="n"/>
      <c r="P22" s="148" t="n"/>
      <c r="Q22" s="148" t="n"/>
      <c r="R22" s="148" t="n"/>
      <c r="S22" s="148" t="n"/>
      <c r="T22" s="170" t="n"/>
      <c r="U22" s="454" t="n"/>
      <c r="V22" s="71" t="n"/>
    </row>
    <row r="23" ht="13.5" customHeight="1" s="419">
      <c r="A23" s="171" t="n"/>
      <c r="B23" s="75" t="n"/>
      <c r="C23" s="76" t="n"/>
      <c r="D23" s="492" t="inlineStr">
        <is>
          <t>Returns submission list</t>
        </is>
      </c>
      <c r="E23" s="80" t="n"/>
      <c r="F23" s="493" t="inlineStr">
        <is>
          <t>O</t>
        </is>
      </c>
      <c r="G23" s="148" t="n"/>
      <c r="H23" s="148" t="n"/>
      <c r="I23" s="148" t="n"/>
      <c r="J23" s="148" t="n"/>
      <c r="K23" s="148" t="n"/>
      <c r="L23" s="148" t="n"/>
      <c r="M23" s="148" t="n"/>
      <c r="N23" s="148" t="n"/>
      <c r="O23" s="148" t="n"/>
      <c r="P23" s="148" t="n"/>
      <c r="Q23" s="148" t="n"/>
      <c r="R23" s="148" t="n"/>
      <c r="S23" s="148" t="n"/>
      <c r="T23" s="170" t="n"/>
      <c r="U23" s="454" t="n"/>
      <c r="V23" s="71" t="n"/>
    </row>
    <row r="24" ht="27" customHeight="1" s="419">
      <c r="A24" s="171" t="n"/>
      <c r="B24" s="75" t="n"/>
      <c r="C24" s="76" t="n"/>
      <c r="D24" s="492" t="inlineStr">
        <is>
          <t>Returns empty submissions list</t>
        </is>
      </c>
      <c r="E24" s="80" t="n"/>
      <c r="F24" s="148" t="n"/>
      <c r="G24" s="493" t="inlineStr">
        <is>
          <t>O</t>
        </is>
      </c>
      <c r="H24" s="148" t="n"/>
      <c r="I24" s="148" t="n"/>
      <c r="J24" s="148" t="n"/>
      <c r="K24" s="148" t="n"/>
      <c r="L24" s="148" t="n"/>
      <c r="M24" s="148" t="n"/>
      <c r="N24" s="148" t="n"/>
      <c r="O24" s="148" t="n"/>
      <c r="P24" s="148" t="n"/>
      <c r="Q24" s="148" t="n"/>
      <c r="R24" s="148" t="n"/>
      <c r="S24" s="148" t="n"/>
      <c r="T24" s="170" t="n"/>
      <c r="U24" s="454" t="n"/>
      <c r="V24" s="71" t="n"/>
    </row>
    <row r="25" ht="27" customHeight="1" s="419">
      <c r="A25" s="171" t="n"/>
      <c r="B25" s="75" t="n"/>
      <c r="C25" s="76" t="n"/>
      <c r="D25" s="492" t="inlineStr">
        <is>
          <t>Guard metadata exists for authenticated access</t>
        </is>
      </c>
      <c r="E25" s="80" t="n"/>
      <c r="F25" s="148" t="n"/>
      <c r="G25" s="148" t="n"/>
      <c r="H25" s="148" t="n"/>
      <c r="I25" s="493" t="inlineStr">
        <is>
          <t>O</t>
        </is>
      </c>
      <c r="J25" s="148" t="n"/>
      <c r="K25" s="148" t="n"/>
      <c r="L25" s="148" t="n"/>
      <c r="M25" s="148" t="n"/>
      <c r="N25" s="148" t="n"/>
      <c r="O25" s="148" t="n"/>
      <c r="P25" s="148" t="n"/>
      <c r="Q25" s="148" t="n"/>
      <c r="R25" s="148" t="n"/>
      <c r="S25" s="148" t="n"/>
      <c r="T25" s="170" t="n"/>
      <c r="U25" s="454" t="n"/>
      <c r="V25" s="71" t="n"/>
    </row>
    <row r="26" ht="13.5" customHeight="1" s="419">
      <c r="A26" s="171" t="n"/>
      <c r="B26" s="494" t="inlineStr">
        <is>
          <t>Exception</t>
        </is>
      </c>
      <c r="C26" s="76" t="n"/>
      <c r="D26" s="77" t="n"/>
      <c r="E26" s="80" t="n"/>
      <c r="F26" s="148" t="n"/>
      <c r="G26" s="148" t="n"/>
      <c r="H26" s="148" t="n"/>
      <c r="I26" s="148" t="n"/>
      <c r="J26" s="148" t="n"/>
      <c r="K26" s="148" t="n"/>
      <c r="L26" s="148" t="n"/>
      <c r="M26" s="148" t="n"/>
      <c r="N26" s="148" t="n"/>
      <c r="O26" s="148" t="n"/>
      <c r="P26" s="148" t="n"/>
      <c r="Q26" s="148" t="n"/>
      <c r="R26" s="148" t="n"/>
      <c r="S26" s="148" t="n"/>
      <c r="T26" s="170" t="n"/>
      <c r="U26" s="454" t="n"/>
      <c r="V26" s="71" t="n"/>
    </row>
    <row r="27" ht="27" customHeight="1" s="419">
      <c r="A27" s="171" t="n"/>
      <c r="B27" s="75" t="n"/>
      <c r="C27" s="76" t="n"/>
      <c r="D27" s="492" t="inlineStr">
        <is>
          <t>NotFoundException: Task not found</t>
        </is>
      </c>
      <c r="E27" s="80" t="n"/>
      <c r="F27" s="148" t="n"/>
      <c r="G27" s="148" t="n"/>
      <c r="H27" s="493" t="inlineStr">
        <is>
          <t>O</t>
        </is>
      </c>
      <c r="I27" s="148" t="n"/>
      <c r="J27" s="148" t="n"/>
      <c r="K27" s="148" t="n"/>
      <c r="L27" s="148" t="n"/>
      <c r="M27" s="148" t="n"/>
      <c r="N27" s="148" t="n"/>
      <c r="O27" s="148" t="n"/>
      <c r="P27" s="148" t="n"/>
      <c r="Q27" s="148" t="n"/>
      <c r="R27" s="148" t="n"/>
      <c r="S27" s="148" t="n"/>
      <c r="T27" s="170" t="n"/>
      <c r="U27" s="454" t="n"/>
      <c r="V27" s="71" t="n"/>
    </row>
    <row r="28" ht="13.5" customHeight="1" s="419">
      <c r="A28" s="171" t="n"/>
      <c r="B28" s="494" t="inlineStr">
        <is>
          <t>Log message</t>
        </is>
      </c>
      <c r="C28" s="76" t="n"/>
      <c r="D28" s="77" t="n"/>
      <c r="E28" s="80" t="n"/>
      <c r="F28" s="148" t="n"/>
      <c r="G28" s="148" t="n"/>
      <c r="H28" s="148" t="n"/>
      <c r="I28" s="148" t="n"/>
      <c r="J28" s="148" t="n"/>
      <c r="K28" s="148" t="n"/>
      <c r="L28" s="148" t="n"/>
      <c r="M28" s="148" t="n"/>
      <c r="N28" s="148" t="n"/>
      <c r="O28" s="148" t="n"/>
      <c r="P28" s="148" t="n"/>
      <c r="Q28" s="148" t="n"/>
      <c r="R28" s="148" t="n"/>
      <c r="S28" s="148" t="n"/>
      <c r="T28" s="170" t="n"/>
      <c r="U28" s="454" t="n"/>
      <c r="V28" s="71" t="n"/>
    </row>
    <row r="29" ht="27" customHeight="1" s="419">
      <c r="A29" s="171" t="n"/>
      <c r="B29" s="75" t="n"/>
      <c r="C29" s="76" t="n"/>
      <c r="D29" s="492" t="inlineStr">
        <is>
          <t>EP-274 UTC01 Returns submissions for a valid task id</t>
        </is>
      </c>
      <c r="E29" s="80" t="n"/>
      <c r="F29" s="493" t="inlineStr">
        <is>
          <t>O</t>
        </is>
      </c>
      <c r="G29" s="148" t="n"/>
      <c r="H29" s="148" t="n"/>
      <c r="I29" s="148" t="n"/>
      <c r="J29" s="148" t="n"/>
      <c r="K29" s="148" t="n"/>
      <c r="L29" s="148" t="n"/>
      <c r="M29" s="148" t="n"/>
      <c r="N29" s="148" t="n"/>
      <c r="O29" s="148" t="n"/>
      <c r="P29" s="148" t="n"/>
      <c r="Q29" s="148" t="n"/>
      <c r="R29" s="148" t="n"/>
      <c r="S29" s="148" t="n"/>
      <c r="T29" s="170" t="n"/>
      <c r="U29" s="454" t="n"/>
      <c r="V29" s="71" t="n"/>
    </row>
    <row r="30" ht="40.5" customHeight="1" s="419">
      <c r="A30" s="171" t="n"/>
      <c r="B30" s="75" t="n"/>
      <c r="C30" s="76" t="n"/>
      <c r="D30" s="492" t="inlineStr">
        <is>
          <t>EP-274 UTC02 Returns an empty list when no submissions exist</t>
        </is>
      </c>
      <c r="E30" s="80" t="n"/>
      <c r="F30" s="148" t="n"/>
      <c r="G30" s="493" t="inlineStr">
        <is>
          <t>O</t>
        </is>
      </c>
      <c r="H30" s="148" t="n"/>
      <c r="I30" s="148" t="n"/>
      <c r="J30" s="148" t="n"/>
      <c r="K30" s="148" t="n"/>
      <c r="L30" s="148" t="n"/>
      <c r="M30" s="148" t="n"/>
      <c r="N30" s="148" t="n"/>
      <c r="O30" s="148" t="n"/>
      <c r="P30" s="148" t="n"/>
      <c r="Q30" s="148" t="n"/>
      <c r="R30" s="148" t="n"/>
      <c r="S30" s="148" t="n"/>
      <c r="T30" s="170" t="n"/>
      <c r="U30" s="454" t="n"/>
      <c r="V30" s="71" t="n"/>
    </row>
    <row r="31" ht="40.5" customHeight="1" s="419">
      <c r="A31" s="171" t="n"/>
      <c r="B31" s="75" t="n"/>
      <c r="C31" s="76" t="n"/>
      <c r="D31" s="492" t="inlineStr">
        <is>
          <t>EP-274 UTC03 propagates service errors for missing tasks</t>
        </is>
      </c>
      <c r="E31" s="80" t="n"/>
      <c r="F31" s="148" t="n"/>
      <c r="G31" s="148" t="n"/>
      <c r="H31" s="493" t="inlineStr">
        <is>
          <t>O</t>
        </is>
      </c>
      <c r="I31" s="148" t="n"/>
      <c r="J31" s="148" t="n"/>
      <c r="K31" s="148" t="n"/>
      <c r="L31" s="148" t="n"/>
      <c r="M31" s="148" t="n"/>
      <c r="N31" s="148" t="n"/>
      <c r="O31" s="148" t="n"/>
      <c r="P31" s="148" t="n"/>
      <c r="Q31" s="148" t="n"/>
      <c r="R31" s="148" t="n"/>
      <c r="S31" s="148" t="n"/>
      <c r="T31" s="170" t="n"/>
      <c r="U31" s="454" t="n"/>
      <c r="V31" s="71" t="n"/>
    </row>
    <row r="32" ht="40.5" customHeight="1" s="419">
      <c r="A32" s="171" t="n"/>
      <c r="B32" s="75" t="n"/>
      <c r="C32" s="76" t="n"/>
      <c r="D32" s="492" t="inlineStr">
        <is>
          <t>EP-274 UTC04 is protected by JwtAuthGuard at controller level</t>
        </is>
      </c>
      <c r="E32" s="80" t="n"/>
      <c r="F32" s="148" t="n"/>
      <c r="G32" s="148" t="n"/>
      <c r="H32" s="148" t="n"/>
      <c r="I32" s="493" t="inlineStr">
        <is>
          <t>O</t>
        </is>
      </c>
      <c r="J32" s="148" t="n"/>
      <c r="K32" s="148" t="n"/>
      <c r="L32" s="148" t="n"/>
      <c r="M32" s="148" t="n"/>
      <c r="N32" s="148" t="n"/>
      <c r="O32" s="148" t="n"/>
      <c r="P32" s="148" t="n"/>
      <c r="Q32" s="148" t="n"/>
      <c r="R32" s="148" t="n"/>
      <c r="S32" s="148" t="n"/>
      <c r="T32" s="170" t="n"/>
      <c r="U32" s="454" t="n"/>
      <c r="V32" s="71" t="n"/>
    </row>
    <row r="33" ht="13.5" customHeight="1" s="419">
      <c r="A33" s="495" t="inlineStr">
        <is>
          <t>Result</t>
        </is>
      </c>
      <c r="B33" s="494" t="inlineStr">
        <is>
          <t>Type(N : Normal, A : Abnormal, B : Boundary)</t>
        </is>
      </c>
      <c r="C33" s="76" t="n"/>
      <c r="D33" s="77" t="n"/>
      <c r="E33" s="80" t="n"/>
      <c r="F33" s="493" t="inlineStr">
        <is>
          <t>N</t>
        </is>
      </c>
      <c r="G33" s="493" t="inlineStr">
        <is>
          <t>B</t>
        </is>
      </c>
      <c r="H33" s="493" t="inlineStr">
        <is>
          <t>A</t>
        </is>
      </c>
      <c r="I33" s="493" t="inlineStr">
        <is>
          <t>A</t>
        </is>
      </c>
      <c r="J33" s="148" t="n"/>
      <c r="K33" s="148" t="n"/>
      <c r="L33" s="148" t="n"/>
      <c r="M33" s="148" t="n"/>
      <c r="N33" s="148" t="n"/>
      <c r="O33" s="148" t="n"/>
      <c r="P33" s="148" t="n"/>
      <c r="Q33" s="148" t="n"/>
      <c r="R33" s="148" t="n"/>
      <c r="S33" s="148" t="n"/>
      <c r="T33" s="170" t="n"/>
      <c r="U33" s="454" t="n"/>
      <c r="V33" s="71" t="n"/>
    </row>
    <row r="34" ht="13.5" customHeight="1" s="419">
      <c r="A34" s="171" t="n"/>
      <c r="B34" s="494" t="inlineStr">
        <is>
          <t>Passed/Failed</t>
        </is>
      </c>
      <c r="C34" s="76" t="n"/>
      <c r="D34" s="77" t="n"/>
      <c r="E34" s="81" t="n"/>
      <c r="F34" s="496" t="inlineStr">
        <is>
          <t>P</t>
        </is>
      </c>
      <c r="G34" s="496" t="inlineStr">
        <is>
          <t>P</t>
        </is>
      </c>
      <c r="H34" s="496" t="inlineStr">
        <is>
          <t>P</t>
        </is>
      </c>
      <c r="I34" s="496" t="inlineStr">
        <is>
          <t>P</t>
        </is>
      </c>
      <c r="J34" s="79" t="n"/>
      <c r="K34" s="79" t="n"/>
      <c r="L34" s="79" t="n"/>
      <c r="M34" s="79" t="n"/>
      <c r="N34" s="79" t="n"/>
      <c r="O34" s="79" t="n"/>
      <c r="P34" s="79" t="n"/>
      <c r="Q34" s="79" t="n"/>
      <c r="R34" s="79" t="n"/>
      <c r="S34" s="79" t="n"/>
      <c r="T34" s="195" t="n"/>
      <c r="U34" s="454" t="n"/>
      <c r="V34" s="454" t="n"/>
    </row>
    <row r="35" ht="42" customHeight="1" s="419">
      <c r="A35" s="171" t="n"/>
      <c r="B35" s="494" t="inlineStr">
        <is>
          <t>Executed Date</t>
        </is>
      </c>
      <c r="C35" s="76" t="n"/>
      <c r="D35" s="77" t="n"/>
      <c r="E35" s="80" t="n"/>
      <c r="F35" s="497" t="inlineStr">
        <is>
          <t>04-06</t>
        </is>
      </c>
      <c r="G35" s="497" t="inlineStr">
        <is>
          <t>04-06</t>
        </is>
      </c>
      <c r="H35" s="497" t="inlineStr">
        <is>
          <t>04-06</t>
        </is>
      </c>
      <c r="I35" s="497" t="inlineStr">
        <is>
          <t>04-06</t>
        </is>
      </c>
      <c r="J35" s="148" t="n"/>
      <c r="K35" s="148" t="n"/>
      <c r="L35" s="148" t="n"/>
      <c r="M35" s="148" t="n"/>
      <c r="N35" s="148" t="n"/>
      <c r="O35" s="148" t="n"/>
      <c r="P35" s="148" t="n"/>
      <c r="Q35" s="148" t="n"/>
      <c r="R35" s="148" t="n"/>
      <c r="S35" s="148" t="n"/>
      <c r="T35" s="170" t="n"/>
      <c r="U35" s="454" t="n"/>
      <c r="V35" s="71" t="n"/>
    </row>
    <row r="36" ht="13.5" customHeight="1" s="419">
      <c r="A36" s="171" t="n"/>
      <c r="B36" s="494" t="inlineStr">
        <is>
          <t>Defect ID</t>
        </is>
      </c>
      <c r="C36" s="76" t="n"/>
      <c r="D36" s="77" t="n"/>
      <c r="E36" s="80" t="n"/>
      <c r="F36" s="493" t="inlineStr"/>
      <c r="G36" s="493" t="inlineStr"/>
      <c r="H36" s="493" t="inlineStr"/>
      <c r="I36" s="493" t="inlineStr"/>
      <c r="J36" s="148" t="n"/>
      <c r="K36" s="148" t="n"/>
      <c r="L36" s="148" t="n"/>
      <c r="M36" s="148" t="n"/>
      <c r="N36" s="148" t="n"/>
      <c r="O36" s="148" t="n"/>
      <c r="P36" s="148" t="n"/>
      <c r="Q36" s="148" t="n"/>
      <c r="R36" s="148" t="n"/>
      <c r="S36" s="148" t="n"/>
      <c r="T36" s="170" t="n"/>
      <c r="U36" s="454" t="n"/>
      <c r="V36" s="71" t="n"/>
    </row>
    <row r="37" ht="13.5" customHeight="1" s="419"/>
    <row r="38" ht="13.5" customHeight="1" s="419"/>
    <row r="39" ht="13.5" customHeight="1" s="419"/>
    <row r="40" ht="13.5" customHeight="1" s="419"/>
    <row r="41" ht="13.5" customHeight="1" s="419"/>
    <row r="42" ht="13.5" customHeight="1" s="419"/>
    <row r="43" ht="13.5" customHeight="1" s="419"/>
    <row r="44" ht="13.5" customHeight="1" s="419"/>
    <row r="45" ht="13.5" customHeight="1" s="419"/>
    <row r="46" ht="13.5" customHeight="1" s="419"/>
    <row r="47" ht="13.5" customHeight="1" s="419"/>
    <row r="48" ht="13.5" customHeight="1" s="419"/>
    <row r="49" ht="13.5" customHeight="1" s="419"/>
    <row r="50" ht="13.5" customHeight="1" s="419"/>
    <row r="51" ht="13.5" customHeight="1" s="419"/>
    <row r="52" ht="13.5" customHeight="1" s="419"/>
    <row r="53" ht="13.5" customHeight="1" s="419"/>
    <row r="54" ht="13.5" customHeight="1" s="419"/>
    <row r="55" ht="13.5" customHeight="1" s="419"/>
    <row r="56" ht="13.5" customHeight="1" s="419"/>
    <row r="57" ht="13.5" customHeight="1" s="419"/>
    <row r="58" ht="13.5" customHeight="1" s="419"/>
    <row r="59" ht="13.5" customHeight="1" s="419"/>
    <row r="60" ht="13.5" customHeight="1" s="419"/>
    <row r="61" ht="13.5" customHeight="1" s="419"/>
    <row r="62" ht="13.5" customHeight="1" s="419"/>
    <row r="63" ht="13.5" customHeight="1" s="419"/>
    <row r="64" ht="13.5" customHeight="1" s="419"/>
    <row r="65" ht="13.5" customHeight="1" s="419" thickBot="1"/>
    <row r="66" ht="13.5" customHeight="1" s="419" thickTop="1"/>
    <row r="67" ht="13.5" customHeight="1" s="419"/>
    <row r="68" ht="71.5" customHeight="1" s="419"/>
    <row r="69" ht="10.5" customHeight="1" s="419" thickBot="1"/>
  </sheetData>
  <mergeCells count="27">
    <mergeCell ref="B67:D67"/>
    <mergeCell ref="F2:K2"/>
    <mergeCell ref="B69:D69"/>
    <mergeCell ref="A6:B6"/>
    <mergeCell ref="C4:D4"/>
    <mergeCell ref="C2:E2"/>
    <mergeCell ref="L4:T4"/>
    <mergeCell ref="A7:B7"/>
    <mergeCell ref="B68:D68"/>
    <mergeCell ref="C7:E7"/>
    <mergeCell ref="L6:N6"/>
    <mergeCell ref="A3:B3"/>
    <mergeCell ref="A2:B2"/>
    <mergeCell ref="A5:B5"/>
    <mergeCell ref="C3:E3"/>
    <mergeCell ref="F4:K4"/>
    <mergeCell ref="O7:T7"/>
    <mergeCell ref="C6:E6"/>
    <mergeCell ref="A4:B4"/>
    <mergeCell ref="L2:T2"/>
    <mergeCell ref="O6:T6"/>
    <mergeCell ref="B66:D66"/>
    <mergeCell ref="F6:K6"/>
    <mergeCell ref="F7:K7"/>
    <mergeCell ref="C5:T5"/>
    <mergeCell ref="L3:T3"/>
    <mergeCell ref="F3:K3"/>
  </mergeCells>
  <pageMargins left="0.75" right="0.75" top="0.75" bottom="0.75" header="0.5" footer="0.5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40"/>
  <sheetViews>
    <sheetView zoomScale="145" zoomScaleNormal="145" workbookViewId="0">
      <selection activeCell="A1" sqref="A1"/>
    </sheetView>
  </sheetViews>
  <sheetFormatPr baseColWidth="8" defaultColWidth="9" defaultRowHeight="13.5" customHeight="1"/>
  <cols>
    <col width="8.1796875" customWidth="1" style="69" min="1" max="1"/>
    <col width="13.453125" customWidth="1" style="73" min="2" max="2"/>
    <col width="10.81640625" customWidth="1" style="69" min="3" max="3"/>
    <col width="26.6328125" customWidth="1" style="403" min="4" max="4"/>
    <col hidden="1" width="1.81640625" customWidth="1" style="69" min="5" max="5"/>
    <col width="2.81640625" bestFit="1" customWidth="1" style="69" min="6" max="11"/>
    <col width="13" customWidth="1" style="419" min="7" max="7"/>
    <col width="13" customWidth="1" style="419" min="8" max="8"/>
    <col width="13" customWidth="1" style="419" min="9" max="9"/>
    <col width="13" customWidth="1" style="419" min="10" max="10"/>
    <col width="13" customWidth="1" style="419" min="11" max="11"/>
    <col width="2.81640625" customWidth="1" style="69" min="12" max="19"/>
    <col width="13" customWidth="1" style="419" min="13" max="13"/>
    <col width="13" customWidth="1" style="419" min="14" max="14"/>
    <col width="13" customWidth="1" style="419" min="15" max="15"/>
    <col width="13" customWidth="1" style="419" min="16" max="16"/>
    <col width="13" customWidth="1" style="419" min="17" max="17"/>
    <col width="13" customWidth="1" style="419" min="18" max="18"/>
    <col width="13" customWidth="1" style="419" min="19" max="19"/>
    <col width="2.81640625" bestFit="1" customWidth="1" style="69" min="20" max="20"/>
    <col hidden="1" width="2.81640625" customWidth="1" style="69" min="21" max="21"/>
    <col hidden="1" width="11" customWidth="1" style="69" min="22" max="256"/>
    <col width="9" customWidth="1" style="69" min="257" max="16384"/>
  </cols>
  <sheetData>
    <row r="1" ht="13.5" customHeight="1" s="419" thickBot="1">
      <c r="A1" s="67" t="n"/>
      <c r="B1" s="68" t="n"/>
    </row>
    <row r="2" ht="13.5" customHeight="1" s="419">
      <c r="A2" s="346" t="inlineStr">
        <is>
          <t>Function Code</t>
        </is>
      </c>
      <c r="B2" s="458" t="n"/>
      <c r="C2" s="459" t="inlineStr">
        <is>
          <t>EP-280</t>
        </is>
      </c>
      <c r="D2" s="458" t="n"/>
      <c r="E2" s="460" t="n"/>
      <c r="F2" s="404" t="inlineStr">
        <is>
          <t>Function Name</t>
        </is>
      </c>
      <c r="G2" s="461" t="n"/>
      <c r="H2" s="461" t="n"/>
      <c r="I2" s="461" t="n"/>
      <c r="J2" s="461" t="n"/>
      <c r="K2" s="461" t="n"/>
      <c r="L2" s="462" t="inlineStr">
        <is>
          <t>Upload Attachment</t>
        </is>
      </c>
      <c r="M2" s="458" t="n"/>
      <c r="N2" s="458" t="n"/>
      <c r="O2" s="458" t="n"/>
      <c r="P2" s="458" t="n"/>
      <c r="Q2" s="458" t="n"/>
      <c r="R2" s="458" t="n"/>
      <c r="S2" s="458" t="n"/>
      <c r="T2" s="463" t="n"/>
      <c r="V2" s="71" t="n"/>
    </row>
    <row r="3" ht="13.5" customHeight="1" s="419">
      <c r="A3" s="464" t="inlineStr">
        <is>
          <t>Created By</t>
        </is>
      </c>
      <c r="B3" s="421" t="n"/>
      <c r="C3" s="465" t="inlineStr">
        <is>
          <t>GitHub Copilot</t>
        </is>
      </c>
      <c r="D3" s="430" t="n"/>
      <c r="E3" s="466" t="n"/>
      <c r="F3" s="467" t="inlineStr">
        <is>
          <t>Executed By</t>
        </is>
      </c>
      <c r="G3" s="468" t="n"/>
      <c r="H3" s="468" t="n"/>
      <c r="I3" s="468" t="n"/>
      <c r="J3" s="468" t="n"/>
      <c r="K3" s="469" t="n"/>
      <c r="L3" s="470" t="inlineStr">
        <is>
          <t>GitHub Copilot</t>
        </is>
      </c>
      <c r="M3" s="471" t="n"/>
      <c r="N3" s="471" t="n"/>
      <c r="O3" s="471" t="n"/>
      <c r="P3" s="471" t="n"/>
      <c r="Q3" s="471" t="n"/>
      <c r="R3" s="471" t="n"/>
      <c r="S3" s="471" t="n"/>
      <c r="T3" s="472" t="n"/>
    </row>
    <row r="4" ht="13.5" customHeight="1" s="419">
      <c r="A4" s="464" t="inlineStr">
        <is>
          <t>Lines  of code</t>
        </is>
      </c>
      <c r="B4" s="421" t="n"/>
      <c r="C4" s="473" t="n">
        <v>15</v>
      </c>
      <c r="D4" s="420" t="n"/>
      <c r="E4" s="353" t="n"/>
      <c r="F4" s="467" t="inlineStr">
        <is>
          <t>Lack of test cases</t>
        </is>
      </c>
      <c r="G4" s="468" t="n"/>
      <c r="H4" s="468" t="n"/>
      <c r="I4" s="468" t="n"/>
      <c r="J4" s="468" t="n"/>
      <c r="K4" s="469" t="n"/>
      <c r="L4" s="474" t="n">
        <v>0</v>
      </c>
      <c r="M4" s="420" t="n"/>
      <c r="N4" s="420" t="n"/>
      <c r="O4" s="420" t="n"/>
      <c r="P4" s="420" t="n"/>
      <c r="Q4" s="420" t="n"/>
      <c r="R4" s="420" t="n"/>
      <c r="S4" s="420" t="n"/>
      <c r="T4" s="475" t="n"/>
      <c r="V4" s="71" t="n"/>
    </row>
    <row r="5" ht="13.5" customHeight="1" s="419">
      <c r="A5" s="464" t="inlineStr">
        <is>
          <t>Test requirement</t>
        </is>
      </c>
      <c r="B5" s="421" t="n"/>
      <c r="C5" s="476" t="inlineStr">
        <is>
          <t>Verify uploadAttachment: valid, edge, error, and auth cases for EP-280.</t>
        </is>
      </c>
      <c r="D5" s="420" t="n"/>
      <c r="E5" s="420" t="n"/>
      <c r="F5" s="420" t="n"/>
      <c r="G5" s="420" t="n"/>
      <c r="H5" s="420" t="n"/>
      <c r="I5" s="420" t="n"/>
      <c r="J5" s="420" t="n"/>
      <c r="K5" s="420" t="n"/>
      <c r="L5" s="420" t="n"/>
      <c r="M5" s="420" t="n"/>
      <c r="N5" s="420" t="n"/>
      <c r="O5" s="420" t="n"/>
      <c r="P5" s="420" t="n"/>
      <c r="Q5" s="420" t="n"/>
      <c r="R5" s="420" t="n"/>
      <c r="S5" s="420" t="n"/>
      <c r="T5" s="475" t="n"/>
    </row>
    <row r="6" ht="13.5" customHeight="1" s="419">
      <c r="A6" s="477" t="inlineStr">
        <is>
          <t>Passed</t>
        </is>
      </c>
      <c r="B6" s="421" t="n"/>
      <c r="C6" s="478" t="inlineStr">
        <is>
          <t>Failed</t>
        </is>
      </c>
      <c r="D6" s="420" t="n"/>
      <c r="E6" s="421" t="n"/>
      <c r="F6" s="479" t="inlineStr">
        <is>
          <t>Untested</t>
        </is>
      </c>
      <c r="G6" s="420" t="n"/>
      <c r="H6" s="420" t="n"/>
      <c r="I6" s="420" t="n"/>
      <c r="J6" s="420" t="n"/>
      <c r="K6" s="480" t="n"/>
      <c r="L6" s="312" t="inlineStr">
        <is>
          <t>N/A/B</t>
        </is>
      </c>
      <c r="M6" s="420" t="n"/>
      <c r="N6" s="420" t="n"/>
      <c r="O6" s="481" t="inlineStr">
        <is>
          <t>Total Test Cases</t>
        </is>
      </c>
      <c r="P6" s="420" t="n"/>
      <c r="Q6" s="420" t="n"/>
      <c r="R6" s="420" t="n"/>
      <c r="S6" s="420" t="n"/>
      <c r="T6" s="482" t="n"/>
      <c r="V6" s="71" t="n"/>
    </row>
    <row r="7" ht="13.5" customHeight="1" s="419" thickBot="1">
      <c r="A7" s="483">
        <f>COUNTIF(F38:I38,"P")</f>
        <v/>
      </c>
      <c r="B7" s="484" t="n"/>
      <c r="C7" s="485">
        <f>COUNTIF(F38:I38,"F")</f>
        <v/>
      </c>
      <c r="D7" s="486" t="n"/>
      <c r="E7" s="484" t="n"/>
      <c r="F7" s="487">
        <f>COUNTIF(F38:I38,"U")</f>
        <v/>
      </c>
      <c r="G7" s="486" t="n"/>
      <c r="H7" s="486" t="n"/>
      <c r="I7" s="486" t="n"/>
      <c r="J7" s="486" t="n"/>
      <c r="K7" s="488" t="n"/>
      <c r="L7" s="489">
        <f>COUNTIF(F37:I37,"N")</f>
        <v/>
      </c>
      <c r="M7" s="489">
        <f>COUNTIF(F37:I37,"A")</f>
        <v/>
      </c>
      <c r="N7" s="489">
        <f>COUNTIF(F37:I37,"B")</f>
        <v/>
      </c>
      <c r="O7" s="490">
        <f>COUNTA(F9:I9)</f>
        <v/>
      </c>
      <c r="P7" s="486" t="n"/>
      <c r="Q7" s="486" t="n"/>
      <c r="R7" s="486" t="n"/>
      <c r="S7" s="486" t="n"/>
      <c r="T7" s="491" t="n"/>
      <c r="U7" s="72" t="n"/>
    </row>
    <row r="8" ht="10.5" customHeight="1" s="419" thickBot="1"/>
    <row r="9" ht="45" customHeight="1" s="419" thickBot="1" thickTop="1">
      <c r="A9" s="189" t="n"/>
      <c r="B9" s="165" t="n"/>
      <c r="C9" s="166" t="n"/>
      <c r="D9" s="167" t="n"/>
      <c r="E9" s="166" t="n"/>
      <c r="F9" s="168" t="inlineStr">
        <is>
          <t>UTC01</t>
        </is>
      </c>
      <c r="G9" s="168" t="inlineStr">
        <is>
          <t>UTC02</t>
        </is>
      </c>
      <c r="H9" s="168" t="inlineStr">
        <is>
          <t>UTC03</t>
        </is>
      </c>
      <c r="I9" s="168" t="inlineStr">
        <is>
          <t>UTC04</t>
        </is>
      </c>
      <c r="J9" s="168" t="n"/>
      <c r="K9" s="168" t="n"/>
      <c r="L9" s="168" t="n"/>
      <c r="M9" s="168" t="n"/>
      <c r="N9" s="168" t="n"/>
      <c r="O9" s="168" t="n"/>
      <c r="P9" s="168" t="n"/>
      <c r="Q9" s="168" t="n"/>
      <c r="R9" s="168" t="n"/>
      <c r="S9" s="168" t="n"/>
      <c r="T9" s="169" t="n"/>
      <c r="U9" s="74" t="n"/>
      <c r="V9" s="71" t="n"/>
    </row>
    <row r="10" ht="13.5" customHeight="1" s="419">
      <c r="A10" s="183" t="inlineStr">
        <is>
          <t>Condition</t>
        </is>
      </c>
      <c r="B10" s="184" t="inlineStr">
        <is>
          <t>Precondition</t>
        </is>
      </c>
      <c r="C10" s="76" t="n"/>
      <c r="D10" s="77" t="n"/>
      <c r="E10" s="78" t="n"/>
      <c r="F10" s="79" t="n"/>
      <c r="G10" s="79" t="n"/>
      <c r="H10" s="79" t="n"/>
      <c r="I10" s="79" t="n"/>
      <c r="J10" s="79" t="n"/>
      <c r="K10" s="79" t="n"/>
      <c r="L10" s="79" t="n"/>
      <c r="M10" s="79" t="n"/>
      <c r="N10" s="79" t="n"/>
      <c r="O10" s="79" t="n"/>
      <c r="P10" s="79" t="n"/>
      <c r="Q10" s="79" t="n"/>
      <c r="R10" s="79" t="n"/>
      <c r="S10" s="79" t="n"/>
      <c r="T10" s="195" t="n"/>
    </row>
    <row r="11" ht="13.5" customHeight="1" s="419">
      <c r="A11" s="171" t="n"/>
      <c r="B11" s="75" t="n"/>
      <c r="C11" s="76" t="n"/>
      <c r="D11" s="492" t="inlineStr">
        <is>
          <t>user exists</t>
        </is>
      </c>
      <c r="E11" s="80" t="n"/>
      <c r="F11" s="493" t="inlineStr">
        <is>
          <t>O</t>
        </is>
      </c>
      <c r="G11" s="493" t="inlineStr">
        <is>
          <t>O</t>
        </is>
      </c>
      <c r="H11" s="493" t="inlineStr">
        <is>
          <t>O</t>
        </is>
      </c>
      <c r="I11" s="148" t="n"/>
      <c r="J11" s="148" t="n"/>
      <c r="K11" s="148" t="n"/>
      <c r="L11" s="148" t="n"/>
      <c r="M11" s="148" t="n"/>
      <c r="N11" s="148" t="n"/>
      <c r="O11" s="148" t="n"/>
      <c r="P11" s="148" t="n"/>
      <c r="Q11" s="148" t="n"/>
      <c r="R11" s="148" t="n"/>
      <c r="S11" s="148" t="n"/>
      <c r="T11" s="170" t="n"/>
      <c r="U11" s="454" t="n"/>
      <c r="V11" s="71" t="n"/>
    </row>
    <row r="12" ht="13.5" customHeight="1" s="419">
      <c r="A12" s="171" t="n"/>
      <c r="B12" s="75" t="n"/>
      <c r="C12" s="76" t="n"/>
      <c r="D12" s="492" t="inlineStr">
        <is>
          <t>File exists</t>
        </is>
      </c>
      <c r="E12" s="80" t="n"/>
      <c r="F12" s="493" t="inlineStr">
        <is>
          <t>O</t>
        </is>
      </c>
      <c r="G12" s="148" t="n"/>
      <c r="H12" s="148" t="n"/>
      <c r="I12" s="148" t="n"/>
      <c r="J12" s="148" t="n"/>
      <c r="K12" s="148" t="n"/>
      <c r="L12" s="148" t="n"/>
      <c r="M12" s="148" t="n"/>
      <c r="N12" s="148" t="n"/>
      <c r="O12" s="148" t="n"/>
      <c r="P12" s="148" t="n"/>
      <c r="Q12" s="148" t="n"/>
      <c r="R12" s="148" t="n"/>
      <c r="S12" s="148" t="n"/>
      <c r="T12" s="170" t="n"/>
      <c r="U12" s="454" t="n"/>
      <c r="V12" s="71" t="n"/>
    </row>
    <row r="13" ht="27" customHeight="1" s="419">
      <c r="A13" s="171" t="n"/>
      <c r="B13" s="75" t="n"/>
      <c r="C13" s="76" t="n"/>
      <c r="D13" s="492" t="inlineStr">
        <is>
          <t>File exists with zero-byte buffer</t>
        </is>
      </c>
      <c r="E13" s="80" t="n"/>
      <c r="F13" s="148" t="n"/>
      <c r="G13" s="493" t="inlineStr">
        <is>
          <t>O</t>
        </is>
      </c>
      <c r="H13" s="148" t="n"/>
      <c r="I13" s="148" t="n"/>
      <c r="J13" s="148" t="n"/>
      <c r="K13" s="148" t="n"/>
      <c r="L13" s="148" t="n"/>
      <c r="M13" s="148" t="n"/>
      <c r="N13" s="148" t="n"/>
      <c r="O13" s="148" t="n"/>
      <c r="P13" s="148" t="n"/>
      <c r="Q13" s="148" t="n"/>
      <c r="R13" s="148" t="n"/>
      <c r="S13" s="148" t="n"/>
      <c r="T13" s="170" t="n"/>
      <c r="U13" s="454" t="n"/>
      <c r="V13" s="71" t="n"/>
    </row>
    <row r="14" ht="13.5" customHeight="1" s="419">
      <c r="A14" s="171" t="n"/>
      <c r="B14" s="75" t="n"/>
      <c r="C14" s="76" t="n"/>
      <c r="D14" s="492" t="inlineStr">
        <is>
          <t>No file is provided</t>
        </is>
      </c>
      <c r="E14" s="80" t="n"/>
      <c r="F14" s="148" t="n"/>
      <c r="G14" s="148" t="n"/>
      <c r="H14" s="493" t="inlineStr">
        <is>
          <t>O</t>
        </is>
      </c>
      <c r="I14" s="148" t="n"/>
      <c r="J14" s="148" t="n"/>
      <c r="K14" s="148" t="n"/>
      <c r="L14" s="148" t="n"/>
      <c r="M14" s="148" t="n"/>
      <c r="N14" s="148" t="n"/>
      <c r="O14" s="148" t="n"/>
      <c r="P14" s="148" t="n"/>
      <c r="Q14" s="148" t="n"/>
      <c r="R14" s="148" t="n"/>
      <c r="S14" s="148" t="n"/>
      <c r="T14" s="170" t="n"/>
      <c r="U14" s="454" t="n"/>
      <c r="V14" s="71" t="n"/>
    </row>
    <row r="15" ht="27" customHeight="1" s="419">
      <c r="A15" s="171" t="n"/>
      <c r="B15" s="75" t="n"/>
      <c r="C15" s="76" t="n"/>
      <c r="D15" s="492" t="inlineStr">
        <is>
          <t>TasksController is decorated with class-level guards</t>
        </is>
      </c>
      <c r="E15" s="80" t="n"/>
      <c r="F15" s="148" t="n"/>
      <c r="G15" s="148" t="n"/>
      <c r="H15" s="148" t="n"/>
      <c r="I15" s="493" t="inlineStr">
        <is>
          <t>O</t>
        </is>
      </c>
      <c r="J15" s="148" t="n"/>
      <c r="K15" s="148" t="n"/>
      <c r="L15" s="148" t="n"/>
      <c r="M15" s="148" t="n"/>
      <c r="N15" s="148" t="n"/>
      <c r="O15" s="148" t="n"/>
      <c r="P15" s="148" t="n"/>
      <c r="Q15" s="148" t="n"/>
      <c r="R15" s="148" t="n"/>
      <c r="S15" s="148" t="n"/>
      <c r="T15" s="170" t="n"/>
      <c r="U15" s="454" t="n"/>
      <c r="V15" s="71" t="n"/>
    </row>
    <row r="16" ht="13.5" customHeight="1" s="419">
      <c r="A16" s="171" t="n"/>
      <c r="B16" s="494" t="inlineStr">
        <is>
          <t>file.originalname</t>
        </is>
      </c>
      <c r="C16" s="76" t="n"/>
      <c r="D16" s="77" t="n"/>
      <c r="E16" s="80" t="n"/>
      <c r="F16" s="148" t="n"/>
      <c r="G16" s="148" t="n"/>
      <c r="H16" s="148" t="n"/>
      <c r="I16" s="148" t="n"/>
      <c r="J16" s="148" t="n"/>
      <c r="K16" s="148" t="n"/>
      <c r="L16" s="148" t="n"/>
      <c r="M16" s="148" t="n"/>
      <c r="N16" s="148" t="n"/>
      <c r="O16" s="148" t="n"/>
      <c r="P16" s="148" t="n"/>
      <c r="Q16" s="148" t="n"/>
      <c r="R16" s="148" t="n"/>
      <c r="S16" s="148" t="n"/>
      <c r="T16" s="170" t="n"/>
      <c r="U16" s="454" t="n"/>
      <c r="V16" s="71" t="n"/>
    </row>
    <row r="17" ht="13.5" customHeight="1" s="419">
      <c r="A17" s="171" t="n"/>
      <c r="B17" s="75" t="n"/>
      <c r="C17" s="76" t="n"/>
      <c r="D17" s="492" t="inlineStr">
        <is>
          <t>evidence.png</t>
        </is>
      </c>
      <c r="E17" s="80" t="n"/>
      <c r="F17" s="493" t="inlineStr">
        <is>
          <t>O</t>
        </is>
      </c>
      <c r="G17" s="148" t="n"/>
      <c r="H17" s="148" t="n"/>
      <c r="I17" s="148" t="n"/>
      <c r="J17" s="148" t="n"/>
      <c r="K17" s="148" t="n"/>
      <c r="L17" s="148" t="n"/>
      <c r="M17" s="148" t="n"/>
      <c r="N17" s="148" t="n"/>
      <c r="O17" s="148" t="n"/>
      <c r="P17" s="148" t="n"/>
      <c r="Q17" s="148" t="n"/>
      <c r="R17" s="148" t="n"/>
      <c r="S17" s="148" t="n"/>
      <c r="T17" s="170" t="n"/>
      <c r="U17" s="454" t="n"/>
      <c r="V17" s="71" t="n"/>
    </row>
    <row r="18" ht="13.5" customHeight="1" s="419">
      <c r="A18" s="171" t="n"/>
      <c r="B18" s="75" t="n"/>
      <c r="C18" s="76" t="n"/>
      <c r="D18" s="492" t="inlineStr">
        <is>
          <t>empty.txt</t>
        </is>
      </c>
      <c r="E18" s="80" t="n"/>
      <c r="F18" s="148" t="n"/>
      <c r="G18" s="493" t="inlineStr">
        <is>
          <t>O</t>
        </is>
      </c>
      <c r="H18" s="148" t="n"/>
      <c r="I18" s="148" t="n"/>
      <c r="J18" s="148" t="n"/>
      <c r="K18" s="148" t="n"/>
      <c r="L18" s="148" t="n"/>
      <c r="M18" s="148" t="n"/>
      <c r="N18" s="148" t="n"/>
      <c r="O18" s="148" t="n"/>
      <c r="P18" s="148" t="n"/>
      <c r="Q18" s="148" t="n"/>
      <c r="R18" s="148" t="n"/>
      <c r="S18" s="148" t="n"/>
      <c r="T18" s="170" t="n"/>
      <c r="U18" s="454" t="n"/>
      <c r="V18" s="71" t="n"/>
    </row>
    <row r="19" ht="13.5" customHeight="1" s="419">
      <c r="A19" s="171" t="n"/>
      <c r="B19" s="494" t="inlineStr">
        <is>
          <t>file.mimetype</t>
        </is>
      </c>
      <c r="C19" s="76" t="n"/>
      <c r="D19" s="77" t="n"/>
      <c r="E19" s="80" t="n"/>
      <c r="F19" s="148" t="n"/>
      <c r="G19" s="148" t="n"/>
      <c r="H19" s="148" t="n"/>
      <c r="I19" s="148" t="n"/>
      <c r="J19" s="148" t="n"/>
      <c r="K19" s="148" t="n"/>
      <c r="L19" s="148" t="n"/>
      <c r="M19" s="148" t="n"/>
      <c r="N19" s="148" t="n"/>
      <c r="O19" s="148" t="n"/>
      <c r="P19" s="148" t="n"/>
      <c r="Q19" s="148" t="n"/>
      <c r="R19" s="148" t="n"/>
      <c r="S19" s="148" t="n"/>
      <c r="T19" s="170" t="n"/>
      <c r="U19" s="454" t="n"/>
      <c r="V19" s="71" t="n"/>
    </row>
    <row r="20" ht="13.5" customHeight="1" s="419">
      <c r="A20" s="171" t="n"/>
      <c r="B20" s="75" t="n"/>
      <c r="C20" s="76" t="n"/>
      <c r="D20" s="492" t="inlineStr">
        <is>
          <t>image/png</t>
        </is>
      </c>
      <c r="E20" s="80" t="n"/>
      <c r="F20" s="493" t="inlineStr">
        <is>
          <t>O</t>
        </is>
      </c>
      <c r="G20" s="148" t="n"/>
      <c r="H20" s="148" t="n"/>
      <c r="I20" s="148" t="n"/>
      <c r="J20" s="148" t="n"/>
      <c r="K20" s="148" t="n"/>
      <c r="L20" s="148" t="n"/>
      <c r="M20" s="148" t="n"/>
      <c r="N20" s="148" t="n"/>
      <c r="O20" s="148" t="n"/>
      <c r="P20" s="148" t="n"/>
      <c r="Q20" s="148" t="n"/>
      <c r="R20" s="148" t="n"/>
      <c r="S20" s="148" t="n"/>
      <c r="T20" s="170" t="n"/>
      <c r="U20" s="454" t="n"/>
      <c r="V20" s="71" t="n"/>
    </row>
    <row r="21" ht="13.5" customHeight="1" s="419">
      <c r="A21" s="171" t="n"/>
      <c r="B21" s="494" t="inlineStr">
        <is>
          <t>file.size</t>
        </is>
      </c>
      <c r="C21" s="76" t="n"/>
      <c r="D21" s="77" t="n"/>
      <c r="E21" s="80" t="n"/>
      <c r="F21" s="148" t="n"/>
      <c r="G21" s="148" t="n"/>
      <c r="H21" s="148" t="n"/>
      <c r="I21" s="148" t="n"/>
      <c r="J21" s="148" t="n"/>
      <c r="K21" s="148" t="n"/>
      <c r="L21" s="148" t="n"/>
      <c r="M21" s="148" t="n"/>
      <c r="N21" s="148" t="n"/>
      <c r="O21" s="148" t="n"/>
      <c r="P21" s="148" t="n"/>
      <c r="Q21" s="148" t="n"/>
      <c r="R21" s="148" t="n"/>
      <c r="S21" s="148" t="n"/>
      <c r="T21" s="170" t="n"/>
      <c r="U21" s="454" t="n"/>
      <c r="V21" s="71" t="n"/>
    </row>
    <row r="22" ht="13.5" customHeight="1" s="419">
      <c r="A22" s="171" t="n"/>
      <c r="B22" s="75" t="n"/>
      <c r="C22" s="76" t="n"/>
      <c r="D22" s="492" t="n">
        <v>0</v>
      </c>
      <c r="E22" s="80" t="n"/>
      <c r="F22" s="148" t="n"/>
      <c r="G22" s="493" t="inlineStr">
        <is>
          <t>O</t>
        </is>
      </c>
      <c r="H22" s="148" t="n"/>
      <c r="I22" s="148" t="n"/>
      <c r="J22" s="148" t="n"/>
      <c r="K22" s="148" t="n"/>
      <c r="L22" s="148" t="n"/>
      <c r="M22" s="148" t="n"/>
      <c r="N22" s="148" t="n"/>
      <c r="O22" s="148" t="n"/>
      <c r="P22" s="148" t="n"/>
      <c r="Q22" s="148" t="n"/>
      <c r="R22" s="148" t="n"/>
      <c r="S22" s="148" t="n"/>
      <c r="T22" s="170" t="n"/>
      <c r="U22" s="454" t="n"/>
      <c r="V22" s="71" t="n"/>
    </row>
    <row r="23" ht="13.5" customHeight="1" s="419">
      <c r="A23" s="171" t="n"/>
      <c r="B23" s="494" t="inlineStr">
        <is>
          <t>file</t>
        </is>
      </c>
      <c r="C23" s="76" t="n"/>
      <c r="D23" s="77" t="n"/>
      <c r="E23" s="80" t="n"/>
      <c r="F23" s="148" t="n"/>
      <c r="G23" s="148" t="n"/>
      <c r="H23" s="148" t="n"/>
      <c r="I23" s="148" t="n"/>
      <c r="J23" s="148" t="n"/>
      <c r="K23" s="148" t="n"/>
      <c r="L23" s="148" t="n"/>
      <c r="M23" s="148" t="n"/>
      <c r="N23" s="148" t="n"/>
      <c r="O23" s="148" t="n"/>
      <c r="P23" s="148" t="n"/>
      <c r="Q23" s="148" t="n"/>
      <c r="R23" s="148" t="n"/>
      <c r="S23" s="148" t="n"/>
      <c r="T23" s="170" t="n"/>
      <c r="U23" s="454" t="n"/>
      <c r="V23" s="71" t="n"/>
    </row>
    <row r="24" ht="13.5" customHeight="1" s="419">
      <c r="A24" s="171" t="n"/>
      <c r="B24" s="494" t="inlineStr">
        <is>
          <t>metadata</t>
        </is>
      </c>
      <c r="C24" s="76" t="n"/>
      <c r="D24" s="77" t="n"/>
      <c r="E24" s="80" t="n"/>
      <c r="F24" s="148" t="n"/>
      <c r="G24" s="148" t="n"/>
      <c r="H24" s="148" t="n"/>
      <c r="I24" s="148" t="n"/>
      <c r="J24" s="148" t="n"/>
      <c r="K24" s="148" t="n"/>
      <c r="L24" s="148" t="n"/>
      <c r="M24" s="148" t="n"/>
      <c r="N24" s="148" t="n"/>
      <c r="O24" s="148" t="n"/>
      <c r="P24" s="148" t="n"/>
      <c r="Q24" s="148" t="n"/>
      <c r="R24" s="148" t="n"/>
      <c r="S24" s="148" t="n"/>
      <c r="T24" s="170" t="n"/>
      <c r="U24" s="454" t="n"/>
      <c r="V24" s="71" t="n"/>
    </row>
    <row r="25" ht="27" customHeight="1" s="419">
      <c r="A25" s="171" t="n"/>
      <c r="B25" s="75" t="n"/>
      <c r="C25" s="76" t="n"/>
      <c r="D25" s="492" t="inlineStr">
        <is>
          <t>GUARDS_METADATA on TasksController</t>
        </is>
      </c>
      <c r="E25" s="80" t="n"/>
      <c r="F25" s="148" t="n"/>
      <c r="G25" s="148" t="n"/>
      <c r="H25" s="148" t="n"/>
      <c r="I25" s="493" t="inlineStr">
        <is>
          <t>O</t>
        </is>
      </c>
      <c r="J25" s="148" t="n"/>
      <c r="K25" s="148" t="n"/>
      <c r="L25" s="148" t="n"/>
      <c r="M25" s="148" t="n"/>
      <c r="N25" s="148" t="n"/>
      <c r="O25" s="148" t="n"/>
      <c r="P25" s="148" t="n"/>
      <c r="Q25" s="148" t="n"/>
      <c r="R25" s="148" t="n"/>
      <c r="S25" s="148" t="n"/>
      <c r="T25" s="170" t="n"/>
      <c r="U25" s="454" t="n"/>
      <c r="V25" s="71" t="n"/>
    </row>
    <row r="26" ht="13.5" customHeight="1" s="419">
      <c r="A26" s="495" t="inlineStr">
        <is>
          <t>Confirm</t>
        </is>
      </c>
      <c r="B26" s="494" t="inlineStr">
        <is>
          <t>Return</t>
        </is>
      </c>
      <c r="C26" s="76" t="n"/>
      <c r="D26" s="77" t="n"/>
      <c r="E26" s="80" t="n"/>
      <c r="F26" s="148" t="n"/>
      <c r="G26" s="148" t="n"/>
      <c r="H26" s="148" t="n"/>
      <c r="I26" s="148" t="n"/>
      <c r="J26" s="148" t="n"/>
      <c r="K26" s="148" t="n"/>
      <c r="L26" s="148" t="n"/>
      <c r="M26" s="148" t="n"/>
      <c r="N26" s="148" t="n"/>
      <c r="O26" s="148" t="n"/>
      <c r="P26" s="148" t="n"/>
      <c r="Q26" s="148" t="n"/>
      <c r="R26" s="148" t="n"/>
      <c r="S26" s="148" t="n"/>
      <c r="T26" s="170" t="n"/>
      <c r="U26" s="454" t="n"/>
      <c r="V26" s="71" t="n"/>
    </row>
    <row r="27" ht="13.5" customHeight="1" s="419">
      <c r="A27" s="171" t="n"/>
      <c r="B27" s="75" t="n"/>
      <c r="C27" s="76" t="n"/>
      <c r="D27" s="492" t="inlineStr">
        <is>
          <t>Returns uploaded file URL</t>
        </is>
      </c>
      <c r="E27" s="80" t="n"/>
      <c r="F27" s="493" t="inlineStr">
        <is>
          <t>O</t>
        </is>
      </c>
      <c r="G27" s="148" t="n"/>
      <c r="H27" s="148" t="n"/>
      <c r="I27" s="148" t="n"/>
      <c r="J27" s="148" t="n"/>
      <c r="K27" s="148" t="n"/>
      <c r="L27" s="148" t="n"/>
      <c r="M27" s="148" t="n"/>
      <c r="N27" s="148" t="n"/>
      <c r="O27" s="148" t="n"/>
      <c r="P27" s="148" t="n"/>
      <c r="Q27" s="148" t="n"/>
      <c r="R27" s="148" t="n"/>
      <c r="S27" s="148" t="n"/>
      <c r="T27" s="170" t="n"/>
      <c r="U27" s="454" t="n"/>
      <c r="V27" s="71" t="n"/>
    </row>
    <row r="28" ht="27" customHeight="1" s="419">
      <c r="A28" s="171" t="n"/>
      <c r="B28" s="75" t="n"/>
      <c r="C28" s="76" t="n"/>
      <c r="D28" s="492" t="inlineStr">
        <is>
          <t>Forwards file to service when file object exists</t>
        </is>
      </c>
      <c r="E28" s="80" t="n"/>
      <c r="F28" s="148" t="n"/>
      <c r="G28" s="493" t="inlineStr">
        <is>
          <t>O</t>
        </is>
      </c>
      <c r="H28" s="148" t="n"/>
      <c r="I28" s="148" t="n"/>
      <c r="J28" s="148" t="n"/>
      <c r="K28" s="148" t="n"/>
      <c r="L28" s="148" t="n"/>
      <c r="M28" s="148" t="n"/>
      <c r="N28" s="148" t="n"/>
      <c r="O28" s="148" t="n"/>
      <c r="P28" s="148" t="n"/>
      <c r="Q28" s="148" t="n"/>
      <c r="R28" s="148" t="n"/>
      <c r="S28" s="148" t="n"/>
      <c r="T28" s="170" t="n"/>
      <c r="U28" s="454" t="n"/>
      <c r="V28" s="71" t="n"/>
    </row>
    <row r="29" ht="27" customHeight="1" s="419">
      <c r="A29" s="171" t="n"/>
      <c r="B29" s="75" t="n"/>
      <c r="C29" s="76" t="n"/>
      <c r="D29" s="492" t="inlineStr">
        <is>
          <t>Guard metadata exists for authenticated access</t>
        </is>
      </c>
      <c r="E29" s="80" t="n"/>
      <c r="F29" s="148" t="n"/>
      <c r="G29" s="148" t="n"/>
      <c r="H29" s="148" t="n"/>
      <c r="I29" s="493" t="inlineStr">
        <is>
          <t>O</t>
        </is>
      </c>
      <c r="J29" s="148" t="n"/>
      <c r="K29" s="148" t="n"/>
      <c r="L29" s="148" t="n"/>
      <c r="M29" s="148" t="n"/>
      <c r="N29" s="148" t="n"/>
      <c r="O29" s="148" t="n"/>
      <c r="P29" s="148" t="n"/>
      <c r="Q29" s="148" t="n"/>
      <c r="R29" s="148" t="n"/>
      <c r="S29" s="148" t="n"/>
      <c r="T29" s="170" t="n"/>
      <c r="U29" s="454" t="n"/>
      <c r="V29" s="71" t="n"/>
    </row>
    <row r="30" ht="13.5" customHeight="1" s="419">
      <c r="A30" s="171" t="n"/>
      <c r="B30" s="494" t="inlineStr">
        <is>
          <t>Exception</t>
        </is>
      </c>
      <c r="C30" s="76" t="n"/>
      <c r="D30" s="77" t="n"/>
      <c r="E30" s="80" t="n"/>
      <c r="F30" s="148" t="n"/>
      <c r="G30" s="148" t="n"/>
      <c r="H30" s="148" t="n"/>
      <c r="I30" s="148" t="n"/>
      <c r="J30" s="148" t="n"/>
      <c r="K30" s="148" t="n"/>
      <c r="L30" s="148" t="n"/>
      <c r="M30" s="148" t="n"/>
      <c r="N30" s="148" t="n"/>
      <c r="O30" s="148" t="n"/>
      <c r="P30" s="148" t="n"/>
      <c r="Q30" s="148" t="n"/>
      <c r="R30" s="148" t="n"/>
      <c r="S30" s="148" t="n"/>
      <c r="T30" s="170" t="n"/>
      <c r="U30" s="454" t="n"/>
      <c r="V30" s="71" t="n"/>
    </row>
    <row r="31" ht="27" customHeight="1" s="419">
      <c r="A31" s="171" t="n"/>
      <c r="B31" s="75" t="n"/>
      <c r="C31" s="76" t="n"/>
      <c r="D31" s="492" t="inlineStr">
        <is>
          <t>BadRequestException: File is required</t>
        </is>
      </c>
      <c r="E31" s="80" t="n"/>
      <c r="F31" s="148" t="n"/>
      <c r="G31" s="148" t="n"/>
      <c r="H31" s="493" t="inlineStr">
        <is>
          <t>O</t>
        </is>
      </c>
      <c r="I31" s="148" t="n"/>
      <c r="J31" s="148" t="n"/>
      <c r="K31" s="148" t="n"/>
      <c r="L31" s="148" t="n"/>
      <c r="M31" s="148" t="n"/>
      <c r="N31" s="148" t="n"/>
      <c r="O31" s="148" t="n"/>
      <c r="P31" s="148" t="n"/>
      <c r="Q31" s="148" t="n"/>
      <c r="R31" s="148" t="n"/>
      <c r="S31" s="148" t="n"/>
      <c r="T31" s="170" t="n"/>
      <c r="U31" s="454" t="n"/>
      <c r="V31" s="71" t="n"/>
    </row>
    <row r="32" ht="13.5" customHeight="1" s="419">
      <c r="A32" s="171" t="n"/>
      <c r="B32" s="494" t="inlineStr">
        <is>
          <t>Log message</t>
        </is>
      </c>
      <c r="C32" s="76" t="n"/>
      <c r="D32" s="77" t="n"/>
      <c r="E32" s="80" t="n"/>
      <c r="F32" s="148" t="n"/>
      <c r="G32" s="148" t="n"/>
      <c r="H32" s="148" t="n"/>
      <c r="I32" s="148" t="n"/>
      <c r="J32" s="148" t="n"/>
      <c r="K32" s="148" t="n"/>
      <c r="L32" s="148" t="n"/>
      <c r="M32" s="148" t="n"/>
      <c r="N32" s="148" t="n"/>
      <c r="O32" s="148" t="n"/>
      <c r="P32" s="148" t="n"/>
      <c r="Q32" s="148" t="n"/>
      <c r="R32" s="148" t="n"/>
      <c r="S32" s="148" t="n"/>
      <c r="T32" s="170" t="n"/>
      <c r="U32" s="454" t="n"/>
      <c r="V32" s="71" t="n"/>
    </row>
    <row r="33" ht="40.5" customHeight="1" s="419">
      <c r="A33" s="171" t="n"/>
      <c r="B33" s="75" t="n"/>
      <c r="C33" s="76" t="n"/>
      <c r="D33" s="492" t="inlineStr">
        <is>
          <t>EP-280 UTC01 uploads a valid file via TasksService.uploadFile</t>
        </is>
      </c>
      <c r="E33" s="80" t="n"/>
      <c r="F33" s="493" t="inlineStr">
        <is>
          <t>O</t>
        </is>
      </c>
      <c r="G33" s="148" t="n"/>
      <c r="H33" s="148" t="n"/>
      <c r="I33" s="148" t="n"/>
      <c r="J33" s="148" t="n"/>
      <c r="K33" s="148" t="n"/>
      <c r="L33" s="148" t="n"/>
      <c r="M33" s="148" t="n"/>
      <c r="N33" s="148" t="n"/>
      <c r="O33" s="148" t="n"/>
      <c r="P33" s="148" t="n"/>
      <c r="Q33" s="148" t="n"/>
      <c r="R33" s="148" t="n"/>
      <c r="S33" s="148" t="n"/>
      <c r="T33" s="170" t="n"/>
      <c r="U33" s="454" t="n"/>
      <c r="V33" s="71" t="n"/>
    </row>
    <row r="34" ht="40.5" customHeight="1" s="419">
      <c r="A34" s="171" t="n"/>
      <c r="B34" s="75" t="n"/>
      <c r="C34" s="76" t="n"/>
      <c r="D34" s="492" t="inlineStr">
        <is>
          <t>EP-280 UTC02 still accepts a zero-byte file because controller valida...</t>
        </is>
      </c>
      <c r="E34" s="80" t="n"/>
      <c r="F34" s="148" t="n"/>
      <c r="G34" s="493" t="inlineStr">
        <is>
          <t>O</t>
        </is>
      </c>
      <c r="H34" s="148" t="n"/>
      <c r="I34" s="148" t="n"/>
      <c r="J34" s="148" t="n"/>
      <c r="K34" s="148" t="n"/>
      <c r="L34" s="148" t="n"/>
      <c r="M34" s="148" t="n"/>
      <c r="N34" s="148" t="n"/>
      <c r="O34" s="148" t="n"/>
      <c r="P34" s="148" t="n"/>
      <c r="Q34" s="148" t="n"/>
      <c r="R34" s="148" t="n"/>
      <c r="S34" s="148" t="n"/>
      <c r="T34" s="170" t="n"/>
      <c r="U34" s="454" t="n"/>
      <c r="V34" s="71" t="n"/>
    </row>
    <row r="35" ht="40.5" customHeight="1" s="419">
      <c r="A35" s="171" t="n"/>
      <c r="B35" s="75" t="n"/>
      <c r="C35" s="76" t="n"/>
      <c r="D35" s="492" t="inlineStr">
        <is>
          <t>EP-280 UTC03 rejects missing file with BadRequestException</t>
        </is>
      </c>
      <c r="E35" s="80" t="n"/>
      <c r="F35" s="148" t="n"/>
      <c r="G35" s="148" t="n"/>
      <c r="H35" s="493" t="inlineStr">
        <is>
          <t>O</t>
        </is>
      </c>
      <c r="I35" s="148" t="n"/>
      <c r="J35" s="148" t="n"/>
      <c r="K35" s="148" t="n"/>
      <c r="L35" s="148" t="n"/>
      <c r="M35" s="148" t="n"/>
      <c r="N35" s="148" t="n"/>
      <c r="O35" s="148" t="n"/>
      <c r="P35" s="148" t="n"/>
      <c r="Q35" s="148" t="n"/>
      <c r="R35" s="148" t="n"/>
      <c r="S35" s="148" t="n"/>
      <c r="T35" s="170" t="n"/>
      <c r="U35" s="454" t="n"/>
      <c r="V35" s="71" t="n"/>
    </row>
    <row r="36" ht="40.5" customHeight="1" s="419">
      <c r="A36" s="171" t="n"/>
      <c r="B36" s="75" t="n"/>
      <c r="C36" s="76" t="n"/>
      <c r="D36" s="492" t="inlineStr">
        <is>
          <t>EP-280 UTC04 is protected by JwtAuthGuard at controller level</t>
        </is>
      </c>
      <c r="E36" s="80" t="n"/>
      <c r="F36" s="148" t="n"/>
      <c r="G36" s="148" t="n"/>
      <c r="H36" s="148" t="n"/>
      <c r="I36" s="493" t="inlineStr">
        <is>
          <t>O</t>
        </is>
      </c>
      <c r="J36" s="148" t="n"/>
      <c r="K36" s="148" t="n"/>
      <c r="L36" s="148" t="n"/>
      <c r="M36" s="148" t="n"/>
      <c r="N36" s="148" t="n"/>
      <c r="O36" s="148" t="n"/>
      <c r="P36" s="148" t="n"/>
      <c r="Q36" s="148" t="n"/>
      <c r="R36" s="148" t="n"/>
      <c r="S36" s="148" t="n"/>
      <c r="T36" s="170" t="n"/>
      <c r="U36" s="454" t="n"/>
      <c r="V36" s="71" t="n"/>
    </row>
    <row r="37" ht="13.5" customHeight="1" s="419">
      <c r="A37" s="495" t="inlineStr">
        <is>
          <t>Result</t>
        </is>
      </c>
      <c r="B37" s="494" t="inlineStr">
        <is>
          <t>Type(N : Normal, A : Abnormal, B : Boundary)</t>
        </is>
      </c>
      <c r="C37" s="76" t="n"/>
      <c r="D37" s="77" t="n"/>
      <c r="E37" s="80" t="n"/>
      <c r="F37" s="493" t="inlineStr">
        <is>
          <t>N</t>
        </is>
      </c>
      <c r="G37" s="493" t="inlineStr">
        <is>
          <t>B</t>
        </is>
      </c>
      <c r="H37" s="493" t="inlineStr">
        <is>
          <t>A</t>
        </is>
      </c>
      <c r="I37" s="493" t="inlineStr">
        <is>
          <t>A</t>
        </is>
      </c>
      <c r="J37" s="148" t="n"/>
      <c r="K37" s="148" t="n"/>
      <c r="L37" s="148" t="n"/>
      <c r="M37" s="148" t="n"/>
      <c r="N37" s="148" t="n"/>
      <c r="O37" s="148" t="n"/>
      <c r="P37" s="148" t="n"/>
      <c r="Q37" s="148" t="n"/>
      <c r="R37" s="148" t="n"/>
      <c r="S37" s="148" t="n"/>
      <c r="T37" s="170" t="n"/>
      <c r="U37" s="454" t="n"/>
      <c r="V37" s="71" t="n"/>
    </row>
    <row r="38" ht="13.5" customHeight="1" s="419">
      <c r="A38" s="171" t="n"/>
      <c r="B38" s="494" t="inlineStr">
        <is>
          <t>Passed/Failed</t>
        </is>
      </c>
      <c r="C38" s="76" t="n"/>
      <c r="D38" s="77" t="n"/>
      <c r="E38" s="81" t="n"/>
      <c r="F38" s="496" t="inlineStr">
        <is>
          <t>P</t>
        </is>
      </c>
      <c r="G38" s="496" t="inlineStr">
        <is>
          <t>P</t>
        </is>
      </c>
      <c r="H38" s="496" t="inlineStr">
        <is>
          <t>P</t>
        </is>
      </c>
      <c r="I38" s="496" t="inlineStr">
        <is>
          <t>P</t>
        </is>
      </c>
      <c r="J38" s="79" t="n"/>
      <c r="K38" s="79" t="n"/>
      <c r="L38" s="79" t="n"/>
      <c r="M38" s="79" t="n"/>
      <c r="N38" s="79" t="n"/>
      <c r="O38" s="79" t="n"/>
      <c r="P38" s="79" t="n"/>
      <c r="Q38" s="79" t="n"/>
      <c r="R38" s="79" t="n"/>
      <c r="S38" s="79" t="n"/>
      <c r="T38" s="195" t="n"/>
      <c r="U38" s="454" t="n"/>
      <c r="V38" s="454" t="n"/>
    </row>
    <row r="39" ht="42" customHeight="1" s="419">
      <c r="A39" s="171" t="n"/>
      <c r="B39" s="494" t="inlineStr">
        <is>
          <t>Executed Date</t>
        </is>
      </c>
      <c r="C39" s="76" t="n"/>
      <c r="D39" s="77" t="n"/>
      <c r="E39" s="80" t="n"/>
      <c r="F39" s="497" t="inlineStr">
        <is>
          <t>04-06</t>
        </is>
      </c>
      <c r="G39" s="497" t="inlineStr">
        <is>
          <t>04-06</t>
        </is>
      </c>
      <c r="H39" s="497" t="inlineStr">
        <is>
          <t>04-06</t>
        </is>
      </c>
      <c r="I39" s="497" t="inlineStr">
        <is>
          <t>04-06</t>
        </is>
      </c>
      <c r="J39" s="148" t="n"/>
      <c r="K39" s="148" t="n"/>
      <c r="L39" s="148" t="n"/>
      <c r="M39" s="148" t="n"/>
      <c r="N39" s="148" t="n"/>
      <c r="O39" s="148" t="n"/>
      <c r="P39" s="148" t="n"/>
      <c r="Q39" s="148" t="n"/>
      <c r="R39" s="148" t="n"/>
      <c r="S39" s="148" t="n"/>
      <c r="T39" s="170" t="n"/>
      <c r="U39" s="454" t="n"/>
      <c r="V39" s="71" t="n"/>
    </row>
    <row r="40" ht="13.5" customHeight="1" s="419">
      <c r="A40" s="171" t="n"/>
      <c r="B40" s="494" t="inlineStr">
        <is>
          <t>Defect ID</t>
        </is>
      </c>
      <c r="C40" s="76" t="n"/>
      <c r="D40" s="77" t="n"/>
      <c r="E40" s="80" t="n"/>
      <c r="F40" s="493" t="inlineStr"/>
      <c r="G40" s="493" t="inlineStr"/>
      <c r="H40" s="493" t="inlineStr"/>
      <c r="I40" s="493" t="inlineStr"/>
      <c r="J40" s="148" t="n"/>
      <c r="K40" s="148" t="n"/>
      <c r="L40" s="148" t="n"/>
      <c r="M40" s="148" t="n"/>
      <c r="N40" s="148" t="n"/>
      <c r="O40" s="148" t="n"/>
      <c r="P40" s="148" t="n"/>
      <c r="Q40" s="148" t="n"/>
      <c r="R40" s="148" t="n"/>
      <c r="S40" s="148" t="n"/>
      <c r="T40" s="170" t="n"/>
      <c r="U40" s="454" t="n"/>
      <c r="V40" s="71" t="n"/>
    </row>
    <row r="41" ht="13.5" customHeight="1" s="419"/>
    <row r="42" ht="13.5" customHeight="1" s="419"/>
    <row r="43" ht="13.5" customHeight="1" s="419"/>
    <row r="44" ht="13.5" customHeight="1" s="419"/>
    <row r="45" ht="13.5" customHeight="1" s="419"/>
    <row r="46" ht="13.5" customHeight="1" s="419"/>
    <row r="47" ht="13.5" customHeight="1" s="419"/>
    <row r="48" ht="13.5" customHeight="1" s="419"/>
    <row r="49" ht="13.5" customHeight="1" s="419"/>
    <row r="50" ht="13.5" customHeight="1" s="419"/>
    <row r="51" ht="13.5" customHeight="1" s="419"/>
    <row r="52" ht="13.5" customHeight="1" s="419"/>
    <row r="53" ht="13.5" customHeight="1" s="419"/>
    <row r="54" ht="13.5" customHeight="1" s="419"/>
    <row r="55" ht="13.5" customHeight="1" s="419"/>
    <row r="56" ht="13.5" customHeight="1" s="419"/>
    <row r="57" ht="13.5" customHeight="1" s="419"/>
    <row r="58" ht="13.5" customHeight="1" s="419"/>
    <row r="59" ht="13.5" customHeight="1" s="419"/>
    <row r="60" ht="13.5" customHeight="1" s="419"/>
    <row r="61" ht="13.5" customHeight="1" s="419"/>
    <row r="62" ht="13.5" customHeight="1" s="419"/>
    <row r="63" ht="13.5" customHeight="1" s="419"/>
    <row r="64" ht="13.5" customHeight="1" s="419"/>
    <row r="65" ht="13.5" customHeight="1" s="419" thickBot="1"/>
    <row r="66" ht="13.5" customHeight="1" s="419" thickTop="1"/>
    <row r="67" ht="13.5" customHeight="1" s="419"/>
    <row r="68" ht="71.5" customHeight="1" s="419"/>
    <row r="69" ht="10.5" customHeight="1" s="419" thickBot="1"/>
  </sheetData>
  <mergeCells count="27">
    <mergeCell ref="B67:D67"/>
    <mergeCell ref="F2:K2"/>
    <mergeCell ref="B69:D69"/>
    <mergeCell ref="A6:B6"/>
    <mergeCell ref="C4:D4"/>
    <mergeCell ref="C2:E2"/>
    <mergeCell ref="L4:T4"/>
    <mergeCell ref="A7:B7"/>
    <mergeCell ref="B68:D68"/>
    <mergeCell ref="C7:E7"/>
    <mergeCell ref="L6:N6"/>
    <mergeCell ref="A3:B3"/>
    <mergeCell ref="A2:B2"/>
    <mergeCell ref="A5:B5"/>
    <mergeCell ref="C3:E3"/>
    <mergeCell ref="F4:K4"/>
    <mergeCell ref="O7:T7"/>
    <mergeCell ref="C6:E6"/>
    <mergeCell ref="A4:B4"/>
    <mergeCell ref="L2:T2"/>
    <mergeCell ref="O6:T6"/>
    <mergeCell ref="B66:D66"/>
    <mergeCell ref="F6:K6"/>
    <mergeCell ref="F7:K7"/>
    <mergeCell ref="C5:T5"/>
    <mergeCell ref="L3:T3"/>
    <mergeCell ref="F3:K3"/>
  </mergeCells>
  <pageMargins left="0.75" right="0.75" top="0.75" bottom="0.75" header="0.5" footer="0.5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9"/>
  <sheetViews>
    <sheetView zoomScale="145" zoomScaleNormal="145" workbookViewId="0">
      <selection activeCell="A1" sqref="A1"/>
    </sheetView>
  </sheetViews>
  <sheetFormatPr baseColWidth="8" defaultColWidth="9" defaultRowHeight="13.5" customHeight="1"/>
  <cols>
    <col width="8.1796875" customWidth="1" style="69" min="1" max="1"/>
    <col width="13.453125" customWidth="1" style="73" min="2" max="2"/>
    <col width="10.81640625" customWidth="1" style="69" min="3" max="3"/>
    <col width="26.6328125" customWidth="1" style="403" min="4" max="4"/>
    <col hidden="1" width="1.81640625" customWidth="1" style="69" min="5" max="5"/>
    <col width="2.81640625" bestFit="1" customWidth="1" style="69" min="6" max="11"/>
    <col width="13" customWidth="1" style="419" min="7" max="7"/>
    <col width="13" customWidth="1" style="419" min="8" max="8"/>
    <col width="13" customWidth="1" style="419" min="9" max="9"/>
    <col width="13" customWidth="1" style="419" min="10" max="10"/>
    <col width="13" customWidth="1" style="419" min="11" max="11"/>
    <col width="2.81640625" customWidth="1" style="69" min="12" max="19"/>
    <col width="13" customWidth="1" style="419" min="13" max="13"/>
    <col width="13" customWidth="1" style="419" min="14" max="14"/>
    <col width="13" customWidth="1" style="419" min="15" max="15"/>
    <col width="13" customWidth="1" style="419" min="16" max="16"/>
    <col width="13" customWidth="1" style="419" min="17" max="17"/>
    <col width="13" customWidth="1" style="419" min="18" max="18"/>
    <col width="13" customWidth="1" style="419" min="19" max="19"/>
    <col width="2.81640625" bestFit="1" customWidth="1" style="69" min="20" max="20"/>
    <col hidden="1" width="2.81640625" customWidth="1" style="69" min="21" max="21"/>
    <col hidden="1" width="11" customWidth="1" style="69" min="22" max="256"/>
    <col width="9" customWidth="1" style="69" min="257" max="16384"/>
  </cols>
  <sheetData>
    <row r="1" ht="13.5" customHeight="1" s="419" thickBot="1">
      <c r="A1" s="67" t="n"/>
      <c r="B1" s="68" t="n"/>
    </row>
    <row r="2" ht="13.5" customHeight="1" s="419">
      <c r="A2" s="346" t="inlineStr">
        <is>
          <t>Function Code</t>
        </is>
      </c>
      <c r="B2" s="458" t="n"/>
      <c r="C2" s="459" t="inlineStr">
        <is>
          <t>EP-281</t>
        </is>
      </c>
      <c r="D2" s="458" t="n"/>
      <c r="E2" s="460" t="n"/>
      <c r="F2" s="404" t="inlineStr">
        <is>
          <t>Function Name</t>
        </is>
      </c>
      <c r="G2" s="461" t="n"/>
      <c r="H2" s="461" t="n"/>
      <c r="I2" s="461" t="n"/>
      <c r="J2" s="461" t="n"/>
      <c r="K2" s="461" t="n"/>
      <c r="L2" s="462" t="inlineStr">
        <is>
          <t>Add Comment</t>
        </is>
      </c>
      <c r="M2" s="458" t="n"/>
      <c r="N2" s="458" t="n"/>
      <c r="O2" s="458" t="n"/>
      <c r="P2" s="458" t="n"/>
      <c r="Q2" s="458" t="n"/>
      <c r="R2" s="458" t="n"/>
      <c r="S2" s="458" t="n"/>
      <c r="T2" s="463" t="n"/>
      <c r="V2" s="71" t="n"/>
    </row>
    <row r="3" ht="13.5" customHeight="1" s="419">
      <c r="A3" s="464" t="inlineStr">
        <is>
          <t>Created By</t>
        </is>
      </c>
      <c r="B3" s="421" t="n"/>
      <c r="C3" s="465" t="inlineStr">
        <is>
          <t>GitHub Copilot</t>
        </is>
      </c>
      <c r="D3" s="430" t="n"/>
      <c r="E3" s="466" t="n"/>
      <c r="F3" s="467" t="inlineStr">
        <is>
          <t>Executed By</t>
        </is>
      </c>
      <c r="G3" s="468" t="n"/>
      <c r="H3" s="468" t="n"/>
      <c r="I3" s="468" t="n"/>
      <c r="J3" s="468" t="n"/>
      <c r="K3" s="469" t="n"/>
      <c r="L3" s="470" t="inlineStr">
        <is>
          <t>GitHub Copilot</t>
        </is>
      </c>
      <c r="M3" s="471" t="n"/>
      <c r="N3" s="471" t="n"/>
      <c r="O3" s="471" t="n"/>
      <c r="P3" s="471" t="n"/>
      <c r="Q3" s="471" t="n"/>
      <c r="R3" s="471" t="n"/>
      <c r="S3" s="471" t="n"/>
      <c r="T3" s="472" t="n"/>
    </row>
    <row r="4" ht="13.5" customHeight="1" s="419">
      <c r="A4" s="464" t="inlineStr">
        <is>
          <t>Lines  of code</t>
        </is>
      </c>
      <c r="B4" s="421" t="n"/>
      <c r="C4" s="473" t="n">
        <v>11</v>
      </c>
      <c r="D4" s="420" t="n"/>
      <c r="E4" s="353" t="n"/>
      <c r="F4" s="467" t="inlineStr">
        <is>
          <t>Lack of test cases</t>
        </is>
      </c>
      <c r="G4" s="468" t="n"/>
      <c r="H4" s="468" t="n"/>
      <c r="I4" s="468" t="n"/>
      <c r="J4" s="468" t="n"/>
      <c r="K4" s="469" t="n"/>
      <c r="L4" s="474" t="n">
        <v>0</v>
      </c>
      <c r="M4" s="420" t="n"/>
      <c r="N4" s="420" t="n"/>
      <c r="O4" s="420" t="n"/>
      <c r="P4" s="420" t="n"/>
      <c r="Q4" s="420" t="n"/>
      <c r="R4" s="420" t="n"/>
      <c r="S4" s="420" t="n"/>
      <c r="T4" s="475" t="n"/>
      <c r="V4" s="71" t="n"/>
    </row>
    <row r="5" ht="13.5" customHeight="1" s="419">
      <c r="A5" s="464" t="inlineStr">
        <is>
          <t>Test requirement</t>
        </is>
      </c>
      <c r="B5" s="421" t="n"/>
      <c r="C5" s="476" t="inlineStr">
        <is>
          <t>Verify addComment: valid, edge, error, and auth cases for EP-281.</t>
        </is>
      </c>
      <c r="D5" s="420" t="n"/>
      <c r="E5" s="420" t="n"/>
      <c r="F5" s="420" t="n"/>
      <c r="G5" s="420" t="n"/>
      <c r="H5" s="420" t="n"/>
      <c r="I5" s="420" t="n"/>
      <c r="J5" s="420" t="n"/>
      <c r="K5" s="420" t="n"/>
      <c r="L5" s="420" t="n"/>
      <c r="M5" s="420" t="n"/>
      <c r="N5" s="420" t="n"/>
      <c r="O5" s="420" t="n"/>
      <c r="P5" s="420" t="n"/>
      <c r="Q5" s="420" t="n"/>
      <c r="R5" s="420" t="n"/>
      <c r="S5" s="420" t="n"/>
      <c r="T5" s="475" t="n"/>
    </row>
    <row r="6" ht="13.5" customHeight="1" s="419">
      <c r="A6" s="477" t="inlineStr">
        <is>
          <t>Passed</t>
        </is>
      </c>
      <c r="B6" s="421" t="n"/>
      <c r="C6" s="478" t="inlineStr">
        <is>
          <t>Failed</t>
        </is>
      </c>
      <c r="D6" s="420" t="n"/>
      <c r="E6" s="421" t="n"/>
      <c r="F6" s="479" t="inlineStr">
        <is>
          <t>Untested</t>
        </is>
      </c>
      <c r="G6" s="420" t="n"/>
      <c r="H6" s="420" t="n"/>
      <c r="I6" s="420" t="n"/>
      <c r="J6" s="420" t="n"/>
      <c r="K6" s="480" t="n"/>
      <c r="L6" s="312" t="inlineStr">
        <is>
          <t>N/A/B</t>
        </is>
      </c>
      <c r="M6" s="420" t="n"/>
      <c r="N6" s="420" t="n"/>
      <c r="O6" s="481" t="inlineStr">
        <is>
          <t>Total Test Cases</t>
        </is>
      </c>
      <c r="P6" s="420" t="n"/>
      <c r="Q6" s="420" t="n"/>
      <c r="R6" s="420" t="n"/>
      <c r="S6" s="420" t="n"/>
      <c r="T6" s="482" t="n"/>
      <c r="V6" s="71" t="n"/>
    </row>
    <row r="7" ht="13.5" customHeight="1" s="419" thickBot="1">
      <c r="A7" s="483">
        <f>COUNTIF(F37:I37,"P")</f>
        <v/>
      </c>
      <c r="B7" s="484" t="n"/>
      <c r="C7" s="485">
        <f>COUNTIF(F37:I37,"F")</f>
        <v/>
      </c>
      <c r="D7" s="486" t="n"/>
      <c r="E7" s="484" t="n"/>
      <c r="F7" s="487">
        <f>COUNTIF(F37:I37,"U")</f>
        <v/>
      </c>
      <c r="G7" s="486" t="n"/>
      <c r="H7" s="486" t="n"/>
      <c r="I7" s="486" t="n"/>
      <c r="J7" s="486" t="n"/>
      <c r="K7" s="488" t="n"/>
      <c r="L7" s="489">
        <f>COUNTIF(F36:I36,"N")</f>
        <v/>
      </c>
      <c r="M7" s="489">
        <f>COUNTIF(F36:I36,"A")</f>
        <v/>
      </c>
      <c r="N7" s="489">
        <f>COUNTIF(F36:I36,"B")</f>
        <v/>
      </c>
      <c r="O7" s="490">
        <f>COUNTA(F9:I9)</f>
        <v/>
      </c>
      <c r="P7" s="486" t="n"/>
      <c r="Q7" s="486" t="n"/>
      <c r="R7" s="486" t="n"/>
      <c r="S7" s="486" t="n"/>
      <c r="T7" s="491" t="n"/>
      <c r="U7" s="72" t="n"/>
    </row>
    <row r="8" ht="10.5" customHeight="1" s="419" thickBot="1"/>
    <row r="9" ht="45" customHeight="1" s="419" thickBot="1" thickTop="1">
      <c r="A9" s="189" t="n"/>
      <c r="B9" s="165" t="n"/>
      <c r="C9" s="166" t="n"/>
      <c r="D9" s="167" t="n"/>
      <c r="E9" s="166" t="n"/>
      <c r="F9" s="168" t="inlineStr">
        <is>
          <t>UTC01</t>
        </is>
      </c>
      <c r="G9" s="168" t="inlineStr">
        <is>
          <t>UTC02</t>
        </is>
      </c>
      <c r="H9" s="168" t="inlineStr">
        <is>
          <t>UTC03</t>
        </is>
      </c>
      <c r="I9" s="168" t="inlineStr">
        <is>
          <t>UTC04</t>
        </is>
      </c>
      <c r="J9" s="168" t="n"/>
      <c r="K9" s="168" t="n"/>
      <c r="L9" s="168" t="n"/>
      <c r="M9" s="168" t="n"/>
      <c r="N9" s="168" t="n"/>
      <c r="O9" s="168" t="n"/>
      <c r="P9" s="168" t="n"/>
      <c r="Q9" s="168" t="n"/>
      <c r="R9" s="168" t="n"/>
      <c r="S9" s="168" t="n"/>
      <c r="T9" s="169" t="n"/>
      <c r="U9" s="74" t="n"/>
      <c r="V9" s="71" t="n"/>
    </row>
    <row r="10" ht="13.5" customHeight="1" s="419">
      <c r="A10" s="183" t="inlineStr">
        <is>
          <t>Condition</t>
        </is>
      </c>
      <c r="B10" s="184" t="inlineStr">
        <is>
          <t>Precondition</t>
        </is>
      </c>
      <c r="C10" s="76" t="n"/>
      <c r="D10" s="77" t="n"/>
      <c r="E10" s="78" t="n"/>
      <c r="F10" s="79" t="n"/>
      <c r="G10" s="79" t="n"/>
      <c r="H10" s="79" t="n"/>
      <c r="I10" s="79" t="n"/>
      <c r="J10" s="79" t="n"/>
      <c r="K10" s="79" t="n"/>
      <c r="L10" s="79" t="n"/>
      <c r="M10" s="79" t="n"/>
      <c r="N10" s="79" t="n"/>
      <c r="O10" s="79" t="n"/>
      <c r="P10" s="79" t="n"/>
      <c r="Q10" s="79" t="n"/>
      <c r="R10" s="79" t="n"/>
      <c r="S10" s="79" t="n"/>
      <c r="T10" s="195" t="n"/>
    </row>
    <row r="11" ht="13.5" customHeight="1" s="419">
      <c r="A11" s="171" t="n"/>
      <c r="B11" s="75" t="n"/>
      <c r="C11" s="76" t="n"/>
      <c r="D11" s="492" t="inlineStr">
        <is>
          <t>user exists</t>
        </is>
      </c>
      <c r="E11" s="80" t="n"/>
      <c r="F11" s="493" t="inlineStr">
        <is>
          <t>O</t>
        </is>
      </c>
      <c r="G11" s="493" t="inlineStr">
        <is>
          <t>O</t>
        </is>
      </c>
      <c r="H11" s="148" t="n"/>
      <c r="I11" s="148" t="n"/>
      <c r="J11" s="148" t="n"/>
      <c r="K11" s="148" t="n"/>
      <c r="L11" s="148" t="n"/>
      <c r="M11" s="148" t="n"/>
      <c r="N11" s="148" t="n"/>
      <c r="O11" s="148" t="n"/>
      <c r="P11" s="148" t="n"/>
      <c r="Q11" s="148" t="n"/>
      <c r="R11" s="148" t="n"/>
      <c r="S11" s="148" t="n"/>
      <c r="T11" s="170" t="n"/>
      <c r="U11" s="454" t="n"/>
      <c r="V11" s="71" t="n"/>
    </row>
    <row r="12" ht="13.5" customHeight="1" s="419">
      <c r="A12" s="171" t="n"/>
      <c r="B12" s="75" t="n"/>
      <c r="C12" s="76" t="n"/>
      <c r="D12" s="492" t="inlineStr">
        <is>
          <t>Task "task-1" exists</t>
        </is>
      </c>
      <c r="E12" s="80" t="n"/>
      <c r="F12" s="493" t="inlineStr">
        <is>
          <t>O</t>
        </is>
      </c>
      <c r="G12" s="493" t="inlineStr">
        <is>
          <t>O</t>
        </is>
      </c>
      <c r="H12" s="493" t="inlineStr">
        <is>
          <t>O</t>
        </is>
      </c>
      <c r="I12" s="148" t="n"/>
      <c r="J12" s="148" t="n"/>
      <c r="K12" s="148" t="n"/>
      <c r="L12" s="148" t="n"/>
      <c r="M12" s="148" t="n"/>
      <c r="N12" s="148" t="n"/>
      <c r="O12" s="148" t="n"/>
      <c r="P12" s="148" t="n"/>
      <c r="Q12" s="148" t="n"/>
      <c r="R12" s="148" t="n"/>
      <c r="S12" s="148" t="n"/>
      <c r="T12" s="170" t="n"/>
      <c r="U12" s="454" t="n"/>
      <c r="V12" s="71" t="n"/>
    </row>
    <row r="13" ht="27" customHeight="1" s="419">
      <c r="A13" s="171" t="n"/>
      <c r="B13" s="75" t="n"/>
      <c r="C13" s="76" t="n"/>
      <c r="D13" s="492" t="inlineStr">
        <is>
          <t>Request user context is unavailable</t>
        </is>
      </c>
      <c r="E13" s="80" t="n"/>
      <c r="F13" s="148" t="n"/>
      <c r="G13" s="148" t="n"/>
      <c r="H13" s="493" t="inlineStr">
        <is>
          <t>O</t>
        </is>
      </c>
      <c r="I13" s="148" t="n"/>
      <c r="J13" s="148" t="n"/>
      <c r="K13" s="148" t="n"/>
      <c r="L13" s="148" t="n"/>
      <c r="M13" s="148" t="n"/>
      <c r="N13" s="148" t="n"/>
      <c r="O13" s="148" t="n"/>
      <c r="P13" s="148" t="n"/>
      <c r="Q13" s="148" t="n"/>
      <c r="R13" s="148" t="n"/>
      <c r="S13" s="148" t="n"/>
      <c r="T13" s="170" t="n"/>
      <c r="U13" s="454" t="n"/>
      <c r="V13" s="71" t="n"/>
    </row>
    <row r="14" ht="27" customHeight="1" s="419">
      <c r="A14" s="171" t="n"/>
      <c r="B14" s="75" t="n"/>
      <c r="C14" s="76" t="n"/>
      <c r="D14" s="492" t="inlineStr">
        <is>
          <t>TasksController is decorated with class-level guards</t>
        </is>
      </c>
      <c r="E14" s="80" t="n"/>
      <c r="F14" s="148" t="n"/>
      <c r="G14" s="148" t="n"/>
      <c r="H14" s="148" t="n"/>
      <c r="I14" s="493" t="inlineStr">
        <is>
          <t>O</t>
        </is>
      </c>
      <c r="J14" s="148" t="n"/>
      <c r="K14" s="148" t="n"/>
      <c r="L14" s="148" t="n"/>
      <c r="M14" s="148" t="n"/>
      <c r="N14" s="148" t="n"/>
      <c r="O14" s="148" t="n"/>
      <c r="P14" s="148" t="n"/>
      <c r="Q14" s="148" t="n"/>
      <c r="R14" s="148" t="n"/>
      <c r="S14" s="148" t="n"/>
      <c r="T14" s="170" t="n"/>
      <c r="U14" s="454" t="n"/>
      <c r="V14" s="71" t="n"/>
    </row>
    <row r="15" ht="13.5" customHeight="1" s="419">
      <c r="A15" s="171" t="n"/>
      <c r="B15" s="494" t="inlineStr">
        <is>
          <t>taskId</t>
        </is>
      </c>
      <c r="C15" s="76" t="n"/>
      <c r="D15" s="77" t="n"/>
      <c r="E15" s="80" t="n"/>
      <c r="F15" s="148" t="n"/>
      <c r="G15" s="148" t="n"/>
      <c r="H15" s="148" t="n"/>
      <c r="I15" s="148" t="n"/>
      <c r="J15" s="148" t="n"/>
      <c r="K15" s="148" t="n"/>
      <c r="L15" s="148" t="n"/>
      <c r="M15" s="148" t="n"/>
      <c r="N15" s="148" t="n"/>
      <c r="O15" s="148" t="n"/>
      <c r="P15" s="148" t="n"/>
      <c r="Q15" s="148" t="n"/>
      <c r="R15" s="148" t="n"/>
      <c r="S15" s="148" t="n"/>
      <c r="T15" s="170" t="n"/>
      <c r="U15" s="454" t="n"/>
      <c r="V15" s="71" t="n"/>
    </row>
    <row r="16" ht="13.5" customHeight="1" s="419">
      <c r="A16" s="171" t="n"/>
      <c r="B16" s="75" t="n"/>
      <c r="C16" s="76" t="n"/>
      <c r="D16" s="492" t="inlineStr">
        <is>
          <t>task-1</t>
        </is>
      </c>
      <c r="E16" s="80" t="n"/>
      <c r="F16" s="493" t="inlineStr">
        <is>
          <t>O</t>
        </is>
      </c>
      <c r="G16" s="493" t="inlineStr">
        <is>
          <t>O</t>
        </is>
      </c>
      <c r="H16" s="493" t="inlineStr">
        <is>
          <t>O</t>
        </is>
      </c>
      <c r="I16" s="148" t="n"/>
      <c r="J16" s="148" t="n"/>
      <c r="K16" s="148" t="n"/>
      <c r="L16" s="148" t="n"/>
      <c r="M16" s="148" t="n"/>
      <c r="N16" s="148" t="n"/>
      <c r="O16" s="148" t="n"/>
      <c r="P16" s="148" t="n"/>
      <c r="Q16" s="148" t="n"/>
      <c r="R16" s="148" t="n"/>
      <c r="S16" s="148" t="n"/>
      <c r="T16" s="170" t="n"/>
      <c r="U16" s="454" t="n"/>
      <c r="V16" s="71" t="n"/>
    </row>
    <row r="17" ht="13.5" customHeight="1" s="419">
      <c r="A17" s="171" t="n"/>
      <c r="B17" s="494" t="inlineStr">
        <is>
          <t>content</t>
        </is>
      </c>
      <c r="C17" s="76" t="n"/>
      <c r="D17" s="77" t="n"/>
      <c r="E17" s="80" t="n"/>
      <c r="F17" s="148" t="n"/>
      <c r="G17" s="148" t="n"/>
      <c r="H17" s="148" t="n"/>
      <c r="I17" s="148" t="n"/>
      <c r="J17" s="148" t="n"/>
      <c r="K17" s="148" t="n"/>
      <c r="L17" s="148" t="n"/>
      <c r="M17" s="148" t="n"/>
      <c r="N17" s="148" t="n"/>
      <c r="O17" s="148" t="n"/>
      <c r="P17" s="148" t="n"/>
      <c r="Q17" s="148" t="n"/>
      <c r="R17" s="148" t="n"/>
      <c r="S17" s="148" t="n"/>
      <c r="T17" s="170" t="n"/>
      <c r="U17" s="454" t="n"/>
      <c r="V17" s="71" t="n"/>
    </row>
    <row r="18" ht="13.5" customHeight="1" s="419">
      <c r="A18" s="171" t="n"/>
      <c r="B18" s="75" t="n"/>
      <c r="C18" s="76" t="n"/>
      <c r="D18" s="492" t="inlineStr">
        <is>
          <t>Looks good</t>
        </is>
      </c>
      <c r="E18" s="80" t="n"/>
      <c r="F18" s="493" t="inlineStr">
        <is>
          <t>O</t>
        </is>
      </c>
      <c r="G18" s="148" t="n"/>
      <c r="H18" s="148" t="n"/>
      <c r="I18" s="148" t="n"/>
      <c r="J18" s="148" t="n"/>
      <c r="K18" s="148" t="n"/>
      <c r="L18" s="148" t="n"/>
      <c r="M18" s="148" t="n"/>
      <c r="N18" s="148" t="n"/>
      <c r="O18" s="148" t="n"/>
      <c r="P18" s="148" t="n"/>
      <c r="Q18" s="148" t="n"/>
      <c r="R18" s="148" t="n"/>
      <c r="S18" s="148" t="n"/>
      <c r="T18" s="170" t="n"/>
      <c r="U18" s="454" t="n"/>
      <c r="V18" s="71" t="n"/>
    </row>
    <row r="19" ht="13.5" customHeight="1" s="419">
      <c r="A19" s="171" t="n"/>
      <c r="B19" s="75" t="n"/>
      <c r="C19" s="76" t="n"/>
      <c r="D19" s="492" t="inlineStr">
        <is>
          <t xml:space="preserve">   </t>
        </is>
      </c>
      <c r="E19" s="80" t="n"/>
      <c r="F19" s="148" t="n"/>
      <c r="G19" s="493" t="inlineStr">
        <is>
          <t>O</t>
        </is>
      </c>
      <c r="H19" s="148" t="n"/>
      <c r="I19" s="148" t="n"/>
      <c r="J19" s="148" t="n"/>
      <c r="K19" s="148" t="n"/>
      <c r="L19" s="148" t="n"/>
      <c r="M19" s="148" t="n"/>
      <c r="N19" s="148" t="n"/>
      <c r="O19" s="148" t="n"/>
      <c r="P19" s="148" t="n"/>
      <c r="Q19" s="148" t="n"/>
      <c r="R19" s="148" t="n"/>
      <c r="S19" s="148" t="n"/>
      <c r="T19" s="170" t="n"/>
      <c r="U19" s="454" t="n"/>
      <c r="V19" s="71" t="n"/>
    </row>
    <row r="20" ht="13.5" customHeight="1" s="419">
      <c r="A20" s="171" t="n"/>
      <c r="B20" s="75" t="n"/>
      <c r="C20" s="76" t="n"/>
      <c r="D20" s="492" t="inlineStr">
        <is>
          <t>System note</t>
        </is>
      </c>
      <c r="E20" s="80" t="n"/>
      <c r="F20" s="148" t="n"/>
      <c r="G20" s="148" t="n"/>
      <c r="H20" s="493" t="inlineStr">
        <is>
          <t>O</t>
        </is>
      </c>
      <c r="I20" s="148" t="n"/>
      <c r="J20" s="148" t="n"/>
      <c r="K20" s="148" t="n"/>
      <c r="L20" s="148" t="n"/>
      <c r="M20" s="148" t="n"/>
      <c r="N20" s="148" t="n"/>
      <c r="O20" s="148" t="n"/>
      <c r="P20" s="148" t="n"/>
      <c r="Q20" s="148" t="n"/>
      <c r="R20" s="148" t="n"/>
      <c r="S20" s="148" t="n"/>
      <c r="T20" s="170" t="n"/>
      <c r="U20" s="454" t="n"/>
      <c r="V20" s="71" t="n"/>
    </row>
    <row r="21" ht="13.5" customHeight="1" s="419">
      <c r="A21" s="171" t="n"/>
      <c r="B21" s="494" t="inlineStr">
        <is>
          <t>userId</t>
        </is>
      </c>
      <c r="C21" s="76" t="n"/>
      <c r="D21" s="77" t="n"/>
      <c r="E21" s="80" t="n"/>
      <c r="F21" s="148" t="n"/>
      <c r="G21" s="148" t="n"/>
      <c r="H21" s="148" t="n"/>
      <c r="I21" s="148" t="n"/>
      <c r="J21" s="148" t="n"/>
      <c r="K21" s="148" t="n"/>
      <c r="L21" s="148" t="n"/>
      <c r="M21" s="148" t="n"/>
      <c r="N21" s="148" t="n"/>
      <c r="O21" s="148" t="n"/>
      <c r="P21" s="148" t="n"/>
      <c r="Q21" s="148" t="n"/>
      <c r="R21" s="148" t="n"/>
      <c r="S21" s="148" t="n"/>
      <c r="T21" s="170" t="n"/>
      <c r="U21" s="454" t="n"/>
      <c r="V21" s="71" t="n"/>
    </row>
    <row r="22" ht="13.5" customHeight="1" s="419">
      <c r="A22" s="171" t="n"/>
      <c r="B22" s="75" t="n"/>
      <c r="C22" s="76" t="n"/>
      <c r="D22" s="492" t="inlineStr">
        <is>
          <t>user-1</t>
        </is>
      </c>
      <c r="E22" s="80" t="n"/>
      <c r="F22" s="493" t="inlineStr">
        <is>
          <t>O</t>
        </is>
      </c>
      <c r="G22" s="493" t="inlineStr">
        <is>
          <t>O</t>
        </is>
      </c>
      <c r="H22" s="148" t="n"/>
      <c r="I22" s="148" t="n"/>
      <c r="J22" s="148" t="n"/>
      <c r="K22" s="148" t="n"/>
      <c r="L22" s="148" t="n"/>
      <c r="M22" s="148" t="n"/>
      <c r="N22" s="148" t="n"/>
      <c r="O22" s="148" t="n"/>
      <c r="P22" s="148" t="n"/>
      <c r="Q22" s="148" t="n"/>
      <c r="R22" s="148" t="n"/>
      <c r="S22" s="148" t="n"/>
      <c r="T22" s="170" t="n"/>
      <c r="U22" s="454" t="n"/>
      <c r="V22" s="71" t="n"/>
    </row>
    <row r="23" ht="13.5" customHeight="1" s="419">
      <c r="A23" s="171" t="n"/>
      <c r="B23" s="75" t="n"/>
      <c r="C23" s="76" t="n"/>
      <c r="D23" s="492" t="inlineStr">
        <is>
          <t>SYSTEM</t>
        </is>
      </c>
      <c r="E23" s="80" t="n"/>
      <c r="F23" s="148" t="n"/>
      <c r="G23" s="148" t="n"/>
      <c r="H23" s="493" t="inlineStr">
        <is>
          <t>O</t>
        </is>
      </c>
      <c r="I23" s="148" t="n"/>
      <c r="J23" s="148" t="n"/>
      <c r="K23" s="148" t="n"/>
      <c r="L23" s="148" t="n"/>
      <c r="M23" s="148" t="n"/>
      <c r="N23" s="148" t="n"/>
      <c r="O23" s="148" t="n"/>
      <c r="P23" s="148" t="n"/>
      <c r="Q23" s="148" t="n"/>
      <c r="R23" s="148" t="n"/>
      <c r="S23" s="148" t="n"/>
      <c r="T23" s="170" t="n"/>
      <c r="U23" s="454" t="n"/>
      <c r="V23" s="71" t="n"/>
    </row>
    <row r="24" ht="13.5" customHeight="1" s="419">
      <c r="A24" s="171" t="n"/>
      <c r="B24" s="494" t="inlineStr">
        <is>
          <t>metadata</t>
        </is>
      </c>
      <c r="C24" s="76" t="n"/>
      <c r="D24" s="77" t="n"/>
      <c r="E24" s="80" t="n"/>
      <c r="F24" s="148" t="n"/>
      <c r="G24" s="148" t="n"/>
      <c r="H24" s="148" t="n"/>
      <c r="I24" s="148" t="n"/>
      <c r="J24" s="148" t="n"/>
      <c r="K24" s="148" t="n"/>
      <c r="L24" s="148" t="n"/>
      <c r="M24" s="148" t="n"/>
      <c r="N24" s="148" t="n"/>
      <c r="O24" s="148" t="n"/>
      <c r="P24" s="148" t="n"/>
      <c r="Q24" s="148" t="n"/>
      <c r="R24" s="148" t="n"/>
      <c r="S24" s="148" t="n"/>
      <c r="T24" s="170" t="n"/>
      <c r="U24" s="454" t="n"/>
      <c r="V24" s="71" t="n"/>
    </row>
    <row r="25" ht="27" customHeight="1" s="419">
      <c r="A25" s="171" t="n"/>
      <c r="B25" s="75" t="n"/>
      <c r="C25" s="76" t="n"/>
      <c r="D25" s="492" t="inlineStr">
        <is>
          <t>GUARDS_METADATA on TasksController</t>
        </is>
      </c>
      <c r="E25" s="80" t="n"/>
      <c r="F25" s="148" t="n"/>
      <c r="G25" s="148" t="n"/>
      <c r="H25" s="148" t="n"/>
      <c r="I25" s="493" t="inlineStr">
        <is>
          <t>O</t>
        </is>
      </c>
      <c r="J25" s="148" t="n"/>
      <c r="K25" s="148" t="n"/>
      <c r="L25" s="148" t="n"/>
      <c r="M25" s="148" t="n"/>
      <c r="N25" s="148" t="n"/>
      <c r="O25" s="148" t="n"/>
      <c r="P25" s="148" t="n"/>
      <c r="Q25" s="148" t="n"/>
      <c r="R25" s="148" t="n"/>
      <c r="S25" s="148" t="n"/>
      <c r="T25" s="170" t="n"/>
      <c r="U25" s="454" t="n"/>
      <c r="V25" s="71" t="n"/>
    </row>
    <row r="26" ht="13.5" customHeight="1" s="419">
      <c r="A26" s="495" t="inlineStr">
        <is>
          <t>Confirm</t>
        </is>
      </c>
      <c r="B26" s="494" t="inlineStr">
        <is>
          <t>Return</t>
        </is>
      </c>
      <c r="C26" s="76" t="n"/>
      <c r="D26" s="77" t="n"/>
      <c r="E26" s="80" t="n"/>
      <c r="F26" s="148" t="n"/>
      <c r="G26" s="148" t="n"/>
      <c r="H26" s="148" t="n"/>
      <c r="I26" s="148" t="n"/>
      <c r="J26" s="148" t="n"/>
      <c r="K26" s="148" t="n"/>
      <c r="L26" s="148" t="n"/>
      <c r="M26" s="148" t="n"/>
      <c r="N26" s="148" t="n"/>
      <c r="O26" s="148" t="n"/>
      <c r="P26" s="148" t="n"/>
      <c r="Q26" s="148" t="n"/>
      <c r="R26" s="148" t="n"/>
      <c r="S26" s="148" t="n"/>
      <c r="T26" s="170" t="n"/>
      <c r="U26" s="454" t="n"/>
      <c r="V26" s="71" t="n"/>
    </row>
    <row r="27" ht="27" customHeight="1" s="419">
      <c r="A27" s="171" t="n"/>
      <c r="B27" s="75" t="n"/>
      <c r="C27" s="76" t="n"/>
      <c r="D27" s="492" t="inlineStr">
        <is>
          <t>Returns persisted task comment</t>
        </is>
      </c>
      <c r="E27" s="80" t="n"/>
      <c r="F27" s="493" t="inlineStr">
        <is>
          <t>O</t>
        </is>
      </c>
      <c r="G27" s="148" t="n"/>
      <c r="H27" s="148" t="n"/>
      <c r="I27" s="148" t="n"/>
      <c r="J27" s="148" t="n"/>
      <c r="K27" s="148" t="n"/>
      <c r="L27" s="148" t="n"/>
      <c r="M27" s="148" t="n"/>
      <c r="N27" s="148" t="n"/>
      <c r="O27" s="148" t="n"/>
      <c r="P27" s="148" t="n"/>
      <c r="Q27" s="148" t="n"/>
      <c r="R27" s="148" t="n"/>
      <c r="S27" s="148" t="n"/>
      <c r="T27" s="170" t="n"/>
      <c r="U27" s="454" t="n"/>
      <c r="V27" s="71" t="n"/>
    </row>
    <row r="28" ht="27" customHeight="1" s="419">
      <c r="A28" s="171" t="n"/>
      <c r="B28" s="75" t="n"/>
      <c r="C28" s="76" t="n"/>
      <c r="D28" s="492" t="inlineStr">
        <is>
          <t>Forwards whitespace content to service</t>
        </is>
      </c>
      <c r="E28" s="80" t="n"/>
      <c r="F28" s="148" t="n"/>
      <c r="G28" s="493" t="inlineStr">
        <is>
          <t>O</t>
        </is>
      </c>
      <c r="H28" s="148" t="n"/>
      <c r="I28" s="148" t="n"/>
      <c r="J28" s="148" t="n"/>
      <c r="K28" s="148" t="n"/>
      <c r="L28" s="148" t="n"/>
      <c r="M28" s="148" t="n"/>
      <c r="N28" s="148" t="n"/>
      <c r="O28" s="148" t="n"/>
      <c r="P28" s="148" t="n"/>
      <c r="Q28" s="148" t="n"/>
      <c r="R28" s="148" t="n"/>
      <c r="S28" s="148" t="n"/>
      <c r="T28" s="170" t="n"/>
      <c r="U28" s="454" t="n"/>
      <c r="V28" s="71" t="n"/>
    </row>
    <row r="29" ht="27" customHeight="1" s="419">
      <c r="A29" s="171" t="n"/>
      <c r="B29" s="75" t="n"/>
      <c r="C29" s="76" t="n"/>
      <c r="D29" s="492" t="inlineStr">
        <is>
          <t>Returns persisted comment with SYSTEM actor</t>
        </is>
      </c>
      <c r="E29" s="80" t="n"/>
      <c r="F29" s="148" t="n"/>
      <c r="G29" s="148" t="n"/>
      <c r="H29" s="493" t="inlineStr">
        <is>
          <t>O</t>
        </is>
      </c>
      <c r="I29" s="148" t="n"/>
      <c r="J29" s="148" t="n"/>
      <c r="K29" s="148" t="n"/>
      <c r="L29" s="148" t="n"/>
      <c r="M29" s="148" t="n"/>
      <c r="N29" s="148" t="n"/>
      <c r="O29" s="148" t="n"/>
      <c r="P29" s="148" t="n"/>
      <c r="Q29" s="148" t="n"/>
      <c r="R29" s="148" t="n"/>
      <c r="S29" s="148" t="n"/>
      <c r="T29" s="170" t="n"/>
      <c r="U29" s="454" t="n"/>
      <c r="V29" s="71" t="n"/>
    </row>
    <row r="30" ht="27" customHeight="1" s="419">
      <c r="A30" s="171" t="n"/>
      <c r="B30" s="75" t="n"/>
      <c r="C30" s="76" t="n"/>
      <c r="D30" s="492" t="inlineStr">
        <is>
          <t>Guard metadata exists for authenticated access</t>
        </is>
      </c>
      <c r="E30" s="80" t="n"/>
      <c r="F30" s="148" t="n"/>
      <c r="G30" s="148" t="n"/>
      <c r="H30" s="148" t="n"/>
      <c r="I30" s="493" t="inlineStr">
        <is>
          <t>O</t>
        </is>
      </c>
      <c r="J30" s="148" t="n"/>
      <c r="K30" s="148" t="n"/>
      <c r="L30" s="148" t="n"/>
      <c r="M30" s="148" t="n"/>
      <c r="N30" s="148" t="n"/>
      <c r="O30" s="148" t="n"/>
      <c r="P30" s="148" t="n"/>
      <c r="Q30" s="148" t="n"/>
      <c r="R30" s="148" t="n"/>
      <c r="S30" s="148" t="n"/>
      <c r="T30" s="170" t="n"/>
      <c r="U30" s="454" t="n"/>
      <c r="V30" s="71" t="n"/>
    </row>
    <row r="31" ht="13.5" customHeight="1" s="419">
      <c r="A31" s="171" t="n"/>
      <c r="B31" s="494" t="inlineStr">
        <is>
          <t>Log message</t>
        </is>
      </c>
      <c r="C31" s="76" t="n"/>
      <c r="D31" s="77" t="n"/>
      <c r="E31" s="80" t="n"/>
      <c r="F31" s="148" t="n"/>
      <c r="G31" s="148" t="n"/>
      <c r="H31" s="148" t="n"/>
      <c r="I31" s="148" t="n"/>
      <c r="J31" s="148" t="n"/>
      <c r="K31" s="148" t="n"/>
      <c r="L31" s="148" t="n"/>
      <c r="M31" s="148" t="n"/>
      <c r="N31" s="148" t="n"/>
      <c r="O31" s="148" t="n"/>
      <c r="P31" s="148" t="n"/>
      <c r="Q31" s="148" t="n"/>
      <c r="R31" s="148" t="n"/>
      <c r="S31" s="148" t="n"/>
      <c r="T31" s="170" t="n"/>
      <c r="U31" s="454" t="n"/>
      <c r="V31" s="71" t="n"/>
    </row>
    <row r="32" ht="40.5" customHeight="1" s="419">
      <c r="A32" s="171" t="n"/>
      <c r="B32" s="75" t="n"/>
      <c r="C32" s="76" t="n"/>
      <c r="D32" s="492" t="inlineStr">
        <is>
          <t>EP-281 UTC01 adds comment with authenticated actor id</t>
        </is>
      </c>
      <c r="E32" s="80" t="n"/>
      <c r="F32" s="493" t="inlineStr">
        <is>
          <t>O</t>
        </is>
      </c>
      <c r="G32" s="148" t="n"/>
      <c r="H32" s="148" t="n"/>
      <c r="I32" s="148" t="n"/>
      <c r="J32" s="148" t="n"/>
      <c r="K32" s="148" t="n"/>
      <c r="L32" s="148" t="n"/>
      <c r="M32" s="148" t="n"/>
      <c r="N32" s="148" t="n"/>
      <c r="O32" s="148" t="n"/>
      <c r="P32" s="148" t="n"/>
      <c r="Q32" s="148" t="n"/>
      <c r="R32" s="148" t="n"/>
      <c r="S32" s="148" t="n"/>
      <c r="T32" s="170" t="n"/>
      <c r="U32" s="454" t="n"/>
      <c r="V32" s="71" t="n"/>
    </row>
    <row r="33" ht="40.5" customHeight="1" s="419">
      <c r="A33" s="171" t="n"/>
      <c r="B33" s="75" t="n"/>
      <c r="C33" s="76" t="n"/>
      <c r="D33" s="492" t="inlineStr">
        <is>
          <t>EP-281 UTC02 forwards whitespace comment content to service for downs...</t>
        </is>
      </c>
      <c r="E33" s="80" t="n"/>
      <c r="F33" s="148" t="n"/>
      <c r="G33" s="493" t="inlineStr">
        <is>
          <t>O</t>
        </is>
      </c>
      <c r="H33" s="148" t="n"/>
      <c r="I33" s="148" t="n"/>
      <c r="J33" s="148" t="n"/>
      <c r="K33" s="148" t="n"/>
      <c r="L33" s="148" t="n"/>
      <c r="M33" s="148" t="n"/>
      <c r="N33" s="148" t="n"/>
      <c r="O33" s="148" t="n"/>
      <c r="P33" s="148" t="n"/>
      <c r="Q33" s="148" t="n"/>
      <c r="R33" s="148" t="n"/>
      <c r="S33" s="148" t="n"/>
      <c r="T33" s="170" t="n"/>
      <c r="U33" s="454" t="n"/>
      <c r="V33" s="71" t="n"/>
    </row>
    <row r="34" ht="40.5" customHeight="1" s="419">
      <c r="A34" s="171" t="n"/>
      <c r="B34" s="75" t="n"/>
      <c r="C34" s="76" t="n"/>
      <c r="D34" s="492" t="inlineStr">
        <is>
          <t>EP-281 UTC03 falls back to SYSTEM actor when request user is unavailable</t>
        </is>
      </c>
      <c r="E34" s="80" t="n"/>
      <c r="F34" s="148" t="n"/>
      <c r="G34" s="148" t="n"/>
      <c r="H34" s="493" t="inlineStr">
        <is>
          <t>O</t>
        </is>
      </c>
      <c r="I34" s="148" t="n"/>
      <c r="J34" s="148" t="n"/>
      <c r="K34" s="148" t="n"/>
      <c r="L34" s="148" t="n"/>
      <c r="M34" s="148" t="n"/>
      <c r="N34" s="148" t="n"/>
      <c r="O34" s="148" t="n"/>
      <c r="P34" s="148" t="n"/>
      <c r="Q34" s="148" t="n"/>
      <c r="R34" s="148" t="n"/>
      <c r="S34" s="148" t="n"/>
      <c r="T34" s="170" t="n"/>
      <c r="U34" s="454" t="n"/>
      <c r="V34" s="71" t="n"/>
    </row>
    <row r="35" ht="40.5" customHeight="1" s="419">
      <c r="A35" s="171" t="n"/>
      <c r="B35" s="75" t="n"/>
      <c r="C35" s="76" t="n"/>
      <c r="D35" s="492" t="inlineStr">
        <is>
          <t>EP-281 UTC04 is protected by JwtAuthGuard at controller level</t>
        </is>
      </c>
      <c r="E35" s="80" t="n"/>
      <c r="F35" s="148" t="n"/>
      <c r="G35" s="148" t="n"/>
      <c r="H35" s="148" t="n"/>
      <c r="I35" s="493" t="inlineStr">
        <is>
          <t>O</t>
        </is>
      </c>
      <c r="J35" s="148" t="n"/>
      <c r="K35" s="148" t="n"/>
      <c r="L35" s="148" t="n"/>
      <c r="M35" s="148" t="n"/>
      <c r="N35" s="148" t="n"/>
      <c r="O35" s="148" t="n"/>
      <c r="P35" s="148" t="n"/>
      <c r="Q35" s="148" t="n"/>
      <c r="R35" s="148" t="n"/>
      <c r="S35" s="148" t="n"/>
      <c r="T35" s="170" t="n"/>
      <c r="U35" s="454" t="n"/>
      <c r="V35" s="71" t="n"/>
    </row>
    <row r="36" ht="13.5" customHeight="1" s="419">
      <c r="A36" s="495" t="inlineStr">
        <is>
          <t>Result</t>
        </is>
      </c>
      <c r="B36" s="494" t="inlineStr">
        <is>
          <t>Type(N : Normal, A : Abnormal, B : Boundary)</t>
        </is>
      </c>
      <c r="C36" s="76" t="n"/>
      <c r="D36" s="77" t="n"/>
      <c r="E36" s="80" t="n"/>
      <c r="F36" s="493" t="inlineStr">
        <is>
          <t>N</t>
        </is>
      </c>
      <c r="G36" s="493" t="inlineStr">
        <is>
          <t>B</t>
        </is>
      </c>
      <c r="H36" s="493" t="inlineStr">
        <is>
          <t>A</t>
        </is>
      </c>
      <c r="I36" s="493" t="inlineStr">
        <is>
          <t>A</t>
        </is>
      </c>
      <c r="J36" s="148" t="n"/>
      <c r="K36" s="148" t="n"/>
      <c r="L36" s="148" t="n"/>
      <c r="M36" s="148" t="n"/>
      <c r="N36" s="148" t="n"/>
      <c r="O36" s="148" t="n"/>
      <c r="P36" s="148" t="n"/>
      <c r="Q36" s="148" t="n"/>
      <c r="R36" s="148" t="n"/>
      <c r="S36" s="148" t="n"/>
      <c r="T36" s="170" t="n"/>
      <c r="U36" s="454" t="n"/>
      <c r="V36" s="71" t="n"/>
    </row>
    <row r="37" ht="13.5" customHeight="1" s="419">
      <c r="A37" s="171" t="n"/>
      <c r="B37" s="494" t="inlineStr">
        <is>
          <t>Passed/Failed</t>
        </is>
      </c>
      <c r="C37" s="76" t="n"/>
      <c r="D37" s="77" t="n"/>
      <c r="E37" s="81" t="n"/>
      <c r="F37" s="496" t="inlineStr">
        <is>
          <t>P</t>
        </is>
      </c>
      <c r="G37" s="496" t="inlineStr">
        <is>
          <t>P</t>
        </is>
      </c>
      <c r="H37" s="496" t="inlineStr">
        <is>
          <t>P</t>
        </is>
      </c>
      <c r="I37" s="496" t="inlineStr">
        <is>
          <t>P</t>
        </is>
      </c>
      <c r="J37" s="79" t="n"/>
      <c r="K37" s="79" t="n"/>
      <c r="L37" s="79" t="n"/>
      <c r="M37" s="79" t="n"/>
      <c r="N37" s="79" t="n"/>
      <c r="O37" s="79" t="n"/>
      <c r="P37" s="79" t="n"/>
      <c r="Q37" s="79" t="n"/>
      <c r="R37" s="79" t="n"/>
      <c r="S37" s="79" t="n"/>
      <c r="T37" s="195" t="n"/>
      <c r="U37" s="454" t="n"/>
      <c r="V37" s="454" t="n"/>
    </row>
    <row r="38" ht="42" customHeight="1" s="419">
      <c r="A38" s="171" t="n"/>
      <c r="B38" s="494" t="inlineStr">
        <is>
          <t>Executed Date</t>
        </is>
      </c>
      <c r="C38" s="76" t="n"/>
      <c r="D38" s="77" t="n"/>
      <c r="E38" s="80" t="n"/>
      <c r="F38" s="497" t="inlineStr">
        <is>
          <t>04-06</t>
        </is>
      </c>
      <c r="G38" s="497" t="inlineStr">
        <is>
          <t>04-06</t>
        </is>
      </c>
      <c r="H38" s="497" t="inlineStr">
        <is>
          <t>04-06</t>
        </is>
      </c>
      <c r="I38" s="497" t="inlineStr">
        <is>
          <t>04-06</t>
        </is>
      </c>
      <c r="J38" s="148" t="n"/>
      <c r="K38" s="148" t="n"/>
      <c r="L38" s="148" t="n"/>
      <c r="M38" s="148" t="n"/>
      <c r="N38" s="148" t="n"/>
      <c r="O38" s="148" t="n"/>
      <c r="P38" s="148" t="n"/>
      <c r="Q38" s="148" t="n"/>
      <c r="R38" s="148" t="n"/>
      <c r="S38" s="148" t="n"/>
      <c r="T38" s="170" t="n"/>
      <c r="U38" s="454" t="n"/>
      <c r="V38" s="71" t="n"/>
    </row>
    <row r="39" ht="13.5" customHeight="1" s="419">
      <c r="A39" s="171" t="n"/>
      <c r="B39" s="494" t="inlineStr">
        <is>
          <t>Defect ID</t>
        </is>
      </c>
      <c r="C39" s="76" t="n"/>
      <c r="D39" s="77" t="n"/>
      <c r="E39" s="80" t="n"/>
      <c r="F39" s="493" t="inlineStr"/>
      <c r="G39" s="493" t="inlineStr"/>
      <c r="H39" s="493" t="inlineStr"/>
      <c r="I39" s="493" t="inlineStr"/>
      <c r="J39" s="148" t="n"/>
      <c r="K39" s="148" t="n"/>
      <c r="L39" s="148" t="n"/>
      <c r="M39" s="148" t="n"/>
      <c r="N39" s="148" t="n"/>
      <c r="O39" s="148" t="n"/>
      <c r="P39" s="148" t="n"/>
      <c r="Q39" s="148" t="n"/>
      <c r="R39" s="148" t="n"/>
      <c r="S39" s="148" t="n"/>
      <c r="T39" s="170" t="n"/>
      <c r="U39" s="454" t="n"/>
      <c r="V39" s="71" t="n"/>
    </row>
    <row r="40" ht="13.5" customHeight="1" s="419"/>
    <row r="41" ht="13.5" customHeight="1" s="419"/>
    <row r="42" ht="13.5" customHeight="1" s="419"/>
    <row r="43" ht="13.5" customHeight="1" s="419"/>
    <row r="44" ht="13.5" customHeight="1" s="419"/>
    <row r="45" ht="13.5" customHeight="1" s="419"/>
    <row r="46" ht="13.5" customHeight="1" s="419"/>
    <row r="47" ht="13.5" customHeight="1" s="419"/>
    <row r="48" ht="13.5" customHeight="1" s="419"/>
    <row r="49" ht="13.5" customHeight="1" s="419"/>
    <row r="50" ht="13.5" customHeight="1" s="419"/>
    <row r="51" ht="13.5" customHeight="1" s="419"/>
    <row r="52" ht="13.5" customHeight="1" s="419"/>
    <row r="53" ht="13.5" customHeight="1" s="419"/>
    <row r="54" ht="13.5" customHeight="1" s="419"/>
    <row r="55" ht="13.5" customHeight="1" s="419"/>
    <row r="56" ht="13.5" customHeight="1" s="419"/>
    <row r="57" ht="13.5" customHeight="1" s="419"/>
    <row r="58" ht="13.5" customHeight="1" s="419"/>
    <row r="59" ht="13.5" customHeight="1" s="419"/>
    <row r="60" ht="13.5" customHeight="1" s="419"/>
    <row r="61" ht="13.5" customHeight="1" s="419"/>
    <row r="62" ht="13.5" customHeight="1" s="419"/>
    <row r="63" ht="13.5" customHeight="1" s="419"/>
    <row r="64" ht="13.5" customHeight="1" s="419"/>
    <row r="65" ht="13.5" customHeight="1" s="419" thickBot="1"/>
    <row r="66" ht="13.5" customHeight="1" s="419" thickTop="1"/>
    <row r="67" ht="13.5" customHeight="1" s="419"/>
    <row r="68" ht="71.5" customHeight="1" s="419"/>
    <row r="69" ht="10.5" customHeight="1" s="419" thickBot="1"/>
  </sheetData>
  <mergeCells count="27">
    <mergeCell ref="B67:D67"/>
    <mergeCell ref="F2:K2"/>
    <mergeCell ref="B69:D69"/>
    <mergeCell ref="A6:B6"/>
    <mergeCell ref="C4:D4"/>
    <mergeCell ref="C2:E2"/>
    <mergeCell ref="L4:T4"/>
    <mergeCell ref="A7:B7"/>
    <mergeCell ref="B68:D68"/>
    <mergeCell ref="C7:E7"/>
    <mergeCell ref="L6:N6"/>
    <mergeCell ref="A3:B3"/>
    <mergeCell ref="A2:B2"/>
    <mergeCell ref="A5:B5"/>
    <mergeCell ref="C3:E3"/>
    <mergeCell ref="F4:K4"/>
    <mergeCell ref="O7:T7"/>
    <mergeCell ref="C6:E6"/>
    <mergeCell ref="A4:B4"/>
    <mergeCell ref="L2:T2"/>
    <mergeCell ref="O6:T6"/>
    <mergeCell ref="B66:D66"/>
    <mergeCell ref="F6:K6"/>
    <mergeCell ref="F7:K7"/>
    <mergeCell ref="C5:T5"/>
    <mergeCell ref="L3:T3"/>
    <mergeCell ref="F3:K3"/>
  </mergeCells>
  <pageMargins left="0.75" right="0.75" top="0.75" bottom="0.75" header="0.5" footer="0.5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40"/>
  <sheetViews>
    <sheetView zoomScale="145" zoomScaleNormal="145" workbookViewId="0">
      <selection activeCell="A1" sqref="A1"/>
    </sheetView>
  </sheetViews>
  <sheetFormatPr baseColWidth="8" defaultColWidth="9" defaultRowHeight="13.5" customHeight="1"/>
  <cols>
    <col width="8.1796875" customWidth="1" style="69" min="1" max="1"/>
    <col width="13.453125" customWidth="1" style="73" min="2" max="2"/>
    <col width="10.81640625" customWidth="1" style="69" min="3" max="3"/>
    <col width="26.6328125" customWidth="1" style="403" min="4" max="4"/>
    <col hidden="1" width="1.81640625" customWidth="1" style="69" min="5" max="5"/>
    <col width="2.81640625" bestFit="1" customWidth="1" style="69" min="6" max="11"/>
    <col width="13" customWidth="1" style="419" min="7" max="7"/>
    <col width="13" customWidth="1" style="419" min="8" max="8"/>
    <col width="13" customWidth="1" style="419" min="9" max="9"/>
    <col width="13" customWidth="1" style="419" min="10" max="10"/>
    <col width="13" customWidth="1" style="419" min="11" max="11"/>
    <col width="2.81640625" customWidth="1" style="69" min="12" max="19"/>
    <col width="13" customWidth="1" style="419" min="13" max="13"/>
    <col width="13" customWidth="1" style="419" min="14" max="14"/>
    <col width="13" customWidth="1" style="419" min="15" max="15"/>
    <col width="13" customWidth="1" style="419" min="16" max="16"/>
    <col width="13" customWidth="1" style="419" min="17" max="17"/>
    <col width="13" customWidth="1" style="419" min="18" max="18"/>
    <col width="13" customWidth="1" style="419" min="19" max="19"/>
    <col width="2.81640625" bestFit="1" customWidth="1" style="69" min="20" max="20"/>
    <col hidden="1" width="2.81640625" customWidth="1" style="69" min="21" max="21"/>
    <col hidden="1" width="11" customWidth="1" style="69" min="22" max="256"/>
    <col width="9" customWidth="1" style="69" min="257" max="16384"/>
  </cols>
  <sheetData>
    <row r="1" ht="13.5" customHeight="1" s="419" thickBot="1">
      <c r="A1" s="67" t="n"/>
      <c r="B1" s="68" t="n"/>
    </row>
    <row r="2" ht="13.5" customHeight="1" s="419">
      <c r="A2" s="346" t="inlineStr">
        <is>
          <t>Function Code</t>
        </is>
      </c>
      <c r="B2" s="458" t="n"/>
      <c r="C2" s="459" t="inlineStr">
        <is>
          <t>EP-283</t>
        </is>
      </c>
      <c r="D2" s="458" t="n"/>
      <c r="E2" s="460" t="n"/>
      <c r="F2" s="404" t="inlineStr">
        <is>
          <t>Function Name</t>
        </is>
      </c>
      <c r="G2" s="461" t="n"/>
      <c r="H2" s="461" t="n"/>
      <c r="I2" s="461" t="n"/>
      <c r="J2" s="461" t="n"/>
      <c r="K2" s="461" t="n"/>
      <c r="L2" s="462" t="inlineStr">
        <is>
          <t>Submit Work</t>
        </is>
      </c>
      <c r="M2" s="458" t="n"/>
      <c r="N2" s="458" t="n"/>
      <c r="O2" s="458" t="n"/>
      <c r="P2" s="458" t="n"/>
      <c r="Q2" s="458" t="n"/>
      <c r="R2" s="458" t="n"/>
      <c r="S2" s="458" t="n"/>
      <c r="T2" s="463" t="n"/>
      <c r="V2" s="71" t="n"/>
    </row>
    <row r="3" ht="13.5" customHeight="1" s="419">
      <c r="A3" s="464" t="inlineStr">
        <is>
          <t>Created By</t>
        </is>
      </c>
      <c r="B3" s="421" t="n"/>
      <c r="C3" s="465" t="inlineStr">
        <is>
          <t>GitHub Copilot</t>
        </is>
      </c>
      <c r="D3" s="430" t="n"/>
      <c r="E3" s="466" t="n"/>
      <c r="F3" s="467" t="inlineStr">
        <is>
          <t>Executed By</t>
        </is>
      </c>
      <c r="G3" s="468" t="n"/>
      <c r="H3" s="468" t="n"/>
      <c r="I3" s="468" t="n"/>
      <c r="J3" s="468" t="n"/>
      <c r="K3" s="469" t="n"/>
      <c r="L3" s="470" t="inlineStr">
        <is>
          <t>GitHub Copilot</t>
        </is>
      </c>
      <c r="M3" s="471" t="n"/>
      <c r="N3" s="471" t="n"/>
      <c r="O3" s="471" t="n"/>
      <c r="P3" s="471" t="n"/>
      <c r="Q3" s="471" t="n"/>
      <c r="R3" s="471" t="n"/>
      <c r="S3" s="471" t="n"/>
      <c r="T3" s="472" t="n"/>
    </row>
    <row r="4" ht="13.5" customHeight="1" s="419">
      <c r="A4" s="464" t="inlineStr">
        <is>
          <t>Lines  of code</t>
        </is>
      </c>
      <c r="B4" s="421" t="n"/>
      <c r="C4" s="473" t="n">
        <v>10</v>
      </c>
      <c r="D4" s="420" t="n"/>
      <c r="E4" s="353" t="n"/>
      <c r="F4" s="467" t="inlineStr">
        <is>
          <t>Lack of test cases</t>
        </is>
      </c>
      <c r="G4" s="468" t="n"/>
      <c r="H4" s="468" t="n"/>
      <c r="I4" s="468" t="n"/>
      <c r="J4" s="468" t="n"/>
      <c r="K4" s="469" t="n"/>
      <c r="L4" s="474" t="n">
        <v>0</v>
      </c>
      <c r="M4" s="420" t="n"/>
      <c r="N4" s="420" t="n"/>
      <c r="O4" s="420" t="n"/>
      <c r="P4" s="420" t="n"/>
      <c r="Q4" s="420" t="n"/>
      <c r="R4" s="420" t="n"/>
      <c r="S4" s="420" t="n"/>
      <c r="T4" s="475" t="n"/>
      <c r="V4" s="71" t="n"/>
    </row>
    <row r="5" ht="13.5" customHeight="1" s="419">
      <c r="A5" s="464" t="inlineStr">
        <is>
          <t>Test requirement</t>
        </is>
      </c>
      <c r="B5" s="421" t="n"/>
      <c r="C5" s="476" t="inlineStr">
        <is>
          <t>Verify submitWork: valid, edge, error, and auth cases for EP-283.</t>
        </is>
      </c>
      <c r="D5" s="420" t="n"/>
      <c r="E5" s="420" t="n"/>
      <c r="F5" s="420" t="n"/>
      <c r="G5" s="420" t="n"/>
      <c r="H5" s="420" t="n"/>
      <c r="I5" s="420" t="n"/>
      <c r="J5" s="420" t="n"/>
      <c r="K5" s="420" t="n"/>
      <c r="L5" s="420" t="n"/>
      <c r="M5" s="420" t="n"/>
      <c r="N5" s="420" t="n"/>
      <c r="O5" s="420" t="n"/>
      <c r="P5" s="420" t="n"/>
      <c r="Q5" s="420" t="n"/>
      <c r="R5" s="420" t="n"/>
      <c r="S5" s="420" t="n"/>
      <c r="T5" s="475" t="n"/>
    </row>
    <row r="6" ht="13.5" customHeight="1" s="419">
      <c r="A6" s="477" t="inlineStr">
        <is>
          <t>Passed</t>
        </is>
      </c>
      <c r="B6" s="421" t="n"/>
      <c r="C6" s="478" t="inlineStr">
        <is>
          <t>Failed</t>
        </is>
      </c>
      <c r="D6" s="420" t="n"/>
      <c r="E6" s="421" t="n"/>
      <c r="F6" s="479" t="inlineStr">
        <is>
          <t>Untested</t>
        </is>
      </c>
      <c r="G6" s="420" t="n"/>
      <c r="H6" s="420" t="n"/>
      <c r="I6" s="420" t="n"/>
      <c r="J6" s="420" t="n"/>
      <c r="K6" s="480" t="n"/>
      <c r="L6" s="312" t="inlineStr">
        <is>
          <t>N/A/B</t>
        </is>
      </c>
      <c r="M6" s="420" t="n"/>
      <c r="N6" s="420" t="n"/>
      <c r="O6" s="481" t="inlineStr">
        <is>
          <t>Total Test Cases</t>
        </is>
      </c>
      <c r="P6" s="420" t="n"/>
      <c r="Q6" s="420" t="n"/>
      <c r="R6" s="420" t="n"/>
      <c r="S6" s="420" t="n"/>
      <c r="T6" s="482" t="n"/>
      <c r="V6" s="71" t="n"/>
    </row>
    <row r="7" ht="13.5" customHeight="1" s="419" thickBot="1">
      <c r="A7" s="483">
        <f>COUNTIF(F38:I38,"P")</f>
        <v/>
      </c>
      <c r="B7" s="484" t="n"/>
      <c r="C7" s="485">
        <f>COUNTIF(F38:I38,"F")</f>
        <v/>
      </c>
      <c r="D7" s="486" t="n"/>
      <c r="E7" s="484" t="n"/>
      <c r="F7" s="487">
        <f>COUNTIF(F38:I38,"U")</f>
        <v/>
      </c>
      <c r="G7" s="486" t="n"/>
      <c r="H7" s="486" t="n"/>
      <c r="I7" s="486" t="n"/>
      <c r="J7" s="486" t="n"/>
      <c r="K7" s="488" t="n"/>
      <c r="L7" s="489">
        <f>COUNTIF(F37:I37,"N")</f>
        <v/>
      </c>
      <c r="M7" s="489">
        <f>COUNTIF(F37:I37,"A")</f>
        <v/>
      </c>
      <c r="N7" s="489">
        <f>COUNTIF(F37:I37,"B")</f>
        <v/>
      </c>
      <c r="O7" s="490">
        <f>COUNTA(F9:I9)</f>
        <v/>
      </c>
      <c r="P7" s="486" t="n"/>
      <c r="Q7" s="486" t="n"/>
      <c r="R7" s="486" t="n"/>
      <c r="S7" s="486" t="n"/>
      <c r="T7" s="491" t="n"/>
      <c r="U7" s="72" t="n"/>
    </row>
    <row r="8" ht="10.5" customHeight="1" s="419" thickBot="1"/>
    <row r="9" ht="45" customHeight="1" s="419" thickBot="1" thickTop="1">
      <c r="A9" s="189" t="n"/>
      <c r="B9" s="165" t="n"/>
      <c r="C9" s="166" t="n"/>
      <c r="D9" s="167" t="n"/>
      <c r="E9" s="166" t="n"/>
      <c r="F9" s="168" t="inlineStr">
        <is>
          <t>UTC01</t>
        </is>
      </c>
      <c r="G9" s="168" t="inlineStr">
        <is>
          <t>UTC02</t>
        </is>
      </c>
      <c r="H9" s="168" t="inlineStr">
        <is>
          <t>UTC03</t>
        </is>
      </c>
      <c r="I9" s="168" t="inlineStr">
        <is>
          <t>UTC04</t>
        </is>
      </c>
      <c r="J9" s="168" t="n"/>
      <c r="K9" s="168" t="n"/>
      <c r="L9" s="168" t="n"/>
      <c r="M9" s="168" t="n"/>
      <c r="N9" s="168" t="n"/>
      <c r="O9" s="168" t="n"/>
      <c r="P9" s="168" t="n"/>
      <c r="Q9" s="168" t="n"/>
      <c r="R9" s="168" t="n"/>
      <c r="S9" s="168" t="n"/>
      <c r="T9" s="169" t="n"/>
      <c r="U9" s="74" t="n"/>
      <c r="V9" s="71" t="n"/>
    </row>
    <row r="10" ht="13.5" customHeight="1" s="419">
      <c r="A10" s="183" t="inlineStr">
        <is>
          <t>Condition</t>
        </is>
      </c>
      <c r="B10" s="184" t="inlineStr">
        <is>
          <t>Precondition</t>
        </is>
      </c>
      <c r="C10" s="76" t="n"/>
      <c r="D10" s="77" t="n"/>
      <c r="E10" s="78" t="n"/>
      <c r="F10" s="79" t="n"/>
      <c r="G10" s="79" t="n"/>
      <c r="H10" s="79" t="n"/>
      <c r="I10" s="79" t="n"/>
      <c r="J10" s="79" t="n"/>
      <c r="K10" s="79" t="n"/>
      <c r="L10" s="79" t="n"/>
      <c r="M10" s="79" t="n"/>
      <c r="N10" s="79" t="n"/>
      <c r="O10" s="79" t="n"/>
      <c r="P10" s="79" t="n"/>
      <c r="Q10" s="79" t="n"/>
      <c r="R10" s="79" t="n"/>
      <c r="S10" s="79" t="n"/>
      <c r="T10" s="195" t="n"/>
    </row>
    <row r="11" ht="13.5" customHeight="1" s="419">
      <c r="A11" s="171" t="n"/>
      <c r="B11" s="75" t="n"/>
      <c r="C11" s="76" t="n"/>
      <c r="D11" s="492" t="inlineStr">
        <is>
          <t>user exists</t>
        </is>
      </c>
      <c r="E11" s="80" t="n"/>
      <c r="F11" s="493" t="inlineStr">
        <is>
          <t>O</t>
        </is>
      </c>
      <c r="G11" s="493" t="inlineStr">
        <is>
          <t>O</t>
        </is>
      </c>
      <c r="H11" s="148" t="n"/>
      <c r="I11" s="148" t="n"/>
      <c r="J11" s="148" t="n"/>
      <c r="K11" s="148" t="n"/>
      <c r="L11" s="148" t="n"/>
      <c r="M11" s="148" t="n"/>
      <c r="N11" s="148" t="n"/>
      <c r="O11" s="148" t="n"/>
      <c r="P11" s="148" t="n"/>
      <c r="Q11" s="148" t="n"/>
      <c r="R11" s="148" t="n"/>
      <c r="S11" s="148" t="n"/>
      <c r="T11" s="170" t="n"/>
      <c r="U11" s="454" t="n"/>
      <c r="V11" s="71" t="n"/>
    </row>
    <row r="12" ht="13.5" customHeight="1" s="419">
      <c r="A12" s="171" t="n"/>
      <c r="B12" s="75" t="n"/>
      <c r="C12" s="76" t="n"/>
      <c r="D12" s="492" t="inlineStr">
        <is>
          <t>Task "task-1" exists</t>
        </is>
      </c>
      <c r="E12" s="80" t="n"/>
      <c r="F12" s="493" t="inlineStr">
        <is>
          <t>O</t>
        </is>
      </c>
      <c r="G12" s="493" t="inlineStr">
        <is>
          <t>O</t>
        </is>
      </c>
      <c r="H12" s="493" t="inlineStr">
        <is>
          <t>O</t>
        </is>
      </c>
      <c r="I12" s="148" t="n"/>
      <c r="J12" s="148" t="n"/>
      <c r="K12" s="148" t="n"/>
      <c r="L12" s="148" t="n"/>
      <c r="M12" s="148" t="n"/>
      <c r="N12" s="148" t="n"/>
      <c r="O12" s="148" t="n"/>
      <c r="P12" s="148" t="n"/>
      <c r="Q12" s="148" t="n"/>
      <c r="R12" s="148" t="n"/>
      <c r="S12" s="148" t="n"/>
      <c r="T12" s="170" t="n"/>
      <c r="U12" s="454" t="n"/>
      <c r="V12" s="71" t="n"/>
    </row>
    <row r="13" ht="27" customHeight="1" s="419">
      <c r="A13" s="171" t="n"/>
      <c r="B13" s="75" t="n"/>
      <c r="C13" s="76" t="n"/>
      <c r="D13" s="492" t="inlineStr">
        <is>
          <t>Request user context is unavailable</t>
        </is>
      </c>
      <c r="E13" s="80" t="n"/>
      <c r="F13" s="148" t="n"/>
      <c r="G13" s="148" t="n"/>
      <c r="H13" s="493" t="inlineStr">
        <is>
          <t>O</t>
        </is>
      </c>
      <c r="I13" s="148" t="n"/>
      <c r="J13" s="148" t="n"/>
      <c r="K13" s="148" t="n"/>
      <c r="L13" s="148" t="n"/>
      <c r="M13" s="148" t="n"/>
      <c r="N13" s="148" t="n"/>
      <c r="O13" s="148" t="n"/>
      <c r="P13" s="148" t="n"/>
      <c r="Q13" s="148" t="n"/>
      <c r="R13" s="148" t="n"/>
      <c r="S13" s="148" t="n"/>
      <c r="T13" s="170" t="n"/>
      <c r="U13" s="454" t="n"/>
      <c r="V13" s="71" t="n"/>
    </row>
    <row r="14" ht="27" customHeight="1" s="419">
      <c r="A14" s="171" t="n"/>
      <c r="B14" s="75" t="n"/>
      <c r="C14" s="76" t="n"/>
      <c r="D14" s="492" t="inlineStr">
        <is>
          <t>TasksController is decorated with class-level guards</t>
        </is>
      </c>
      <c r="E14" s="80" t="n"/>
      <c r="F14" s="148" t="n"/>
      <c r="G14" s="148" t="n"/>
      <c r="H14" s="148" t="n"/>
      <c r="I14" s="493" t="inlineStr">
        <is>
          <t>O</t>
        </is>
      </c>
      <c r="J14" s="148" t="n"/>
      <c r="K14" s="148" t="n"/>
      <c r="L14" s="148" t="n"/>
      <c r="M14" s="148" t="n"/>
      <c r="N14" s="148" t="n"/>
      <c r="O14" s="148" t="n"/>
      <c r="P14" s="148" t="n"/>
      <c r="Q14" s="148" t="n"/>
      <c r="R14" s="148" t="n"/>
      <c r="S14" s="148" t="n"/>
      <c r="T14" s="170" t="n"/>
      <c r="U14" s="454" t="n"/>
      <c r="V14" s="71" t="n"/>
    </row>
    <row r="15" ht="13.5" customHeight="1" s="419">
      <c r="A15" s="171" t="n"/>
      <c r="B15" s="494" t="inlineStr">
        <is>
          <t>id</t>
        </is>
      </c>
      <c r="C15" s="76" t="n"/>
      <c r="D15" s="77" t="n"/>
      <c r="E15" s="80" t="n"/>
      <c r="F15" s="148" t="n"/>
      <c r="G15" s="148" t="n"/>
      <c r="H15" s="148" t="n"/>
      <c r="I15" s="148" t="n"/>
      <c r="J15" s="148" t="n"/>
      <c r="K15" s="148" t="n"/>
      <c r="L15" s="148" t="n"/>
      <c r="M15" s="148" t="n"/>
      <c r="N15" s="148" t="n"/>
      <c r="O15" s="148" t="n"/>
      <c r="P15" s="148" t="n"/>
      <c r="Q15" s="148" t="n"/>
      <c r="R15" s="148" t="n"/>
      <c r="S15" s="148" t="n"/>
      <c r="T15" s="170" t="n"/>
      <c r="U15" s="454" t="n"/>
      <c r="V15" s="71" t="n"/>
    </row>
    <row r="16" ht="13.5" customHeight="1" s="419">
      <c r="A16" s="171" t="n"/>
      <c r="B16" s="75" t="n"/>
      <c r="C16" s="76" t="n"/>
      <c r="D16" s="492" t="inlineStr">
        <is>
          <t>task-1</t>
        </is>
      </c>
      <c r="E16" s="80" t="n"/>
      <c r="F16" s="493" t="inlineStr">
        <is>
          <t>O</t>
        </is>
      </c>
      <c r="G16" s="493" t="inlineStr">
        <is>
          <t>O</t>
        </is>
      </c>
      <c r="H16" s="493" t="inlineStr">
        <is>
          <t>O</t>
        </is>
      </c>
      <c r="I16" s="148" t="n"/>
      <c r="J16" s="148" t="n"/>
      <c r="K16" s="148" t="n"/>
      <c r="L16" s="148" t="n"/>
      <c r="M16" s="148" t="n"/>
      <c r="N16" s="148" t="n"/>
      <c r="O16" s="148" t="n"/>
      <c r="P16" s="148" t="n"/>
      <c r="Q16" s="148" t="n"/>
      <c r="R16" s="148" t="n"/>
      <c r="S16" s="148" t="n"/>
      <c r="T16" s="170" t="n"/>
      <c r="U16" s="454" t="n"/>
      <c r="V16" s="71" t="n"/>
    </row>
    <row r="17" ht="13.5" customHeight="1" s="419">
      <c r="A17" s="171" t="n"/>
      <c r="B17" s="494" t="inlineStr">
        <is>
          <t>content</t>
        </is>
      </c>
      <c r="C17" s="76" t="n"/>
      <c r="D17" s="77" t="n"/>
      <c r="E17" s="80" t="n"/>
      <c r="F17" s="148" t="n"/>
      <c r="G17" s="148" t="n"/>
      <c r="H17" s="148" t="n"/>
      <c r="I17" s="148" t="n"/>
      <c r="J17" s="148" t="n"/>
      <c r="K17" s="148" t="n"/>
      <c r="L17" s="148" t="n"/>
      <c r="M17" s="148" t="n"/>
      <c r="N17" s="148" t="n"/>
      <c r="O17" s="148" t="n"/>
      <c r="P17" s="148" t="n"/>
      <c r="Q17" s="148" t="n"/>
      <c r="R17" s="148" t="n"/>
      <c r="S17" s="148" t="n"/>
      <c r="T17" s="170" t="n"/>
      <c r="U17" s="454" t="n"/>
      <c r="V17" s="71" t="n"/>
    </row>
    <row r="18" ht="13.5" customHeight="1" s="419">
      <c r="A18" s="171" t="n"/>
      <c r="B18" s="75" t="n"/>
      <c r="C18" s="76" t="n"/>
      <c r="D18" s="492" t="inlineStr">
        <is>
          <t>Completed implementation</t>
        </is>
      </c>
      <c r="E18" s="80" t="n"/>
      <c r="F18" s="493" t="inlineStr">
        <is>
          <t>O</t>
        </is>
      </c>
      <c r="G18" s="148" t="n"/>
      <c r="H18" s="148" t="n"/>
      <c r="I18" s="148" t="n"/>
      <c r="J18" s="148" t="n"/>
      <c r="K18" s="148" t="n"/>
      <c r="L18" s="148" t="n"/>
      <c r="M18" s="148" t="n"/>
      <c r="N18" s="148" t="n"/>
      <c r="O18" s="148" t="n"/>
      <c r="P18" s="148" t="n"/>
      <c r="Q18" s="148" t="n"/>
      <c r="R18" s="148" t="n"/>
      <c r="S18" s="148" t="n"/>
      <c r="T18" s="170" t="n"/>
      <c r="U18" s="454" t="n"/>
      <c r="V18" s="71" t="n"/>
    </row>
    <row r="19" ht="13.5" customHeight="1" s="419">
      <c r="A19" s="171" t="n"/>
      <c r="B19" s="75" t="n"/>
      <c r="C19" s="76" t="n"/>
      <c r="D19" s="492" t="inlineStr">
        <is>
          <t>Done without files</t>
        </is>
      </c>
      <c r="E19" s="80" t="n"/>
      <c r="F19" s="148" t="n"/>
      <c r="G19" s="493" t="inlineStr">
        <is>
          <t>O</t>
        </is>
      </c>
      <c r="H19" s="148" t="n"/>
      <c r="I19" s="148" t="n"/>
      <c r="J19" s="148" t="n"/>
      <c r="K19" s="148" t="n"/>
      <c r="L19" s="148" t="n"/>
      <c r="M19" s="148" t="n"/>
      <c r="N19" s="148" t="n"/>
      <c r="O19" s="148" t="n"/>
      <c r="P19" s="148" t="n"/>
      <c r="Q19" s="148" t="n"/>
      <c r="R19" s="148" t="n"/>
      <c r="S19" s="148" t="n"/>
      <c r="T19" s="170" t="n"/>
      <c r="U19" s="454" t="n"/>
      <c r="V19" s="71" t="n"/>
    </row>
    <row r="20" ht="13.5" customHeight="1" s="419">
      <c r="A20" s="171" t="n"/>
      <c r="B20" s="75" t="n"/>
      <c r="C20" s="76" t="n"/>
      <c r="D20" s="492" t="inlineStr">
        <is>
          <t>Fallback submission</t>
        </is>
      </c>
      <c r="E20" s="80" t="n"/>
      <c r="F20" s="148" t="n"/>
      <c r="G20" s="148" t="n"/>
      <c r="H20" s="493" t="inlineStr">
        <is>
          <t>O</t>
        </is>
      </c>
      <c r="I20" s="148" t="n"/>
      <c r="J20" s="148" t="n"/>
      <c r="K20" s="148" t="n"/>
      <c r="L20" s="148" t="n"/>
      <c r="M20" s="148" t="n"/>
      <c r="N20" s="148" t="n"/>
      <c r="O20" s="148" t="n"/>
      <c r="P20" s="148" t="n"/>
      <c r="Q20" s="148" t="n"/>
      <c r="R20" s="148" t="n"/>
      <c r="S20" s="148" t="n"/>
      <c r="T20" s="170" t="n"/>
      <c r="U20" s="454" t="n"/>
      <c r="V20" s="71" t="n"/>
    </row>
    <row r="21" ht="13.5" customHeight="1" s="419">
      <c r="A21" s="171" t="n"/>
      <c r="B21" s="494" t="inlineStr">
        <is>
          <t>userId</t>
        </is>
      </c>
      <c r="C21" s="76" t="n"/>
      <c r="D21" s="77" t="n"/>
      <c r="E21" s="80" t="n"/>
      <c r="F21" s="148" t="n"/>
      <c r="G21" s="148" t="n"/>
      <c r="H21" s="148" t="n"/>
      <c r="I21" s="148" t="n"/>
      <c r="J21" s="148" t="n"/>
      <c r="K21" s="148" t="n"/>
      <c r="L21" s="148" t="n"/>
      <c r="M21" s="148" t="n"/>
      <c r="N21" s="148" t="n"/>
      <c r="O21" s="148" t="n"/>
      <c r="P21" s="148" t="n"/>
      <c r="Q21" s="148" t="n"/>
      <c r="R21" s="148" t="n"/>
      <c r="S21" s="148" t="n"/>
      <c r="T21" s="170" t="n"/>
      <c r="U21" s="454" t="n"/>
      <c r="V21" s="71" t="n"/>
    </row>
    <row r="22" ht="13.5" customHeight="1" s="419">
      <c r="A22" s="171" t="n"/>
      <c r="B22" s="75" t="n"/>
      <c r="C22" s="76" t="n"/>
      <c r="D22" s="492" t="inlineStr">
        <is>
          <t>freelancer-1</t>
        </is>
      </c>
      <c r="E22" s="80" t="n"/>
      <c r="F22" s="493" t="inlineStr">
        <is>
          <t>O</t>
        </is>
      </c>
      <c r="G22" s="148" t="n"/>
      <c r="H22" s="148" t="n"/>
      <c r="I22" s="148" t="n"/>
      <c r="J22" s="148" t="n"/>
      <c r="K22" s="148" t="n"/>
      <c r="L22" s="148" t="n"/>
      <c r="M22" s="148" t="n"/>
      <c r="N22" s="148" t="n"/>
      <c r="O22" s="148" t="n"/>
      <c r="P22" s="148" t="n"/>
      <c r="Q22" s="148" t="n"/>
      <c r="R22" s="148" t="n"/>
      <c r="S22" s="148" t="n"/>
      <c r="T22" s="170" t="n"/>
      <c r="U22" s="454" t="n"/>
      <c r="V22" s="71" t="n"/>
    </row>
    <row r="23" ht="13.5" customHeight="1" s="419">
      <c r="A23" s="171" t="n"/>
      <c r="B23" s="75" t="n"/>
      <c r="C23" s="76" t="n"/>
      <c r="D23" s="492" t="inlineStr">
        <is>
          <t>SYSTEM</t>
        </is>
      </c>
      <c r="E23" s="80" t="n"/>
      <c r="F23" s="148" t="n"/>
      <c r="G23" s="148" t="n"/>
      <c r="H23" s="493" t="inlineStr">
        <is>
          <t>O</t>
        </is>
      </c>
      <c r="I23" s="148" t="n"/>
      <c r="J23" s="148" t="n"/>
      <c r="K23" s="148" t="n"/>
      <c r="L23" s="148" t="n"/>
      <c r="M23" s="148" t="n"/>
      <c r="N23" s="148" t="n"/>
      <c r="O23" s="148" t="n"/>
      <c r="P23" s="148" t="n"/>
      <c r="Q23" s="148" t="n"/>
      <c r="R23" s="148" t="n"/>
      <c r="S23" s="148" t="n"/>
      <c r="T23" s="170" t="n"/>
      <c r="U23" s="454" t="n"/>
      <c r="V23" s="71" t="n"/>
    </row>
    <row r="24" ht="13.5" customHeight="1" s="419">
      <c r="A24" s="171" t="n"/>
      <c r="B24" s="494" t="inlineStr">
        <is>
          <t>attachments</t>
        </is>
      </c>
      <c r="C24" s="76" t="n"/>
      <c r="D24" s="77" t="n"/>
      <c r="E24" s="80" t="n"/>
      <c r="F24" s="148" t="n"/>
      <c r="G24" s="148" t="n"/>
      <c r="H24" s="148" t="n"/>
      <c r="I24" s="148" t="n"/>
      <c r="J24" s="148" t="n"/>
      <c r="K24" s="148" t="n"/>
      <c r="L24" s="148" t="n"/>
      <c r="M24" s="148" t="n"/>
      <c r="N24" s="148" t="n"/>
      <c r="O24" s="148" t="n"/>
      <c r="P24" s="148" t="n"/>
      <c r="Q24" s="148" t="n"/>
      <c r="R24" s="148" t="n"/>
      <c r="S24" s="148" t="n"/>
      <c r="T24" s="170" t="n"/>
      <c r="U24" s="454" t="n"/>
      <c r="V24" s="71" t="n"/>
    </row>
    <row r="25" ht="13.5" customHeight="1" s="419">
      <c r="A25" s="171" t="n"/>
      <c r="B25" s="494" t="inlineStr">
        <is>
          <t>metadata</t>
        </is>
      </c>
      <c r="C25" s="76" t="n"/>
      <c r="D25" s="77" t="n"/>
      <c r="E25" s="80" t="n"/>
      <c r="F25" s="148" t="n"/>
      <c r="G25" s="148" t="n"/>
      <c r="H25" s="148" t="n"/>
      <c r="I25" s="148" t="n"/>
      <c r="J25" s="148" t="n"/>
      <c r="K25" s="148" t="n"/>
      <c r="L25" s="148" t="n"/>
      <c r="M25" s="148" t="n"/>
      <c r="N25" s="148" t="n"/>
      <c r="O25" s="148" t="n"/>
      <c r="P25" s="148" t="n"/>
      <c r="Q25" s="148" t="n"/>
      <c r="R25" s="148" t="n"/>
      <c r="S25" s="148" t="n"/>
      <c r="T25" s="170" t="n"/>
      <c r="U25" s="454" t="n"/>
      <c r="V25" s="71" t="n"/>
    </row>
    <row r="26" ht="27" customHeight="1" s="419">
      <c r="A26" s="171" t="n"/>
      <c r="B26" s="75" t="n"/>
      <c r="C26" s="76" t="n"/>
      <c r="D26" s="492" t="inlineStr">
        <is>
          <t>GUARDS_METADATA on TasksController</t>
        </is>
      </c>
      <c r="E26" s="80" t="n"/>
      <c r="F26" s="148" t="n"/>
      <c r="G26" s="148" t="n"/>
      <c r="H26" s="148" t="n"/>
      <c r="I26" s="493" t="inlineStr">
        <is>
          <t>O</t>
        </is>
      </c>
      <c r="J26" s="148" t="n"/>
      <c r="K26" s="148" t="n"/>
      <c r="L26" s="148" t="n"/>
      <c r="M26" s="148" t="n"/>
      <c r="N26" s="148" t="n"/>
      <c r="O26" s="148" t="n"/>
      <c r="P26" s="148" t="n"/>
      <c r="Q26" s="148" t="n"/>
      <c r="R26" s="148" t="n"/>
      <c r="S26" s="148" t="n"/>
      <c r="T26" s="170" t="n"/>
      <c r="U26" s="454" t="n"/>
      <c r="V26" s="71" t="n"/>
    </row>
    <row r="27" ht="13.5" customHeight="1" s="419">
      <c r="A27" s="495" t="inlineStr">
        <is>
          <t>Confirm</t>
        </is>
      </c>
      <c r="B27" s="494" t="inlineStr">
        <is>
          <t>Return</t>
        </is>
      </c>
      <c r="C27" s="76" t="n"/>
      <c r="D27" s="77" t="n"/>
      <c r="E27" s="80" t="n"/>
      <c r="F27" s="148" t="n"/>
      <c r="G27" s="148" t="n"/>
      <c r="H27" s="148" t="n"/>
      <c r="I27" s="148" t="n"/>
      <c r="J27" s="148" t="n"/>
      <c r="K27" s="148" t="n"/>
      <c r="L27" s="148" t="n"/>
      <c r="M27" s="148" t="n"/>
      <c r="N27" s="148" t="n"/>
      <c r="O27" s="148" t="n"/>
      <c r="P27" s="148" t="n"/>
      <c r="Q27" s="148" t="n"/>
      <c r="R27" s="148" t="n"/>
      <c r="S27" s="148" t="n"/>
      <c r="T27" s="170" t="n"/>
      <c r="U27" s="454" t="n"/>
      <c r="V27" s="71" t="n"/>
    </row>
    <row r="28" ht="27" customHeight="1" s="419">
      <c r="A28" s="171" t="n"/>
      <c r="B28" s="75" t="n"/>
      <c r="C28" s="76" t="n"/>
      <c r="D28" s="492" t="inlineStr">
        <is>
          <t>Returns created task submission</t>
        </is>
      </c>
      <c r="E28" s="80" t="n"/>
      <c r="F28" s="493" t="inlineStr">
        <is>
          <t>O</t>
        </is>
      </c>
      <c r="G28" s="148" t="n"/>
      <c r="H28" s="148" t="n"/>
      <c r="I28" s="148" t="n"/>
      <c r="J28" s="148" t="n"/>
      <c r="K28" s="148" t="n"/>
      <c r="L28" s="148" t="n"/>
      <c r="M28" s="148" t="n"/>
      <c r="N28" s="148" t="n"/>
      <c r="O28" s="148" t="n"/>
      <c r="P28" s="148" t="n"/>
      <c r="Q28" s="148" t="n"/>
      <c r="R28" s="148" t="n"/>
      <c r="S28" s="148" t="n"/>
      <c r="T28" s="170" t="n"/>
      <c r="U28" s="454" t="n"/>
      <c r="V28" s="71" t="n"/>
    </row>
    <row r="29" ht="27" customHeight="1" s="419">
      <c r="A29" s="171" t="n"/>
      <c r="B29" s="75" t="n"/>
      <c r="C29" s="76" t="n"/>
      <c r="D29" s="492" t="inlineStr">
        <is>
          <t>Returns created submission with empty attachments</t>
        </is>
      </c>
      <c r="E29" s="80" t="n"/>
      <c r="F29" s="148" t="n"/>
      <c r="G29" s="493" t="inlineStr">
        <is>
          <t>O</t>
        </is>
      </c>
      <c r="H29" s="148" t="n"/>
      <c r="I29" s="148" t="n"/>
      <c r="J29" s="148" t="n"/>
      <c r="K29" s="148" t="n"/>
      <c r="L29" s="148" t="n"/>
      <c r="M29" s="148" t="n"/>
      <c r="N29" s="148" t="n"/>
      <c r="O29" s="148" t="n"/>
      <c r="P29" s="148" t="n"/>
      <c r="Q29" s="148" t="n"/>
      <c r="R29" s="148" t="n"/>
      <c r="S29" s="148" t="n"/>
      <c r="T29" s="170" t="n"/>
      <c r="U29" s="454" t="n"/>
      <c r="V29" s="71" t="n"/>
    </row>
    <row r="30" ht="27" customHeight="1" s="419">
      <c r="A30" s="171" t="n"/>
      <c r="B30" s="75" t="n"/>
      <c r="C30" s="76" t="n"/>
      <c r="D30" s="492" t="inlineStr">
        <is>
          <t>Returns created submission with SYSTEM actor</t>
        </is>
      </c>
      <c r="E30" s="80" t="n"/>
      <c r="F30" s="148" t="n"/>
      <c r="G30" s="148" t="n"/>
      <c r="H30" s="493" t="inlineStr">
        <is>
          <t>O</t>
        </is>
      </c>
      <c r="I30" s="148" t="n"/>
      <c r="J30" s="148" t="n"/>
      <c r="K30" s="148" t="n"/>
      <c r="L30" s="148" t="n"/>
      <c r="M30" s="148" t="n"/>
      <c r="N30" s="148" t="n"/>
      <c r="O30" s="148" t="n"/>
      <c r="P30" s="148" t="n"/>
      <c r="Q30" s="148" t="n"/>
      <c r="R30" s="148" t="n"/>
      <c r="S30" s="148" t="n"/>
      <c r="T30" s="170" t="n"/>
      <c r="U30" s="454" t="n"/>
      <c r="V30" s="71" t="n"/>
    </row>
    <row r="31" ht="27" customHeight="1" s="419">
      <c r="A31" s="171" t="n"/>
      <c r="B31" s="75" t="n"/>
      <c r="C31" s="76" t="n"/>
      <c r="D31" s="492" t="inlineStr">
        <is>
          <t>Guard metadata exists for authenticated access</t>
        </is>
      </c>
      <c r="E31" s="80" t="n"/>
      <c r="F31" s="148" t="n"/>
      <c r="G31" s="148" t="n"/>
      <c r="H31" s="148" t="n"/>
      <c r="I31" s="493" t="inlineStr">
        <is>
          <t>O</t>
        </is>
      </c>
      <c r="J31" s="148" t="n"/>
      <c r="K31" s="148" t="n"/>
      <c r="L31" s="148" t="n"/>
      <c r="M31" s="148" t="n"/>
      <c r="N31" s="148" t="n"/>
      <c r="O31" s="148" t="n"/>
      <c r="P31" s="148" t="n"/>
      <c r="Q31" s="148" t="n"/>
      <c r="R31" s="148" t="n"/>
      <c r="S31" s="148" t="n"/>
      <c r="T31" s="170" t="n"/>
      <c r="U31" s="454" t="n"/>
      <c r="V31" s="71" t="n"/>
    </row>
    <row r="32" ht="13.5" customHeight="1" s="419">
      <c r="A32" s="171" t="n"/>
      <c r="B32" s="494" t="inlineStr">
        <is>
          <t>Log message</t>
        </is>
      </c>
      <c r="C32" s="76" t="n"/>
      <c r="D32" s="77" t="n"/>
      <c r="E32" s="80" t="n"/>
      <c r="F32" s="148" t="n"/>
      <c r="G32" s="148" t="n"/>
      <c r="H32" s="148" t="n"/>
      <c r="I32" s="148" t="n"/>
      <c r="J32" s="148" t="n"/>
      <c r="K32" s="148" t="n"/>
      <c r="L32" s="148" t="n"/>
      <c r="M32" s="148" t="n"/>
      <c r="N32" s="148" t="n"/>
      <c r="O32" s="148" t="n"/>
      <c r="P32" s="148" t="n"/>
      <c r="Q32" s="148" t="n"/>
      <c r="R32" s="148" t="n"/>
      <c r="S32" s="148" t="n"/>
      <c r="T32" s="170" t="n"/>
      <c r="U32" s="454" t="n"/>
      <c r="V32" s="71" t="n"/>
    </row>
    <row r="33" ht="27" customHeight="1" s="419">
      <c r="A33" s="171" t="n"/>
      <c r="B33" s="75" t="n"/>
      <c r="C33" s="76" t="n"/>
      <c r="D33" s="492" t="inlineStr">
        <is>
          <t>EP-283 UTC01 submits work with authenticated user id</t>
        </is>
      </c>
      <c r="E33" s="80" t="n"/>
      <c r="F33" s="493" t="inlineStr">
        <is>
          <t>O</t>
        </is>
      </c>
      <c r="G33" s="148" t="n"/>
      <c r="H33" s="148" t="n"/>
      <c r="I33" s="148" t="n"/>
      <c r="J33" s="148" t="n"/>
      <c r="K33" s="148" t="n"/>
      <c r="L33" s="148" t="n"/>
      <c r="M33" s="148" t="n"/>
      <c r="N33" s="148" t="n"/>
      <c r="O33" s="148" t="n"/>
      <c r="P33" s="148" t="n"/>
      <c r="Q33" s="148" t="n"/>
      <c r="R33" s="148" t="n"/>
      <c r="S33" s="148" t="n"/>
      <c r="T33" s="170" t="n"/>
      <c r="U33" s="454" t="n"/>
      <c r="V33" s="71" t="n"/>
    </row>
    <row r="34" ht="40.5" customHeight="1" s="419">
      <c r="A34" s="171" t="n"/>
      <c r="B34" s="75" t="n"/>
      <c r="C34" s="76" t="n"/>
      <c r="D34" s="492" t="inlineStr">
        <is>
          <t>EP-283 UTC02 forwards empty attachments list for boundary</t>
        </is>
      </c>
      <c r="E34" s="80" t="n"/>
      <c r="F34" s="148" t="n"/>
      <c r="G34" s="493" t="inlineStr">
        <is>
          <t>O</t>
        </is>
      </c>
      <c r="H34" s="148" t="n"/>
      <c r="I34" s="148" t="n"/>
      <c r="J34" s="148" t="n"/>
      <c r="K34" s="148" t="n"/>
      <c r="L34" s="148" t="n"/>
      <c r="M34" s="148" t="n"/>
      <c r="N34" s="148" t="n"/>
      <c r="O34" s="148" t="n"/>
      <c r="P34" s="148" t="n"/>
      <c r="Q34" s="148" t="n"/>
      <c r="R34" s="148" t="n"/>
      <c r="S34" s="148" t="n"/>
      <c r="T34" s="170" t="n"/>
      <c r="U34" s="454" t="n"/>
      <c r="V34" s="71" t="n"/>
    </row>
    <row r="35" ht="40.5" customHeight="1" s="419">
      <c r="A35" s="171" t="n"/>
      <c r="B35" s="75" t="n"/>
      <c r="C35" s="76" t="n"/>
      <c r="D35" s="492" t="inlineStr">
        <is>
          <t>EP-283 UTC03 falls back to SYSTEM actor when request user is unavailable</t>
        </is>
      </c>
      <c r="E35" s="80" t="n"/>
      <c r="F35" s="148" t="n"/>
      <c r="G35" s="148" t="n"/>
      <c r="H35" s="493" t="inlineStr">
        <is>
          <t>O</t>
        </is>
      </c>
      <c r="I35" s="148" t="n"/>
      <c r="J35" s="148" t="n"/>
      <c r="K35" s="148" t="n"/>
      <c r="L35" s="148" t="n"/>
      <c r="M35" s="148" t="n"/>
      <c r="N35" s="148" t="n"/>
      <c r="O35" s="148" t="n"/>
      <c r="P35" s="148" t="n"/>
      <c r="Q35" s="148" t="n"/>
      <c r="R35" s="148" t="n"/>
      <c r="S35" s="148" t="n"/>
      <c r="T35" s="170" t="n"/>
      <c r="U35" s="454" t="n"/>
      <c r="V35" s="71" t="n"/>
    </row>
    <row r="36" ht="40.5" customHeight="1" s="419">
      <c r="A36" s="171" t="n"/>
      <c r="B36" s="75" t="n"/>
      <c r="C36" s="76" t="n"/>
      <c r="D36" s="492" t="inlineStr">
        <is>
          <t>EP-283 UTC04 is protected by JwtAuthGuard at controller level</t>
        </is>
      </c>
      <c r="E36" s="80" t="n"/>
      <c r="F36" s="148" t="n"/>
      <c r="G36" s="148" t="n"/>
      <c r="H36" s="148" t="n"/>
      <c r="I36" s="493" t="inlineStr">
        <is>
          <t>O</t>
        </is>
      </c>
      <c r="J36" s="148" t="n"/>
      <c r="K36" s="148" t="n"/>
      <c r="L36" s="148" t="n"/>
      <c r="M36" s="148" t="n"/>
      <c r="N36" s="148" t="n"/>
      <c r="O36" s="148" t="n"/>
      <c r="P36" s="148" t="n"/>
      <c r="Q36" s="148" t="n"/>
      <c r="R36" s="148" t="n"/>
      <c r="S36" s="148" t="n"/>
      <c r="T36" s="170" t="n"/>
      <c r="U36" s="454" t="n"/>
      <c r="V36" s="71" t="n"/>
    </row>
    <row r="37" ht="13.5" customHeight="1" s="419">
      <c r="A37" s="495" t="inlineStr">
        <is>
          <t>Result</t>
        </is>
      </c>
      <c r="B37" s="494" t="inlineStr">
        <is>
          <t>Type(N : Normal, A : Abnormal, B : Boundary)</t>
        </is>
      </c>
      <c r="C37" s="76" t="n"/>
      <c r="D37" s="77" t="n"/>
      <c r="E37" s="80" t="n"/>
      <c r="F37" s="493" t="inlineStr">
        <is>
          <t>N</t>
        </is>
      </c>
      <c r="G37" s="493" t="inlineStr">
        <is>
          <t>B</t>
        </is>
      </c>
      <c r="H37" s="493" t="inlineStr">
        <is>
          <t>A</t>
        </is>
      </c>
      <c r="I37" s="493" t="inlineStr">
        <is>
          <t>A</t>
        </is>
      </c>
      <c r="J37" s="148" t="n"/>
      <c r="K37" s="148" t="n"/>
      <c r="L37" s="148" t="n"/>
      <c r="M37" s="148" t="n"/>
      <c r="N37" s="148" t="n"/>
      <c r="O37" s="148" t="n"/>
      <c r="P37" s="148" t="n"/>
      <c r="Q37" s="148" t="n"/>
      <c r="R37" s="148" t="n"/>
      <c r="S37" s="148" t="n"/>
      <c r="T37" s="170" t="n"/>
      <c r="U37" s="454" t="n"/>
      <c r="V37" s="71" t="n"/>
    </row>
    <row r="38" ht="13.5" customHeight="1" s="419">
      <c r="A38" s="171" t="n"/>
      <c r="B38" s="494" t="inlineStr">
        <is>
          <t>Passed/Failed</t>
        </is>
      </c>
      <c r="C38" s="76" t="n"/>
      <c r="D38" s="77" t="n"/>
      <c r="E38" s="81" t="n"/>
      <c r="F38" s="496" t="inlineStr">
        <is>
          <t>P</t>
        </is>
      </c>
      <c r="G38" s="496" t="inlineStr">
        <is>
          <t>P</t>
        </is>
      </c>
      <c r="H38" s="496" t="inlineStr">
        <is>
          <t>P</t>
        </is>
      </c>
      <c r="I38" s="496" t="inlineStr">
        <is>
          <t>P</t>
        </is>
      </c>
      <c r="J38" s="79" t="n"/>
      <c r="K38" s="79" t="n"/>
      <c r="L38" s="79" t="n"/>
      <c r="M38" s="79" t="n"/>
      <c r="N38" s="79" t="n"/>
      <c r="O38" s="79" t="n"/>
      <c r="P38" s="79" t="n"/>
      <c r="Q38" s="79" t="n"/>
      <c r="R38" s="79" t="n"/>
      <c r="S38" s="79" t="n"/>
      <c r="T38" s="195" t="n"/>
      <c r="U38" s="454" t="n"/>
      <c r="V38" s="454" t="n"/>
    </row>
    <row r="39" ht="42" customHeight="1" s="419">
      <c r="A39" s="171" t="n"/>
      <c r="B39" s="494" t="inlineStr">
        <is>
          <t>Executed Date</t>
        </is>
      </c>
      <c r="C39" s="76" t="n"/>
      <c r="D39" s="77" t="n"/>
      <c r="E39" s="80" t="n"/>
      <c r="F39" s="497" t="inlineStr">
        <is>
          <t>04-06</t>
        </is>
      </c>
      <c r="G39" s="497" t="inlineStr">
        <is>
          <t>04-06</t>
        </is>
      </c>
      <c r="H39" s="497" t="inlineStr">
        <is>
          <t>04-06</t>
        </is>
      </c>
      <c r="I39" s="497" t="inlineStr">
        <is>
          <t>04-06</t>
        </is>
      </c>
      <c r="J39" s="148" t="n"/>
      <c r="K39" s="148" t="n"/>
      <c r="L39" s="148" t="n"/>
      <c r="M39" s="148" t="n"/>
      <c r="N39" s="148" t="n"/>
      <c r="O39" s="148" t="n"/>
      <c r="P39" s="148" t="n"/>
      <c r="Q39" s="148" t="n"/>
      <c r="R39" s="148" t="n"/>
      <c r="S39" s="148" t="n"/>
      <c r="T39" s="170" t="n"/>
      <c r="U39" s="454" t="n"/>
      <c r="V39" s="71" t="n"/>
    </row>
    <row r="40" ht="13.5" customHeight="1" s="419">
      <c r="A40" s="171" t="n"/>
      <c r="B40" s="494" t="inlineStr">
        <is>
          <t>Defect ID</t>
        </is>
      </c>
      <c r="C40" s="76" t="n"/>
      <c r="D40" s="77" t="n"/>
      <c r="E40" s="80" t="n"/>
      <c r="F40" s="493" t="inlineStr"/>
      <c r="G40" s="493" t="inlineStr"/>
      <c r="H40" s="493" t="inlineStr"/>
      <c r="I40" s="493" t="inlineStr"/>
      <c r="J40" s="148" t="n"/>
      <c r="K40" s="148" t="n"/>
      <c r="L40" s="148" t="n"/>
      <c r="M40" s="148" t="n"/>
      <c r="N40" s="148" t="n"/>
      <c r="O40" s="148" t="n"/>
      <c r="P40" s="148" t="n"/>
      <c r="Q40" s="148" t="n"/>
      <c r="R40" s="148" t="n"/>
      <c r="S40" s="148" t="n"/>
      <c r="T40" s="170" t="n"/>
      <c r="U40" s="454" t="n"/>
      <c r="V40" s="71" t="n"/>
    </row>
    <row r="41" ht="13.5" customHeight="1" s="419"/>
    <row r="42" ht="13.5" customHeight="1" s="419"/>
    <row r="43" ht="13.5" customHeight="1" s="419"/>
    <row r="44" ht="13.5" customHeight="1" s="419"/>
    <row r="45" ht="13.5" customHeight="1" s="419"/>
    <row r="46" ht="13.5" customHeight="1" s="419"/>
    <row r="47" ht="13.5" customHeight="1" s="419"/>
    <row r="48" ht="13.5" customHeight="1" s="419"/>
    <row r="49" ht="13.5" customHeight="1" s="419"/>
    <row r="50" ht="13.5" customHeight="1" s="419"/>
    <row r="51" ht="13.5" customHeight="1" s="419"/>
    <row r="52" ht="13.5" customHeight="1" s="419"/>
    <row r="53" ht="13.5" customHeight="1" s="419"/>
    <row r="54" ht="13.5" customHeight="1" s="419"/>
    <row r="55" ht="13.5" customHeight="1" s="419"/>
    <row r="56" ht="13.5" customHeight="1" s="419"/>
    <row r="57" ht="13.5" customHeight="1" s="419"/>
    <row r="58" ht="13.5" customHeight="1" s="419"/>
    <row r="59" ht="13.5" customHeight="1" s="419"/>
    <row r="60" ht="13.5" customHeight="1" s="419"/>
    <row r="61" ht="13.5" customHeight="1" s="419"/>
    <row r="62" ht="13.5" customHeight="1" s="419"/>
    <row r="63" ht="13.5" customHeight="1" s="419"/>
    <row r="64" ht="13.5" customHeight="1" s="419"/>
    <row r="65" ht="13.5" customHeight="1" s="419" thickBot="1"/>
    <row r="66" ht="13.5" customHeight="1" s="419" thickTop="1"/>
    <row r="67" ht="13.5" customHeight="1" s="419"/>
    <row r="68" ht="71.5" customHeight="1" s="419"/>
    <row r="69" ht="10.5" customHeight="1" s="419" thickBot="1"/>
  </sheetData>
  <mergeCells count="27">
    <mergeCell ref="B67:D67"/>
    <mergeCell ref="F2:K2"/>
    <mergeCell ref="B69:D69"/>
    <mergeCell ref="A6:B6"/>
    <mergeCell ref="C4:D4"/>
    <mergeCell ref="C2:E2"/>
    <mergeCell ref="L4:T4"/>
    <mergeCell ref="A7:B7"/>
    <mergeCell ref="B68:D68"/>
    <mergeCell ref="C7:E7"/>
    <mergeCell ref="L6:N6"/>
    <mergeCell ref="A3:B3"/>
    <mergeCell ref="A2:B2"/>
    <mergeCell ref="A5:B5"/>
    <mergeCell ref="C3:E3"/>
    <mergeCell ref="F4:K4"/>
    <mergeCell ref="O7:T7"/>
    <mergeCell ref="C6:E6"/>
    <mergeCell ref="A4:B4"/>
    <mergeCell ref="L2:T2"/>
    <mergeCell ref="O6:T6"/>
    <mergeCell ref="B66:D66"/>
    <mergeCell ref="F6:K6"/>
    <mergeCell ref="F7:K7"/>
    <mergeCell ref="C5:T5"/>
    <mergeCell ref="L3:T3"/>
    <mergeCell ref="F3:K3"/>
  </mergeCells>
  <pageMargins left="0.75" right="0.75" top="0.75" bottom="0.75" header="0.5" footer="0.5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43"/>
  <sheetViews>
    <sheetView zoomScale="145" zoomScaleNormal="145" workbookViewId="0">
      <selection activeCell="A1" sqref="A1"/>
    </sheetView>
  </sheetViews>
  <sheetFormatPr baseColWidth="8" defaultColWidth="9" defaultRowHeight="13.5" customHeight="1"/>
  <cols>
    <col width="8.1796875" customWidth="1" style="69" min="1" max="1"/>
    <col width="13.453125" customWidth="1" style="73" min="2" max="2"/>
    <col width="10.81640625" customWidth="1" style="69" min="3" max="3"/>
    <col width="26.6328125" customWidth="1" style="403" min="4" max="4"/>
    <col hidden="1" width="1.81640625" customWidth="1" style="69" min="5" max="5"/>
    <col width="2.81640625" bestFit="1" customWidth="1" style="69" min="6" max="11"/>
    <col width="13" customWidth="1" style="419" min="7" max="7"/>
    <col width="13" customWidth="1" style="419" min="8" max="8"/>
    <col width="13" customWidth="1" style="419" min="9" max="9"/>
    <col width="13" customWidth="1" style="419" min="10" max="10"/>
    <col width="13" customWidth="1" style="419" min="11" max="11"/>
    <col width="2.81640625" customWidth="1" style="69" min="12" max="19"/>
    <col width="13" customWidth="1" style="419" min="13" max="13"/>
    <col width="13" customWidth="1" style="419" min="14" max="14"/>
    <col width="13" customWidth="1" style="419" min="15" max="15"/>
    <col width="13" customWidth="1" style="419" min="16" max="16"/>
    <col width="13" customWidth="1" style="419" min="17" max="17"/>
    <col width="13" customWidth="1" style="419" min="18" max="18"/>
    <col width="13" customWidth="1" style="419" min="19" max="19"/>
    <col width="2.81640625" bestFit="1" customWidth="1" style="69" min="20" max="20"/>
    <col hidden="1" width="2.81640625" customWidth="1" style="69" min="21" max="21"/>
    <col hidden="1" width="11" customWidth="1" style="69" min="22" max="256"/>
    <col width="9" customWidth="1" style="69" min="257" max="16384"/>
  </cols>
  <sheetData>
    <row r="1" ht="13.5" customHeight="1" s="419" thickBot="1">
      <c r="A1" s="67" t="n"/>
      <c r="B1" s="68" t="n"/>
    </row>
    <row r="2" ht="13.5" customHeight="1" s="419">
      <c r="A2" s="346" t="inlineStr">
        <is>
          <t>Function Code</t>
        </is>
      </c>
      <c r="B2" s="458" t="n"/>
      <c r="C2" s="459" t="inlineStr">
        <is>
          <t>EP-284</t>
        </is>
      </c>
      <c r="D2" s="458" t="n"/>
      <c r="E2" s="460" t="n"/>
      <c r="F2" s="404" t="inlineStr">
        <is>
          <t>Function Name</t>
        </is>
      </c>
      <c r="G2" s="461" t="n"/>
      <c r="H2" s="461" t="n"/>
      <c r="I2" s="461" t="n"/>
      <c r="J2" s="461" t="n"/>
      <c r="K2" s="461" t="n"/>
      <c r="L2" s="462" t="inlineStr">
        <is>
          <t>Review Submission</t>
        </is>
      </c>
      <c r="M2" s="458" t="n"/>
      <c r="N2" s="458" t="n"/>
      <c r="O2" s="458" t="n"/>
      <c r="P2" s="458" t="n"/>
      <c r="Q2" s="458" t="n"/>
      <c r="R2" s="458" t="n"/>
      <c r="S2" s="458" t="n"/>
      <c r="T2" s="463" t="n"/>
      <c r="V2" s="71" t="n"/>
    </row>
    <row r="3" ht="13.5" customHeight="1" s="419">
      <c r="A3" s="464" t="inlineStr">
        <is>
          <t>Created By</t>
        </is>
      </c>
      <c r="B3" s="421" t="n"/>
      <c r="C3" s="465" t="inlineStr">
        <is>
          <t>GitHub Copilot</t>
        </is>
      </c>
      <c r="D3" s="430" t="n"/>
      <c r="E3" s="466" t="n"/>
      <c r="F3" s="467" t="inlineStr">
        <is>
          <t>Executed By</t>
        </is>
      </c>
      <c r="G3" s="468" t="n"/>
      <c r="H3" s="468" t="n"/>
      <c r="I3" s="468" t="n"/>
      <c r="J3" s="468" t="n"/>
      <c r="K3" s="469" t="n"/>
      <c r="L3" s="470" t="inlineStr">
        <is>
          <t>GitHub Copilot</t>
        </is>
      </c>
      <c r="M3" s="471" t="n"/>
      <c r="N3" s="471" t="n"/>
      <c r="O3" s="471" t="n"/>
      <c r="P3" s="471" t="n"/>
      <c r="Q3" s="471" t="n"/>
      <c r="R3" s="471" t="n"/>
      <c r="S3" s="471" t="n"/>
      <c r="T3" s="472" t="n"/>
    </row>
    <row r="4" ht="13.5" customHeight="1" s="419">
      <c r="A4" s="464" t="inlineStr">
        <is>
          <t>Lines  of code</t>
        </is>
      </c>
      <c r="B4" s="421" t="n"/>
      <c r="C4" s="473" t="n">
        <v>30</v>
      </c>
      <c r="D4" s="420" t="n"/>
      <c r="E4" s="353" t="n"/>
      <c r="F4" s="467" t="inlineStr">
        <is>
          <t>Lack of test cases</t>
        </is>
      </c>
      <c r="G4" s="468" t="n"/>
      <c r="H4" s="468" t="n"/>
      <c r="I4" s="468" t="n"/>
      <c r="J4" s="468" t="n"/>
      <c r="K4" s="469" t="n"/>
      <c r="L4" s="474" t="n">
        <v>0</v>
      </c>
      <c r="M4" s="420" t="n"/>
      <c r="N4" s="420" t="n"/>
      <c r="O4" s="420" t="n"/>
      <c r="P4" s="420" t="n"/>
      <c r="Q4" s="420" t="n"/>
      <c r="R4" s="420" t="n"/>
      <c r="S4" s="420" t="n"/>
      <c r="T4" s="475" t="n"/>
      <c r="V4" s="71" t="n"/>
    </row>
    <row r="5" ht="13.5" customHeight="1" s="419">
      <c r="A5" s="464" t="inlineStr">
        <is>
          <t>Test requirement</t>
        </is>
      </c>
      <c r="B5" s="421" t="n"/>
      <c r="C5" s="476" t="inlineStr">
        <is>
          <t>Verify reviewSubmission: valid, edge, error, and auth cases for EP-284.</t>
        </is>
      </c>
      <c r="D5" s="420" t="n"/>
      <c r="E5" s="420" t="n"/>
      <c r="F5" s="420" t="n"/>
      <c r="G5" s="420" t="n"/>
      <c r="H5" s="420" t="n"/>
      <c r="I5" s="420" t="n"/>
      <c r="J5" s="420" t="n"/>
      <c r="K5" s="420" t="n"/>
      <c r="L5" s="420" t="n"/>
      <c r="M5" s="420" t="n"/>
      <c r="N5" s="420" t="n"/>
      <c r="O5" s="420" t="n"/>
      <c r="P5" s="420" t="n"/>
      <c r="Q5" s="420" t="n"/>
      <c r="R5" s="420" t="n"/>
      <c r="S5" s="420" t="n"/>
      <c r="T5" s="475" t="n"/>
    </row>
    <row r="6" ht="13.5" customHeight="1" s="419">
      <c r="A6" s="477" t="inlineStr">
        <is>
          <t>Passed</t>
        </is>
      </c>
      <c r="B6" s="421" t="n"/>
      <c r="C6" s="478" t="inlineStr">
        <is>
          <t>Failed</t>
        </is>
      </c>
      <c r="D6" s="420" t="n"/>
      <c r="E6" s="421" t="n"/>
      <c r="F6" s="479" t="inlineStr">
        <is>
          <t>Untested</t>
        </is>
      </c>
      <c r="G6" s="420" t="n"/>
      <c r="H6" s="420" t="n"/>
      <c r="I6" s="420" t="n"/>
      <c r="J6" s="420" t="n"/>
      <c r="K6" s="480" t="n"/>
      <c r="L6" s="312" t="inlineStr">
        <is>
          <t>N/A/B</t>
        </is>
      </c>
      <c r="M6" s="420" t="n"/>
      <c r="N6" s="420" t="n"/>
      <c r="O6" s="481" t="inlineStr">
        <is>
          <t>Total Test Cases</t>
        </is>
      </c>
      <c r="P6" s="420" t="n"/>
      <c r="Q6" s="420" t="n"/>
      <c r="R6" s="420" t="n"/>
      <c r="S6" s="420" t="n"/>
      <c r="T6" s="482" t="n"/>
      <c r="V6" s="71" t="n"/>
    </row>
    <row r="7" ht="13.5" customHeight="1" s="419" thickBot="1">
      <c r="A7" s="483">
        <f>COUNTIF(F41:I41,"P")</f>
        <v/>
      </c>
      <c r="B7" s="484" t="n"/>
      <c r="C7" s="485">
        <f>COUNTIF(F41:I41,"F")</f>
        <v/>
      </c>
      <c r="D7" s="486" t="n"/>
      <c r="E7" s="484" t="n"/>
      <c r="F7" s="487">
        <f>COUNTIF(F41:I41,"U")</f>
        <v/>
      </c>
      <c r="G7" s="486" t="n"/>
      <c r="H7" s="486" t="n"/>
      <c r="I7" s="486" t="n"/>
      <c r="J7" s="486" t="n"/>
      <c r="K7" s="488" t="n"/>
      <c r="L7" s="489">
        <f>COUNTIF(F40:I40,"N")</f>
        <v/>
      </c>
      <c r="M7" s="489">
        <f>COUNTIF(F40:I40,"A")</f>
        <v/>
      </c>
      <c r="N7" s="489">
        <f>COUNTIF(F40:I40,"B")</f>
        <v/>
      </c>
      <c r="O7" s="490">
        <f>COUNTA(F9:I9)</f>
        <v/>
      </c>
      <c r="P7" s="486" t="n"/>
      <c r="Q7" s="486" t="n"/>
      <c r="R7" s="486" t="n"/>
      <c r="S7" s="486" t="n"/>
      <c r="T7" s="491" t="n"/>
      <c r="U7" s="72" t="n"/>
    </row>
    <row r="8" ht="10.5" customHeight="1" s="419" thickBot="1"/>
    <row r="9" ht="45" customHeight="1" s="419" thickBot="1" thickTop="1">
      <c r="A9" s="189" t="n"/>
      <c r="B9" s="165" t="n"/>
      <c r="C9" s="166" t="n"/>
      <c r="D9" s="167" t="n"/>
      <c r="E9" s="166" t="n"/>
      <c r="F9" s="168" t="inlineStr">
        <is>
          <t>UTC01</t>
        </is>
      </c>
      <c r="G9" s="168" t="inlineStr">
        <is>
          <t>UTC02</t>
        </is>
      </c>
      <c r="H9" s="168" t="inlineStr">
        <is>
          <t>UTC03</t>
        </is>
      </c>
      <c r="I9" s="168" t="inlineStr">
        <is>
          <t>UTC04</t>
        </is>
      </c>
      <c r="J9" s="168" t="n"/>
      <c r="K9" s="168" t="n"/>
      <c r="L9" s="168" t="n"/>
      <c r="M9" s="168" t="n"/>
      <c r="N9" s="168" t="n"/>
      <c r="O9" s="168" t="n"/>
      <c r="P9" s="168" t="n"/>
      <c r="Q9" s="168" t="n"/>
      <c r="R9" s="168" t="n"/>
      <c r="S9" s="168" t="n"/>
      <c r="T9" s="169" t="n"/>
      <c r="U9" s="74" t="n"/>
      <c r="V9" s="71" t="n"/>
    </row>
    <row r="10" ht="13.5" customHeight="1" s="419">
      <c r="A10" s="183" t="inlineStr">
        <is>
          <t>Condition</t>
        </is>
      </c>
      <c r="B10" s="184" t="inlineStr">
        <is>
          <t>Precondition</t>
        </is>
      </c>
      <c r="C10" s="76" t="n"/>
      <c r="D10" s="77" t="n"/>
      <c r="E10" s="78" t="n"/>
      <c r="F10" s="79" t="n"/>
      <c r="G10" s="79" t="n"/>
      <c r="H10" s="79" t="n"/>
      <c r="I10" s="79" t="n"/>
      <c r="J10" s="79" t="n"/>
      <c r="K10" s="79" t="n"/>
      <c r="L10" s="79" t="n"/>
      <c r="M10" s="79" t="n"/>
      <c r="N10" s="79" t="n"/>
      <c r="O10" s="79" t="n"/>
      <c r="P10" s="79" t="n"/>
      <c r="Q10" s="79" t="n"/>
      <c r="R10" s="79" t="n"/>
      <c r="S10" s="79" t="n"/>
      <c r="T10" s="195" t="n"/>
    </row>
    <row r="11" ht="13.5" customHeight="1" s="419">
      <c r="A11" s="171" t="n"/>
      <c r="B11" s="75" t="n"/>
      <c r="C11" s="76" t="n"/>
      <c r="D11" s="492" t="inlineStr">
        <is>
          <t>reviewer has CLIENT</t>
        </is>
      </c>
      <c r="E11" s="80" t="n"/>
      <c r="F11" s="493" t="inlineStr">
        <is>
          <t>O</t>
        </is>
      </c>
      <c r="G11" s="148" t="n"/>
      <c r="H11" s="148" t="n"/>
      <c r="I11" s="148" t="n"/>
      <c r="J11" s="148" t="n"/>
      <c r="K11" s="148" t="n"/>
      <c r="L11" s="148" t="n"/>
      <c r="M11" s="148" t="n"/>
      <c r="N11" s="148" t="n"/>
      <c r="O11" s="148" t="n"/>
      <c r="P11" s="148" t="n"/>
      <c r="Q11" s="148" t="n"/>
      <c r="R11" s="148" t="n"/>
      <c r="S11" s="148" t="n"/>
      <c r="T11" s="170" t="n"/>
      <c r="U11" s="454" t="n"/>
      <c r="V11" s="71" t="n"/>
    </row>
    <row r="12" ht="27" customHeight="1" s="419">
      <c r="A12" s="171" t="n"/>
      <c r="B12" s="75" t="n"/>
      <c r="C12" s="76" t="n"/>
      <c r="D12" s="492" t="inlineStr">
        <is>
          <t>Task "task-1" and submission "submission-1" exist</t>
        </is>
      </c>
      <c r="E12" s="80" t="n"/>
      <c r="F12" s="493" t="inlineStr">
        <is>
          <t>O</t>
        </is>
      </c>
      <c r="G12" s="493" t="inlineStr">
        <is>
          <t>O</t>
        </is>
      </c>
      <c r="H12" s="148" t="n"/>
      <c r="I12" s="148" t="n"/>
      <c r="J12" s="148" t="n"/>
      <c r="K12" s="148" t="n"/>
      <c r="L12" s="148" t="n"/>
      <c r="M12" s="148" t="n"/>
      <c r="N12" s="148" t="n"/>
      <c r="O12" s="148" t="n"/>
      <c r="P12" s="148" t="n"/>
      <c r="Q12" s="148" t="n"/>
      <c r="R12" s="148" t="n"/>
      <c r="S12" s="148" t="n"/>
      <c r="T12" s="170" t="n"/>
      <c r="U12" s="454" t="n"/>
      <c r="V12" s="71" t="n"/>
    </row>
    <row r="13" ht="27" customHeight="1" s="419">
      <c r="A13" s="171" t="n"/>
      <c r="B13" s="75" t="n"/>
      <c r="C13" s="76" t="n"/>
      <c r="D13" s="492" t="inlineStr">
        <is>
          <t>reviewer has value "broker"</t>
        </is>
      </c>
      <c r="E13" s="80" t="n"/>
      <c r="F13" s="148" t="n"/>
      <c r="G13" s="493" t="inlineStr">
        <is>
          <t>O</t>
        </is>
      </c>
      <c r="H13" s="148" t="n"/>
      <c r="I13" s="148" t="n"/>
      <c r="J13" s="148" t="n"/>
      <c r="K13" s="148" t="n"/>
      <c r="L13" s="148" t="n"/>
      <c r="M13" s="148" t="n"/>
      <c r="N13" s="148" t="n"/>
      <c r="O13" s="148" t="n"/>
      <c r="P13" s="148" t="n"/>
      <c r="Q13" s="148" t="n"/>
      <c r="R13" s="148" t="n"/>
      <c r="S13" s="148" t="n"/>
      <c r="T13" s="170" t="n"/>
      <c r="U13" s="454" t="n"/>
      <c r="V13" s="71" t="n"/>
    </row>
    <row r="14" ht="27" customHeight="1" s="419">
      <c r="A14" s="171" t="n"/>
      <c r="B14" s="75" t="n"/>
      <c r="C14" s="76" t="n"/>
      <c r="D14" s="492" t="inlineStr">
        <is>
          <t>No authenticated reviewer is present</t>
        </is>
      </c>
      <c r="E14" s="80" t="n"/>
      <c r="F14" s="148" t="n"/>
      <c r="G14" s="148" t="n"/>
      <c r="H14" s="493" t="inlineStr">
        <is>
          <t>O</t>
        </is>
      </c>
      <c r="I14" s="148" t="n"/>
      <c r="J14" s="148" t="n"/>
      <c r="K14" s="148" t="n"/>
      <c r="L14" s="148" t="n"/>
      <c r="M14" s="148" t="n"/>
      <c r="N14" s="148" t="n"/>
      <c r="O14" s="148" t="n"/>
      <c r="P14" s="148" t="n"/>
      <c r="Q14" s="148" t="n"/>
      <c r="R14" s="148" t="n"/>
      <c r="S14" s="148" t="n"/>
      <c r="T14" s="170" t="n"/>
      <c r="U14" s="454" t="n"/>
      <c r="V14" s="71" t="n"/>
    </row>
    <row r="15" ht="13.5" customHeight="1" s="419">
      <c r="A15" s="171" t="n"/>
      <c r="B15" s="75" t="n"/>
      <c r="C15" s="76" t="n"/>
      <c r="D15" s="492" t="inlineStr">
        <is>
          <t>reviewer has FREELANCER</t>
        </is>
      </c>
      <c r="E15" s="80" t="n"/>
      <c r="F15" s="148" t="n"/>
      <c r="G15" s="148" t="n"/>
      <c r="H15" s="148" t="n"/>
      <c r="I15" s="493" t="inlineStr">
        <is>
          <t>O</t>
        </is>
      </c>
      <c r="J15" s="148" t="n"/>
      <c r="K15" s="148" t="n"/>
      <c r="L15" s="148" t="n"/>
      <c r="M15" s="148" t="n"/>
      <c r="N15" s="148" t="n"/>
      <c r="O15" s="148" t="n"/>
      <c r="P15" s="148" t="n"/>
      <c r="Q15" s="148" t="n"/>
      <c r="R15" s="148" t="n"/>
      <c r="S15" s="148" t="n"/>
      <c r="T15" s="170" t="n"/>
      <c r="U15" s="454" t="n"/>
      <c r="V15" s="71" t="n"/>
    </row>
    <row r="16" ht="13.5" customHeight="1" s="419">
      <c r="A16" s="171" t="n"/>
      <c r="B16" s="494" t="inlineStr">
        <is>
          <t>id</t>
        </is>
      </c>
      <c r="C16" s="76" t="n"/>
      <c r="D16" s="77" t="n"/>
      <c r="E16" s="80" t="n"/>
      <c r="F16" s="148" t="n"/>
      <c r="G16" s="148" t="n"/>
      <c r="H16" s="148" t="n"/>
      <c r="I16" s="148" t="n"/>
      <c r="J16" s="148" t="n"/>
      <c r="K16" s="148" t="n"/>
      <c r="L16" s="148" t="n"/>
      <c r="M16" s="148" t="n"/>
      <c r="N16" s="148" t="n"/>
      <c r="O16" s="148" t="n"/>
      <c r="P16" s="148" t="n"/>
      <c r="Q16" s="148" t="n"/>
      <c r="R16" s="148" t="n"/>
      <c r="S16" s="148" t="n"/>
      <c r="T16" s="170" t="n"/>
      <c r="U16" s="454" t="n"/>
      <c r="V16" s="71" t="n"/>
    </row>
    <row r="17" ht="13.5" customHeight="1" s="419">
      <c r="A17" s="171" t="n"/>
      <c r="B17" s="75" t="n"/>
      <c r="C17" s="76" t="n"/>
      <c r="D17" s="492" t="inlineStr">
        <is>
          <t>task-1</t>
        </is>
      </c>
      <c r="E17" s="80" t="n"/>
      <c r="F17" s="493" t="inlineStr">
        <is>
          <t>O</t>
        </is>
      </c>
      <c r="G17" s="493" t="inlineStr">
        <is>
          <t>O</t>
        </is>
      </c>
      <c r="H17" s="493" t="inlineStr">
        <is>
          <t>O</t>
        </is>
      </c>
      <c r="I17" s="493" t="inlineStr">
        <is>
          <t>O</t>
        </is>
      </c>
      <c r="J17" s="148" t="n"/>
      <c r="K17" s="148" t="n"/>
      <c r="L17" s="148" t="n"/>
      <c r="M17" s="148" t="n"/>
      <c r="N17" s="148" t="n"/>
      <c r="O17" s="148" t="n"/>
      <c r="P17" s="148" t="n"/>
      <c r="Q17" s="148" t="n"/>
      <c r="R17" s="148" t="n"/>
      <c r="S17" s="148" t="n"/>
      <c r="T17" s="170" t="n"/>
      <c r="U17" s="454" t="n"/>
      <c r="V17" s="71" t="n"/>
    </row>
    <row r="18" ht="13.5" customHeight="1" s="419">
      <c r="A18" s="171" t="n"/>
      <c r="B18" s="494" t="inlineStr">
        <is>
          <t>submissionId</t>
        </is>
      </c>
      <c r="C18" s="76" t="n"/>
      <c r="D18" s="77" t="n"/>
      <c r="E18" s="80" t="n"/>
      <c r="F18" s="148" t="n"/>
      <c r="G18" s="148" t="n"/>
      <c r="H18" s="148" t="n"/>
      <c r="I18" s="148" t="n"/>
      <c r="J18" s="148" t="n"/>
      <c r="K18" s="148" t="n"/>
      <c r="L18" s="148" t="n"/>
      <c r="M18" s="148" t="n"/>
      <c r="N18" s="148" t="n"/>
      <c r="O18" s="148" t="n"/>
      <c r="P18" s="148" t="n"/>
      <c r="Q18" s="148" t="n"/>
      <c r="R18" s="148" t="n"/>
      <c r="S18" s="148" t="n"/>
      <c r="T18" s="170" t="n"/>
      <c r="U18" s="454" t="n"/>
      <c r="V18" s="71" t="n"/>
    </row>
    <row r="19" ht="13.5" customHeight="1" s="419">
      <c r="A19" s="171" t="n"/>
      <c r="B19" s="75" t="n"/>
      <c r="C19" s="76" t="n"/>
      <c r="D19" s="492" t="inlineStr">
        <is>
          <t>submission-1</t>
        </is>
      </c>
      <c r="E19" s="80" t="n"/>
      <c r="F19" s="493" t="inlineStr">
        <is>
          <t>O</t>
        </is>
      </c>
      <c r="G19" s="493" t="inlineStr">
        <is>
          <t>O</t>
        </is>
      </c>
      <c r="H19" s="493" t="inlineStr">
        <is>
          <t>O</t>
        </is>
      </c>
      <c r="I19" s="493" t="inlineStr">
        <is>
          <t>O</t>
        </is>
      </c>
      <c r="J19" s="148" t="n"/>
      <c r="K19" s="148" t="n"/>
      <c r="L19" s="148" t="n"/>
      <c r="M19" s="148" t="n"/>
      <c r="N19" s="148" t="n"/>
      <c r="O19" s="148" t="n"/>
      <c r="P19" s="148" t="n"/>
      <c r="Q19" s="148" t="n"/>
      <c r="R19" s="148" t="n"/>
      <c r="S19" s="148" t="n"/>
      <c r="T19" s="170" t="n"/>
      <c r="U19" s="454" t="n"/>
      <c r="V19" s="71" t="n"/>
    </row>
    <row r="20" ht="13.5" customHeight="1" s="419">
      <c r="A20" s="171" t="n"/>
      <c r="B20" s="494" t="inlineStr">
        <is>
          <t>status</t>
        </is>
      </c>
      <c r="C20" s="76" t="n"/>
      <c r="D20" s="77" t="n"/>
      <c r="E20" s="80" t="n"/>
      <c r="F20" s="148" t="n"/>
      <c r="G20" s="148" t="n"/>
      <c r="H20" s="148" t="n"/>
      <c r="I20" s="148" t="n"/>
      <c r="J20" s="148" t="n"/>
      <c r="K20" s="148" t="n"/>
      <c r="L20" s="148" t="n"/>
      <c r="M20" s="148" t="n"/>
      <c r="N20" s="148" t="n"/>
      <c r="O20" s="148" t="n"/>
      <c r="P20" s="148" t="n"/>
      <c r="Q20" s="148" t="n"/>
      <c r="R20" s="148" t="n"/>
      <c r="S20" s="148" t="n"/>
      <c r="T20" s="170" t="n"/>
      <c r="U20" s="454" t="n"/>
      <c r="V20" s="71" t="n"/>
    </row>
    <row r="21" ht="13.5" customHeight="1" s="419">
      <c r="A21" s="171" t="n"/>
      <c r="B21" s="75" t="n"/>
      <c r="C21" s="76" t="n"/>
      <c r="D21" s="492" t="inlineStr">
        <is>
          <t>APPROVED</t>
        </is>
      </c>
      <c r="E21" s="80" t="n"/>
      <c r="F21" s="493" t="inlineStr">
        <is>
          <t>O</t>
        </is>
      </c>
      <c r="G21" s="148" t="n"/>
      <c r="H21" s="493" t="inlineStr">
        <is>
          <t>O</t>
        </is>
      </c>
      <c r="I21" s="493" t="inlineStr">
        <is>
          <t>O</t>
        </is>
      </c>
      <c r="J21" s="148" t="n"/>
      <c r="K21" s="148" t="n"/>
      <c r="L21" s="148" t="n"/>
      <c r="M21" s="148" t="n"/>
      <c r="N21" s="148" t="n"/>
      <c r="O21" s="148" t="n"/>
      <c r="P21" s="148" t="n"/>
      <c r="Q21" s="148" t="n"/>
      <c r="R21" s="148" t="n"/>
      <c r="S21" s="148" t="n"/>
      <c r="T21" s="170" t="n"/>
      <c r="U21" s="454" t="n"/>
      <c r="V21" s="71" t="n"/>
    </row>
    <row r="22" ht="13.5" customHeight="1" s="419">
      <c r="A22" s="171" t="n"/>
      <c r="B22" s="75" t="n"/>
      <c r="C22" s="76" t="n"/>
      <c r="D22" s="492" t="inlineStr">
        <is>
          <t>REQUEST_CHANGES</t>
        </is>
      </c>
      <c r="E22" s="80" t="n"/>
      <c r="F22" s="148" t="n"/>
      <c r="G22" s="493" t="inlineStr">
        <is>
          <t>O</t>
        </is>
      </c>
      <c r="H22" s="148" t="n"/>
      <c r="I22" s="148" t="n"/>
      <c r="J22" s="148" t="n"/>
      <c r="K22" s="148" t="n"/>
      <c r="L22" s="148" t="n"/>
      <c r="M22" s="148" t="n"/>
      <c r="N22" s="148" t="n"/>
      <c r="O22" s="148" t="n"/>
      <c r="P22" s="148" t="n"/>
      <c r="Q22" s="148" t="n"/>
      <c r="R22" s="148" t="n"/>
      <c r="S22" s="148" t="n"/>
      <c r="T22" s="170" t="n"/>
      <c r="U22" s="454" t="n"/>
      <c r="V22" s="71" t="n"/>
    </row>
    <row r="23" ht="13.5" customHeight="1" s="419">
      <c r="A23" s="171" t="n"/>
      <c r="B23" s="494" t="inlineStr">
        <is>
          <t>reviewerId</t>
        </is>
      </c>
      <c r="C23" s="76" t="n"/>
      <c r="D23" s="77" t="n"/>
      <c r="E23" s="80" t="n"/>
      <c r="F23" s="148" t="n"/>
      <c r="G23" s="148" t="n"/>
      <c r="H23" s="148" t="n"/>
      <c r="I23" s="148" t="n"/>
      <c r="J23" s="148" t="n"/>
      <c r="K23" s="148" t="n"/>
      <c r="L23" s="148" t="n"/>
      <c r="M23" s="148" t="n"/>
      <c r="N23" s="148" t="n"/>
      <c r="O23" s="148" t="n"/>
      <c r="P23" s="148" t="n"/>
      <c r="Q23" s="148" t="n"/>
      <c r="R23" s="148" t="n"/>
      <c r="S23" s="148" t="n"/>
      <c r="T23" s="170" t="n"/>
      <c r="U23" s="454" t="n"/>
      <c r="V23" s="71" t="n"/>
    </row>
    <row r="24" ht="13.5" customHeight="1" s="419">
      <c r="A24" s="171" t="n"/>
      <c r="B24" s="75" t="n"/>
      <c r="C24" s="76" t="n"/>
      <c r="D24" s="492" t="inlineStr">
        <is>
          <t>client-1</t>
        </is>
      </c>
      <c r="E24" s="80" t="n"/>
      <c r="F24" s="493" t="inlineStr">
        <is>
          <t>O</t>
        </is>
      </c>
      <c r="G24" s="148" t="n"/>
      <c r="H24" s="148" t="n"/>
      <c r="I24" s="148" t="n"/>
      <c r="J24" s="148" t="n"/>
      <c r="K24" s="148" t="n"/>
      <c r="L24" s="148" t="n"/>
      <c r="M24" s="148" t="n"/>
      <c r="N24" s="148" t="n"/>
      <c r="O24" s="148" t="n"/>
      <c r="P24" s="148" t="n"/>
      <c r="Q24" s="148" t="n"/>
      <c r="R24" s="148" t="n"/>
      <c r="S24" s="148" t="n"/>
      <c r="T24" s="170" t="n"/>
      <c r="U24" s="454" t="n"/>
      <c r="V24" s="71" t="n"/>
    </row>
    <row r="25" ht="13.5" customHeight="1" s="419">
      <c r="A25" s="171" t="n"/>
      <c r="B25" s="494" t="inlineStr">
        <is>
          <t>reviewerRole</t>
        </is>
      </c>
      <c r="C25" s="76" t="n"/>
      <c r="D25" s="77" t="n"/>
      <c r="E25" s="80" t="n"/>
      <c r="F25" s="148" t="n"/>
      <c r="G25" s="148" t="n"/>
      <c r="H25" s="148" t="n"/>
      <c r="I25" s="148" t="n"/>
      <c r="J25" s="148" t="n"/>
      <c r="K25" s="148" t="n"/>
      <c r="L25" s="148" t="n"/>
      <c r="M25" s="148" t="n"/>
      <c r="N25" s="148" t="n"/>
      <c r="O25" s="148" t="n"/>
      <c r="P25" s="148" t="n"/>
      <c r="Q25" s="148" t="n"/>
      <c r="R25" s="148" t="n"/>
      <c r="S25" s="148" t="n"/>
      <c r="T25" s="170" t="n"/>
      <c r="U25" s="454" t="n"/>
      <c r="V25" s="71" t="n"/>
    </row>
    <row r="26" ht="13.5" customHeight="1" s="419">
      <c r="A26" s="171" t="n"/>
      <c r="B26" s="75" t="n"/>
      <c r="C26" s="76" t="n"/>
      <c r="D26" s="492" t="inlineStr">
        <is>
          <t>broker</t>
        </is>
      </c>
      <c r="E26" s="80" t="n"/>
      <c r="F26" s="148" t="n"/>
      <c r="G26" s="493" t="inlineStr">
        <is>
          <t>O</t>
        </is>
      </c>
      <c r="H26" s="148" t="n"/>
      <c r="I26" s="148" t="n"/>
      <c r="J26" s="148" t="n"/>
      <c r="K26" s="148" t="n"/>
      <c r="L26" s="148" t="n"/>
      <c r="M26" s="148" t="n"/>
      <c r="N26" s="148" t="n"/>
      <c r="O26" s="148" t="n"/>
      <c r="P26" s="148" t="n"/>
      <c r="Q26" s="148" t="n"/>
      <c r="R26" s="148" t="n"/>
      <c r="S26" s="148" t="n"/>
      <c r="T26" s="170" t="n"/>
      <c r="U26" s="454" t="n"/>
      <c r="V26" s="71" t="n"/>
    </row>
    <row r="27" ht="13.5" customHeight="1" s="419">
      <c r="A27" s="171" t="n"/>
      <c r="B27" s="75" t="n"/>
      <c r="C27" s="76" t="n"/>
      <c r="D27" s="492" t="inlineStr">
        <is>
          <t>FREELANCER</t>
        </is>
      </c>
      <c r="E27" s="80" t="n"/>
      <c r="F27" s="148" t="n"/>
      <c r="G27" s="148" t="n"/>
      <c r="H27" s="148" t="n"/>
      <c r="I27" s="493" t="inlineStr">
        <is>
          <t>O</t>
        </is>
      </c>
      <c r="J27" s="148" t="n"/>
      <c r="K27" s="148" t="n"/>
      <c r="L27" s="148" t="n"/>
      <c r="M27" s="148" t="n"/>
      <c r="N27" s="148" t="n"/>
      <c r="O27" s="148" t="n"/>
      <c r="P27" s="148" t="n"/>
      <c r="Q27" s="148" t="n"/>
      <c r="R27" s="148" t="n"/>
      <c r="S27" s="148" t="n"/>
      <c r="T27" s="170" t="n"/>
      <c r="U27" s="454" t="n"/>
      <c r="V27" s="71" t="n"/>
    </row>
    <row r="28" ht="13.5" customHeight="1" s="419">
      <c r="A28" s="171" t="n"/>
      <c r="B28" s="494" t="inlineStr">
        <is>
          <t>user</t>
        </is>
      </c>
      <c r="C28" s="76" t="n"/>
      <c r="D28" s="77" t="n"/>
      <c r="E28" s="80" t="n"/>
      <c r="F28" s="148" t="n"/>
      <c r="G28" s="148" t="n"/>
      <c r="H28" s="148" t="n"/>
      <c r="I28" s="148" t="n"/>
      <c r="J28" s="148" t="n"/>
      <c r="K28" s="148" t="n"/>
      <c r="L28" s="148" t="n"/>
      <c r="M28" s="148" t="n"/>
      <c r="N28" s="148" t="n"/>
      <c r="O28" s="148" t="n"/>
      <c r="P28" s="148" t="n"/>
      <c r="Q28" s="148" t="n"/>
      <c r="R28" s="148" t="n"/>
      <c r="S28" s="148" t="n"/>
      <c r="T28" s="170" t="n"/>
      <c r="U28" s="454" t="n"/>
      <c r="V28" s="71" t="n"/>
    </row>
    <row r="29" ht="13.5" customHeight="1" s="419">
      <c r="A29" s="495" t="inlineStr">
        <is>
          <t>Confirm</t>
        </is>
      </c>
      <c r="B29" s="494" t="inlineStr">
        <is>
          <t>Return</t>
        </is>
      </c>
      <c r="C29" s="76" t="n"/>
      <c r="D29" s="77" t="n"/>
      <c r="E29" s="80" t="n"/>
      <c r="F29" s="148" t="n"/>
      <c r="G29" s="148" t="n"/>
      <c r="H29" s="148" t="n"/>
      <c r="I29" s="148" t="n"/>
      <c r="J29" s="148" t="n"/>
      <c r="K29" s="148" t="n"/>
      <c r="L29" s="148" t="n"/>
      <c r="M29" s="148" t="n"/>
      <c r="N29" s="148" t="n"/>
      <c r="O29" s="148" t="n"/>
      <c r="P29" s="148" t="n"/>
      <c r="Q29" s="148" t="n"/>
      <c r="R29" s="148" t="n"/>
      <c r="S29" s="148" t="n"/>
      <c r="T29" s="170" t="n"/>
      <c r="U29" s="454" t="n"/>
      <c r="V29" s="71" t="n"/>
    </row>
    <row r="30" ht="27" customHeight="1" s="419">
      <c r="A30" s="171" t="n"/>
      <c r="B30" s="75" t="n"/>
      <c r="C30" s="76" t="n"/>
      <c r="D30" s="492" t="inlineStr">
        <is>
          <t>Returns review result from service</t>
        </is>
      </c>
      <c r="E30" s="80" t="n"/>
      <c r="F30" s="493" t="inlineStr">
        <is>
          <t>O</t>
        </is>
      </c>
      <c r="G30" s="148" t="n"/>
      <c r="H30" s="148" t="n"/>
      <c r="I30" s="148" t="n"/>
      <c r="J30" s="148" t="n"/>
      <c r="K30" s="148" t="n"/>
      <c r="L30" s="148" t="n"/>
      <c r="M30" s="148" t="n"/>
      <c r="N30" s="148" t="n"/>
      <c r="O30" s="148" t="n"/>
      <c r="P30" s="148" t="n"/>
      <c r="Q30" s="148" t="n"/>
      <c r="R30" s="148" t="n"/>
      <c r="S30" s="148" t="n"/>
      <c r="T30" s="170" t="n"/>
      <c r="U30" s="454" t="n"/>
      <c r="V30" s="71" t="n"/>
    </row>
    <row r="31" ht="27" customHeight="1" s="419">
      <c r="A31" s="171" t="n"/>
      <c r="B31" s="75" t="n"/>
      <c r="C31" s="76" t="n"/>
      <c r="D31" s="492" t="inlineStr">
        <is>
          <t>Returns review result for normalized broker</t>
        </is>
      </c>
      <c r="E31" s="80" t="n"/>
      <c r="F31" s="148" t="n"/>
      <c r="G31" s="493" t="inlineStr">
        <is>
          <t>O</t>
        </is>
      </c>
      <c r="H31" s="148" t="n"/>
      <c r="I31" s="148" t="n"/>
      <c r="J31" s="148" t="n"/>
      <c r="K31" s="148" t="n"/>
      <c r="L31" s="148" t="n"/>
      <c r="M31" s="148" t="n"/>
      <c r="N31" s="148" t="n"/>
      <c r="O31" s="148" t="n"/>
      <c r="P31" s="148" t="n"/>
      <c r="Q31" s="148" t="n"/>
      <c r="R31" s="148" t="n"/>
      <c r="S31" s="148" t="n"/>
      <c r="T31" s="170" t="n"/>
      <c r="U31" s="454" t="n"/>
      <c r="V31" s="71" t="n"/>
    </row>
    <row r="32" ht="13.5" customHeight="1" s="419">
      <c r="A32" s="171" t="n"/>
      <c r="B32" s="494" t="inlineStr">
        <is>
          <t>Exception</t>
        </is>
      </c>
      <c r="C32" s="76" t="n"/>
      <c r="D32" s="77" t="n"/>
      <c r="E32" s="80" t="n"/>
      <c r="F32" s="148" t="n"/>
      <c r="G32" s="148" t="n"/>
      <c r="H32" s="148" t="n"/>
      <c r="I32" s="148" t="n"/>
      <c r="J32" s="148" t="n"/>
      <c r="K32" s="148" t="n"/>
      <c r="L32" s="148" t="n"/>
      <c r="M32" s="148" t="n"/>
      <c r="N32" s="148" t="n"/>
      <c r="O32" s="148" t="n"/>
      <c r="P32" s="148" t="n"/>
      <c r="Q32" s="148" t="n"/>
      <c r="R32" s="148" t="n"/>
      <c r="S32" s="148" t="n"/>
      <c r="T32" s="170" t="n"/>
      <c r="U32" s="454" t="n"/>
      <c r="V32" s="71" t="n"/>
    </row>
    <row r="33" ht="27" customHeight="1" s="419">
      <c r="A33" s="171" t="n"/>
      <c r="B33" s="75" t="n"/>
      <c r="C33" s="76" t="n"/>
      <c r="D33" s="492" t="inlineStr">
        <is>
          <t>ForbiddenException: Authentication required</t>
        </is>
      </c>
      <c r="E33" s="80" t="n"/>
      <c r="F33" s="148" t="n"/>
      <c r="G33" s="148" t="n"/>
      <c r="H33" s="493" t="inlineStr">
        <is>
          <t>O</t>
        </is>
      </c>
      <c r="I33" s="148" t="n"/>
      <c r="J33" s="148" t="n"/>
      <c r="K33" s="148" t="n"/>
      <c r="L33" s="148" t="n"/>
      <c r="M33" s="148" t="n"/>
      <c r="N33" s="148" t="n"/>
      <c r="O33" s="148" t="n"/>
      <c r="P33" s="148" t="n"/>
      <c r="Q33" s="148" t="n"/>
      <c r="R33" s="148" t="n"/>
      <c r="S33" s="148" t="n"/>
      <c r="T33" s="170" t="n"/>
      <c r="U33" s="454" t="n"/>
      <c r="V33" s="71" t="n"/>
    </row>
    <row r="34" ht="13.5" customHeight="1" s="419">
      <c r="A34" s="171" t="n"/>
      <c r="B34" s="75" t="n"/>
      <c r="C34" s="76" t="n"/>
      <c r="D34" s="492" t="inlineStr">
        <is>
          <t>ForbiddenException:</t>
        </is>
      </c>
      <c r="E34" s="80" t="n"/>
      <c r="F34" s="148" t="n"/>
      <c r="G34" s="148" t="n"/>
      <c r="H34" s="148" t="n"/>
      <c r="I34" s="493" t="inlineStr">
        <is>
          <t>O</t>
        </is>
      </c>
      <c r="J34" s="148" t="n"/>
      <c r="K34" s="148" t="n"/>
      <c r="L34" s="148" t="n"/>
      <c r="M34" s="148" t="n"/>
      <c r="N34" s="148" t="n"/>
      <c r="O34" s="148" t="n"/>
      <c r="P34" s="148" t="n"/>
      <c r="Q34" s="148" t="n"/>
      <c r="R34" s="148" t="n"/>
      <c r="S34" s="148" t="n"/>
      <c r="T34" s="170" t="n"/>
      <c r="U34" s="454" t="n"/>
      <c r="V34" s="71" t="n"/>
    </row>
    <row r="35" ht="13.5" customHeight="1" s="419">
      <c r="A35" s="171" t="n"/>
      <c r="B35" s="494" t="inlineStr">
        <is>
          <t>Log message</t>
        </is>
      </c>
      <c r="C35" s="76" t="n"/>
      <c r="D35" s="77" t="n"/>
      <c r="E35" s="80" t="n"/>
      <c r="F35" s="148" t="n"/>
      <c r="G35" s="148" t="n"/>
      <c r="H35" s="148" t="n"/>
      <c r="I35" s="148" t="n"/>
      <c r="J35" s="148" t="n"/>
      <c r="K35" s="148" t="n"/>
      <c r="L35" s="148" t="n"/>
      <c r="M35" s="148" t="n"/>
      <c r="N35" s="148" t="n"/>
      <c r="O35" s="148" t="n"/>
      <c r="P35" s="148" t="n"/>
      <c r="Q35" s="148" t="n"/>
      <c r="R35" s="148" t="n"/>
      <c r="S35" s="148" t="n"/>
      <c r="T35" s="170" t="n"/>
      <c r="U35" s="454" t="n"/>
      <c r="V35" s="71" t="n"/>
    </row>
    <row r="36" ht="40.5" customHeight="1" s="419">
      <c r="A36" s="171" t="n"/>
      <c r="B36" s="75" t="n"/>
      <c r="C36" s="76" t="n"/>
      <c r="D36" s="492" t="inlineStr">
        <is>
          <t>EP-284 UTC01 allows CLIENT reviewer and forwards review to service</t>
        </is>
      </c>
      <c r="E36" s="80" t="n"/>
      <c r="F36" s="493" t="inlineStr">
        <is>
          <t>O</t>
        </is>
      </c>
      <c r="G36" s="148" t="n"/>
      <c r="H36" s="148" t="n"/>
      <c r="I36" s="148" t="n"/>
      <c r="J36" s="148" t="n"/>
      <c r="K36" s="148" t="n"/>
      <c r="L36" s="148" t="n"/>
      <c r="M36" s="148" t="n"/>
      <c r="N36" s="148" t="n"/>
      <c r="O36" s="148" t="n"/>
      <c r="P36" s="148" t="n"/>
      <c r="Q36" s="148" t="n"/>
      <c r="R36" s="148" t="n"/>
      <c r="S36" s="148" t="n"/>
      <c r="T36" s="170" t="n"/>
      <c r="U36" s="454" t="n"/>
      <c r="V36" s="71" t="n"/>
    </row>
    <row r="37" ht="40.5" customHeight="1" s="419">
      <c r="A37" s="171" t="n"/>
      <c r="B37" s="75" t="n"/>
      <c r="C37" s="76" t="n"/>
      <c r="D37" s="492" t="inlineStr">
        <is>
          <t>EP-284 UTC02 accepts lowercase broker after normalization</t>
        </is>
      </c>
      <c r="E37" s="80" t="n"/>
      <c r="F37" s="148" t="n"/>
      <c r="G37" s="493" t="inlineStr">
        <is>
          <t>O</t>
        </is>
      </c>
      <c r="H37" s="148" t="n"/>
      <c r="I37" s="148" t="n"/>
      <c r="J37" s="148" t="n"/>
      <c r="K37" s="148" t="n"/>
      <c r="L37" s="148" t="n"/>
      <c r="M37" s="148" t="n"/>
      <c r="N37" s="148" t="n"/>
      <c r="O37" s="148" t="n"/>
      <c r="P37" s="148" t="n"/>
      <c r="Q37" s="148" t="n"/>
      <c r="R37" s="148" t="n"/>
      <c r="S37" s="148" t="n"/>
      <c r="T37" s="170" t="n"/>
      <c r="U37" s="454" t="n"/>
      <c r="V37" s="71" t="n"/>
    </row>
    <row r="38" ht="27" customHeight="1" s="419">
      <c r="A38" s="171" t="n"/>
      <c r="B38" s="75" t="n"/>
      <c r="C38" s="76" t="n"/>
      <c r="D38" s="492" t="inlineStr">
        <is>
          <t>EP-284 UTC03 rejects unauthenticated review requests</t>
        </is>
      </c>
      <c r="E38" s="80" t="n"/>
      <c r="F38" s="148" t="n"/>
      <c r="G38" s="148" t="n"/>
      <c r="H38" s="493" t="inlineStr">
        <is>
          <t>O</t>
        </is>
      </c>
      <c r="I38" s="148" t="n"/>
      <c r="J38" s="148" t="n"/>
      <c r="K38" s="148" t="n"/>
      <c r="L38" s="148" t="n"/>
      <c r="M38" s="148" t="n"/>
      <c r="N38" s="148" t="n"/>
      <c r="O38" s="148" t="n"/>
      <c r="P38" s="148" t="n"/>
      <c r="Q38" s="148" t="n"/>
      <c r="R38" s="148" t="n"/>
      <c r="S38" s="148" t="n"/>
      <c r="T38" s="170" t="n"/>
      <c r="U38" s="454" t="n"/>
      <c r="V38" s="71" t="n"/>
    </row>
    <row r="39" ht="27" customHeight="1" s="419">
      <c r="A39" s="171" t="n"/>
      <c r="B39" s="75" t="n"/>
      <c r="C39" s="76" t="n"/>
      <c r="D39" s="492" t="inlineStr">
        <is>
          <t>EP-284 UTC04 rejects FREELANCER reviewer</t>
        </is>
      </c>
      <c r="E39" s="80" t="n"/>
      <c r="F39" s="148" t="n"/>
      <c r="G39" s="148" t="n"/>
      <c r="H39" s="148" t="n"/>
      <c r="I39" s="493" t="inlineStr">
        <is>
          <t>O</t>
        </is>
      </c>
      <c r="J39" s="148" t="n"/>
      <c r="K39" s="148" t="n"/>
      <c r="L39" s="148" t="n"/>
      <c r="M39" s="148" t="n"/>
      <c r="N39" s="148" t="n"/>
      <c r="O39" s="148" t="n"/>
      <c r="P39" s="148" t="n"/>
      <c r="Q39" s="148" t="n"/>
      <c r="R39" s="148" t="n"/>
      <c r="S39" s="148" t="n"/>
      <c r="T39" s="170" t="n"/>
      <c r="U39" s="454" t="n"/>
      <c r="V39" s="71" t="n"/>
    </row>
    <row r="40" ht="13.5" customHeight="1" s="419">
      <c r="A40" s="495" t="inlineStr">
        <is>
          <t>Result</t>
        </is>
      </c>
      <c r="B40" s="494" t="inlineStr">
        <is>
          <t>Type(N : Normal, A : Abnormal, B : Boundary)</t>
        </is>
      </c>
      <c r="C40" s="76" t="n"/>
      <c r="D40" s="77" t="n"/>
      <c r="E40" s="80" t="n"/>
      <c r="F40" s="493" t="inlineStr">
        <is>
          <t>N</t>
        </is>
      </c>
      <c r="G40" s="493" t="inlineStr">
        <is>
          <t>B</t>
        </is>
      </c>
      <c r="H40" s="493" t="inlineStr">
        <is>
          <t>A</t>
        </is>
      </c>
      <c r="I40" s="493" t="inlineStr">
        <is>
          <t>A</t>
        </is>
      </c>
      <c r="J40" s="148" t="n"/>
      <c r="K40" s="148" t="n"/>
      <c r="L40" s="148" t="n"/>
      <c r="M40" s="148" t="n"/>
      <c r="N40" s="148" t="n"/>
      <c r="O40" s="148" t="n"/>
      <c r="P40" s="148" t="n"/>
      <c r="Q40" s="148" t="n"/>
      <c r="R40" s="148" t="n"/>
      <c r="S40" s="148" t="n"/>
      <c r="T40" s="170" t="n"/>
      <c r="U40" s="454" t="n"/>
      <c r="V40" s="71" t="n"/>
    </row>
    <row r="41" ht="13.5" customHeight="1" s="419">
      <c r="A41" s="171" t="n"/>
      <c r="B41" s="494" t="inlineStr">
        <is>
          <t>Passed/Failed</t>
        </is>
      </c>
      <c r="C41" s="76" t="n"/>
      <c r="D41" s="77" t="n"/>
      <c r="E41" s="81" t="n"/>
      <c r="F41" s="496" t="inlineStr">
        <is>
          <t>P</t>
        </is>
      </c>
      <c r="G41" s="496" t="inlineStr">
        <is>
          <t>P</t>
        </is>
      </c>
      <c r="H41" s="496" t="inlineStr">
        <is>
          <t>P</t>
        </is>
      </c>
      <c r="I41" s="496" t="inlineStr">
        <is>
          <t>P</t>
        </is>
      </c>
      <c r="J41" s="79" t="n"/>
      <c r="K41" s="79" t="n"/>
      <c r="L41" s="79" t="n"/>
      <c r="M41" s="79" t="n"/>
      <c r="N41" s="79" t="n"/>
      <c r="O41" s="79" t="n"/>
      <c r="P41" s="79" t="n"/>
      <c r="Q41" s="79" t="n"/>
      <c r="R41" s="79" t="n"/>
      <c r="S41" s="79" t="n"/>
      <c r="T41" s="195" t="n"/>
      <c r="U41" s="454" t="n"/>
      <c r="V41" s="454" t="n"/>
    </row>
    <row r="42" ht="42" customHeight="1" s="419">
      <c r="A42" s="171" t="n"/>
      <c r="B42" s="494" t="inlineStr">
        <is>
          <t>Executed Date</t>
        </is>
      </c>
      <c r="C42" s="76" t="n"/>
      <c r="D42" s="77" t="n"/>
      <c r="E42" s="80" t="n"/>
      <c r="F42" s="497" t="inlineStr">
        <is>
          <t>04-06</t>
        </is>
      </c>
      <c r="G42" s="497" t="inlineStr">
        <is>
          <t>04-06</t>
        </is>
      </c>
      <c r="H42" s="497" t="inlineStr">
        <is>
          <t>04-06</t>
        </is>
      </c>
      <c r="I42" s="497" t="inlineStr">
        <is>
          <t>04-06</t>
        </is>
      </c>
      <c r="J42" s="148" t="n"/>
      <c r="K42" s="148" t="n"/>
      <c r="L42" s="148" t="n"/>
      <c r="M42" s="148" t="n"/>
      <c r="N42" s="148" t="n"/>
      <c r="O42" s="148" t="n"/>
      <c r="P42" s="148" t="n"/>
      <c r="Q42" s="148" t="n"/>
      <c r="R42" s="148" t="n"/>
      <c r="S42" s="148" t="n"/>
      <c r="T42" s="170" t="n"/>
      <c r="U42" s="454" t="n"/>
      <c r="V42" s="71" t="n"/>
    </row>
    <row r="43" ht="13.5" customHeight="1" s="419">
      <c r="A43" s="171" t="n"/>
      <c r="B43" s="494" t="inlineStr">
        <is>
          <t>Defect ID</t>
        </is>
      </c>
      <c r="C43" s="76" t="n"/>
      <c r="D43" s="77" t="n"/>
      <c r="E43" s="80" t="n"/>
      <c r="F43" s="493" t="inlineStr"/>
      <c r="G43" s="493" t="inlineStr"/>
      <c r="H43" s="493" t="inlineStr"/>
      <c r="I43" s="493" t="inlineStr"/>
      <c r="J43" s="148" t="n"/>
      <c r="K43" s="148" t="n"/>
      <c r="L43" s="148" t="n"/>
      <c r="M43" s="148" t="n"/>
      <c r="N43" s="148" t="n"/>
      <c r="O43" s="148" t="n"/>
      <c r="P43" s="148" t="n"/>
      <c r="Q43" s="148" t="n"/>
      <c r="R43" s="148" t="n"/>
      <c r="S43" s="148" t="n"/>
      <c r="T43" s="170" t="n"/>
      <c r="U43" s="454" t="n"/>
      <c r="V43" s="71" t="n"/>
    </row>
    <row r="44" ht="13.5" customHeight="1" s="419"/>
    <row r="45" ht="13.5" customHeight="1" s="419"/>
    <row r="46" ht="13.5" customHeight="1" s="419"/>
    <row r="47" ht="13.5" customHeight="1" s="419"/>
    <row r="48" ht="13.5" customHeight="1" s="419"/>
    <row r="49" ht="13.5" customHeight="1" s="419"/>
    <row r="50" ht="13.5" customHeight="1" s="419"/>
    <row r="51" ht="13.5" customHeight="1" s="419"/>
    <row r="52" ht="13.5" customHeight="1" s="419"/>
    <row r="53" ht="13.5" customHeight="1" s="419"/>
    <row r="54" ht="13.5" customHeight="1" s="419"/>
    <row r="55" ht="13.5" customHeight="1" s="419"/>
    <row r="56" ht="13.5" customHeight="1" s="419"/>
    <row r="57" ht="13.5" customHeight="1" s="419"/>
    <row r="58" ht="13.5" customHeight="1" s="419"/>
    <row r="59" ht="13.5" customHeight="1" s="419"/>
    <row r="60" ht="13.5" customHeight="1" s="419"/>
    <row r="61" ht="13.5" customHeight="1" s="419"/>
    <row r="62" ht="13.5" customHeight="1" s="419"/>
    <row r="63" ht="13.5" customHeight="1" s="419"/>
    <row r="64" ht="13.5" customHeight="1" s="419"/>
    <row r="65" ht="13.5" customHeight="1" s="419" thickBot="1"/>
    <row r="66" ht="13.5" customHeight="1" s="419" thickTop="1"/>
    <row r="67" ht="13.5" customHeight="1" s="419"/>
    <row r="68" ht="71.5" customHeight="1" s="419"/>
    <row r="69" ht="10.5" customHeight="1" s="419" thickBot="1"/>
  </sheetData>
  <mergeCells count="27">
    <mergeCell ref="B67:D67"/>
    <mergeCell ref="F2:K2"/>
    <mergeCell ref="B69:D69"/>
    <mergeCell ref="A6:B6"/>
    <mergeCell ref="C4:D4"/>
    <mergeCell ref="C2:E2"/>
    <mergeCell ref="L4:T4"/>
    <mergeCell ref="A7:B7"/>
    <mergeCell ref="B68:D68"/>
    <mergeCell ref="C7:E7"/>
    <mergeCell ref="L6:N6"/>
    <mergeCell ref="A3:B3"/>
    <mergeCell ref="A2:B2"/>
    <mergeCell ref="A5:B5"/>
    <mergeCell ref="C3:E3"/>
    <mergeCell ref="F4:K4"/>
    <mergeCell ref="O7:T7"/>
    <mergeCell ref="C6:E6"/>
    <mergeCell ref="A4:B4"/>
    <mergeCell ref="L2:T2"/>
    <mergeCell ref="O6:T6"/>
    <mergeCell ref="B66:D66"/>
    <mergeCell ref="F6:K6"/>
    <mergeCell ref="F7:K7"/>
    <mergeCell ref="C5:T5"/>
    <mergeCell ref="L3:T3"/>
    <mergeCell ref="F3:K3"/>
  </mergeCells>
  <pageMargins left="0.75" right="0.75" top="0.75" bottom="0.75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Nguyen Hoang Anh</dc:creator>
  <dcterms:created xmlns:dcterms="http://purl.org/dc/terms/" xmlns:xsi="http://www.w3.org/2001/XMLSchema-instance" xsi:type="dcterms:W3CDTF">2007-10-09T09:39:48Z</dcterms:created>
  <dcterms:modified xmlns:dcterms="http://purl.org/dc/terms/" xmlns:xsi="http://www.w3.org/2001/XMLSchema-instance" xsi:type="dcterms:W3CDTF">2026-04-06T09:51:19Z</dcterms:modified>
  <cp:lastModifiedBy>Nguyen Duy</cp:lastModifiedBy>
</cp:coreProperties>
</file>