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Function List" sheetId="2" state="visible" r:id="rId2"/>
    <sheet name="Test Report" sheetId="3" state="visible" r:id="rId3"/>
    <sheet name="List Contracts" sheetId="4" state="visible" r:id="rId4"/>
    <sheet name="Get Contract" sheetId="5" state="visible" r:id="rId5"/>
    <sheet name="Init Contract Body" sheetId="6" state="visible" r:id="rId6"/>
    <sheet name="Init Contract Param" sheetId="7" state="visible" r:id="rId7"/>
    <sheet name="Sign Contract" sheetId="8" state="visible" r:id="rId8"/>
    <sheet name="Update Draft" sheetId="9" state="visible" r:id="rId9"/>
    <sheet name="Send Draft" sheetId="10" state="visible" r:id="rId10"/>
    <sheet name="Discard Draft" sheetId="11" state="visible" r:id="rId11"/>
    <sheet name="Activate Project" sheetId="12" state="visible" r:id="rId12"/>
    <sheet name="Download Pdf" sheetId="13" state="visible" r:id="rId13"/>
    <sheet name="List Payment Methods" sheetId="14" state="visible" r:id="rId14"/>
    <sheet name="Create Payment Method" sheetId="15" state="visible" r:id="rId15"/>
    <sheet name="Set Default Payment Method" sheetId="16" state="visible" r:id="rId16"/>
    <sheet name="Fund Milestone" sheetId="17" state="visible" r:id="rId17"/>
    <sheet name="Get My Wallet" sheetId="18" state="visible" r:id="rId18"/>
    <sheet name="Get My Wallet Transactions" sheetId="19" state="visible" r:id="rId19"/>
    <sheet name="Approve Specs" sheetId="20" state="visible" r:id="rId20"/>
    <sheet name="Convert To Project" sheetId="21" state="visible" r:id="rId21"/>
    <sheet name="Get Pending Specs" sheetId="22" state="visible" r:id="rId22"/>
    <sheet name="Get Pending Client Review" sheetId="23" state="visible" r:id="rId23"/>
  </sheets>
  <definedNames/>
  <calcPr calcId="124519" fullCalcOnLoad="1"/>
</workbook>
</file>

<file path=xl/styles.xml><?xml version="1.0" encoding="utf-8"?>
<styleSheet xmlns="http://schemas.openxmlformats.org/spreadsheetml/2006/main">
  <numFmts count="2">
    <numFmt numFmtId="164" formatCode="d\-mmm\-yy;@"/>
    <numFmt numFmtId="165" formatCode="mm/dd"/>
  </numFmts>
  <fonts count="27">
    <font>
      <name val="Calibri"/>
      <family val="2"/>
      <color theme="1"/>
      <sz val="11"/>
      <scheme val="minor"/>
    </font>
    <font>
      <name val="Tahoma"/>
      <family val="2"/>
      <b val="1"/>
      <color indexed="10"/>
      <sz val="26"/>
    </font>
    <font>
      <name val="Tahoma"/>
      <family val="2"/>
      <b val="1"/>
      <color indexed="8"/>
      <sz val="20"/>
    </font>
    <font>
      <name val="ＭＳ Ｐゴシック"/>
      <charset val="128"/>
      <family val="3"/>
      <sz val="11"/>
    </font>
    <font>
      <name val="Tahoma"/>
      <family val="2"/>
      <b val="1"/>
      <color indexed="60"/>
      <sz val="10"/>
    </font>
    <font>
      <name val="Tahoma"/>
      <family val="2"/>
      <i val="1"/>
      <color indexed="17"/>
      <sz val="10"/>
    </font>
    <font>
      <name val="Tahoma"/>
      <family val="2"/>
      <sz val="10"/>
    </font>
    <font>
      <name val="Tahoma"/>
      <family val="2"/>
      <b val="1"/>
      <sz val="10"/>
    </font>
    <font>
      <name val="Tahoma"/>
      <family val="2"/>
      <b val="1"/>
      <color indexed="9"/>
      <sz val="10"/>
    </font>
    <font>
      <name val="Tahoma"/>
      <family val="2"/>
      <i val="1"/>
      <sz val="10"/>
    </font>
    <font>
      <name val="Tahoma"/>
      <family val="2"/>
      <b val="1"/>
      <color indexed="8"/>
      <sz val="10"/>
    </font>
    <font>
      <name val="Tahoma"/>
      <family val="2"/>
      <b val="1"/>
      <color indexed="10"/>
      <sz val="10"/>
    </font>
    <font>
      <name val="ＭＳ Ｐゴシック"/>
      <charset val="128"/>
      <family val="3"/>
      <color indexed="12"/>
      <sz val="11"/>
      <u val="single"/>
    </font>
    <font>
      <name val="Tahoma"/>
      <family val="2"/>
      <color theme="1"/>
      <sz val="10"/>
    </font>
    <font>
      <name val="Tahoma"/>
      <family val="2"/>
      <color indexed="12"/>
      <sz val="11"/>
      <u val="single"/>
    </font>
    <font>
      <name val="Tahoma"/>
      <family val="2"/>
      <color indexed="9"/>
      <sz val="10"/>
    </font>
    <font>
      <name val="Tahoma"/>
      <family val="2"/>
      <b val="1"/>
      <color indexed="9"/>
      <sz val="11"/>
    </font>
    <font>
      <name val="Tahoma"/>
      <family val="2"/>
      <color indexed="8"/>
      <sz val="10"/>
    </font>
    <font>
      <name val="Tahoma"/>
      <family val="2"/>
      <sz val="8"/>
    </font>
    <font>
      <name val="Tahoma"/>
      <family val="2"/>
      <b val="1"/>
      <sz val="8"/>
    </font>
    <font>
      <name val="Tahoma"/>
      <family val="2"/>
      <i val="1"/>
      <sz val="8"/>
    </font>
    <font>
      <name val="Tahoma"/>
      <family val="2"/>
      <color indexed="9"/>
      <sz val="8"/>
    </font>
    <font>
      <name val="Tahoma"/>
      <family val="2"/>
      <b val="1"/>
      <color indexed="9"/>
      <sz val="8"/>
    </font>
    <font>
      <name val="Courier New"/>
      <family val="3"/>
      <b val="1"/>
      <sz val="12"/>
    </font>
    <font>
      <name val="Tahoma"/>
      <family val="2"/>
      <b val="1"/>
      <sz val="12"/>
    </font>
    <font>
      <name val="Courier New"/>
      <family val="3"/>
      <sz val="8"/>
    </font>
    <font>
      <name val="Tahoma"/>
      <family val="2"/>
      <color indexed="17"/>
      <sz val="8"/>
    </font>
  </fonts>
  <fills count="12">
    <fill>
      <patternFill/>
    </fill>
    <fill>
      <patternFill patternType="gray125"/>
    </fill>
    <fill>
      <patternFill patternType="solid">
        <fgColor rgb="FFFFC000"/>
        <bgColor indexed="64"/>
      </patternFill>
    </fill>
    <fill>
      <patternFill patternType="solid">
        <fgColor indexed="9"/>
        <bgColor indexed="26"/>
      </patternFill>
    </fill>
    <fill>
      <patternFill patternType="solid">
        <fgColor indexed="18"/>
        <bgColor indexed="32"/>
      </patternFill>
    </fill>
    <fill>
      <patternFill patternType="solid">
        <fgColor rgb="FFFFC000"/>
        <bgColor indexed="26"/>
      </patternFill>
    </fill>
    <fill>
      <patternFill patternType="solid">
        <fgColor indexed="62"/>
        <bgColor indexed="56"/>
      </patternFill>
    </fill>
    <fill>
      <patternFill patternType="solid">
        <fgColor theme="9"/>
        <bgColor indexed="26"/>
      </patternFill>
    </fill>
    <fill>
      <patternFill patternType="solid">
        <fgColor theme="0"/>
        <bgColor indexed="26"/>
      </patternFill>
    </fill>
    <fill>
      <patternFill patternType="solid">
        <fgColor indexed="18"/>
        <bgColor indexed="64"/>
      </patternFill>
    </fill>
    <fill>
      <patternFill patternType="solid">
        <fgColor indexed="9"/>
        <bgColor indexed="64"/>
      </patternFill>
    </fill>
    <fill>
      <patternFill patternType="solid">
        <fgColor indexed="52"/>
        <bgColor indexed="64"/>
      </patternFill>
    </fill>
  </fills>
  <borders count="98">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diagonal/>
    </border>
    <border>
      <left style="hair">
        <color indexed="8"/>
      </left>
      <right style="hair">
        <color indexed="8"/>
      </right>
      <top style="hair">
        <color indexed="8"/>
      </top>
      <bottom/>
      <diagonal/>
    </border>
    <border>
      <left style="thin">
        <color indexed="8"/>
      </left>
      <right style="hair">
        <color indexed="8"/>
      </right>
      <top style="hair">
        <color indexed="8"/>
      </top>
      <bottom/>
      <diagonal/>
    </border>
    <border>
      <left style="hair">
        <color indexed="8"/>
      </left>
      <right style="thin">
        <color indexed="8"/>
      </right>
      <top style="hair">
        <color indexed="8"/>
      </top>
      <bottom style="thin">
        <color indexed="8"/>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right style="hair">
        <color indexed="8"/>
      </right>
      <top style="thin">
        <color indexed="8"/>
      </top>
      <bottom style="hair">
        <color indexed="8"/>
      </bottom>
      <diagonal/>
    </border>
    <border>
      <left style="hair">
        <color indexed="8"/>
      </left>
      <right/>
      <top style="thin">
        <color indexed="8"/>
      </top>
      <bottom style="hair">
        <color indexed="8"/>
      </bottom>
      <diagonal/>
    </border>
    <border>
      <left/>
      <right style="hair">
        <color indexed="8"/>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thin">
        <color indexed="8"/>
      </top>
      <bottom style="hair">
        <color indexed="8"/>
      </bottom>
      <diagonal/>
    </border>
    <border>
      <left style="hair">
        <color indexed="8"/>
      </left>
      <right style="hair">
        <color indexed="8"/>
      </right>
      <top/>
      <bottom style="hair">
        <color indexed="8"/>
      </bottom>
      <diagonal/>
    </border>
    <border>
      <left/>
      <right style="hair">
        <color indexed="8"/>
      </right>
      <top/>
      <bottom style="hair">
        <color indexed="8"/>
      </bottom>
      <diagonal/>
    </border>
    <border>
      <left/>
      <right/>
      <top/>
      <bottom style="medium">
        <color indexed="64"/>
      </bottom>
      <diagonal/>
    </border>
    <border>
      <left style="medium">
        <color indexed="8"/>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style="thin">
        <color indexed="64"/>
      </left>
      <right style="medium">
        <color indexed="8"/>
      </right>
      <top style="medium">
        <color indexed="64"/>
      </top>
      <bottom style="thin">
        <color indexed="64"/>
      </bottom>
      <diagonal/>
    </border>
    <border>
      <left/>
      <right style="medium">
        <color indexed="8"/>
      </right>
      <top style="medium">
        <color indexed="64"/>
      </top>
      <bottom style="thin">
        <color indexed="64"/>
      </bottom>
      <diagonal/>
    </border>
    <border>
      <left style="medium">
        <color indexed="8"/>
      </left>
      <right style="thin">
        <color indexed="8"/>
      </right>
      <top style="thin">
        <color indexed="8"/>
      </top>
      <bottom style="thin">
        <color indexed="8"/>
      </bottom>
      <diagonal/>
    </border>
    <border>
      <left style="thin">
        <color indexed="8"/>
      </left>
      <right style="thin">
        <color indexed="64"/>
      </right>
      <top/>
      <bottom style="thin">
        <color indexed="8"/>
      </bottom>
      <diagonal/>
    </border>
    <border>
      <left/>
      <right style="thin">
        <color indexed="64"/>
      </right>
      <top/>
      <bottom style="thin">
        <color indexed="8"/>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8"/>
      </right>
      <top style="thin">
        <color indexed="64"/>
      </top>
      <bottom style="thin">
        <color indexed="8"/>
      </bottom>
      <diagonal/>
    </border>
    <border>
      <left/>
      <right/>
      <top style="thin">
        <color indexed="64"/>
      </top>
      <bottom style="thin">
        <color indexed="8"/>
      </bottom>
      <diagonal/>
    </border>
    <border>
      <left/>
      <right style="medium">
        <color indexed="8"/>
      </right>
      <top style="thin">
        <color indexed="64"/>
      </top>
      <bottom style="thin">
        <color indexed="8"/>
      </bottom>
      <diagonal/>
    </border>
    <border>
      <left style="thin">
        <color indexed="64"/>
      </left>
      <right style="medium">
        <color indexed="8"/>
      </right>
      <top style="thin">
        <color indexed="8"/>
      </top>
      <bottom style="thin">
        <color indexed="8"/>
      </bottom>
      <diagonal/>
    </border>
    <border>
      <left/>
      <right style="medium">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right style="thin">
        <color indexed="64"/>
      </right>
      <top style="thin">
        <color indexed="8"/>
      </top>
      <bottom style="thin">
        <color indexed="8"/>
      </bottom>
      <diagonal/>
    </border>
    <border>
      <left style="thin">
        <color indexed="64"/>
      </left>
      <right style="medium">
        <color indexed="64"/>
      </right>
      <top style="thin">
        <color indexed="8"/>
      </top>
      <bottom style="thin">
        <color indexed="8"/>
      </bottom>
      <diagonal/>
    </border>
    <border>
      <left/>
      <right style="medium">
        <color indexed="64"/>
      </right>
      <top style="thin">
        <color indexed="8"/>
      </top>
      <bottom style="thin">
        <color indexed="8"/>
      </bottom>
      <diagonal/>
    </border>
    <border>
      <left style="medium">
        <color indexed="8"/>
      </left>
      <right style="thin">
        <color indexed="8"/>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thin">
        <color indexed="8"/>
      </left>
      <right style="thin">
        <color indexed="64"/>
      </right>
      <top style="thin">
        <color indexed="8"/>
      </top>
      <bottom style="medium">
        <color indexed="8"/>
      </bottom>
      <diagonal/>
    </border>
    <border>
      <left/>
      <right style="thin">
        <color indexed="64"/>
      </right>
      <top style="thin">
        <color indexed="8"/>
      </top>
      <bottom style="medium">
        <color indexed="8"/>
      </bottom>
      <diagonal/>
    </border>
    <border>
      <left style="thin">
        <color indexed="64"/>
      </left>
      <right/>
      <top style="thin">
        <color indexed="8"/>
      </top>
      <bottom style="medium">
        <color indexed="8"/>
      </bottom>
      <diagonal/>
    </border>
    <border>
      <left style="thin">
        <color indexed="64"/>
      </left>
      <right style="medium">
        <color indexed="64"/>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style="thin">
        <color indexed="64"/>
      </right>
      <top style="medium">
        <color indexed="9"/>
      </top>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double">
        <color indexed="64"/>
      </left>
      <right/>
      <top/>
      <bottom/>
      <diagonal/>
    </border>
    <border>
      <left style="double">
        <color indexed="64"/>
      </left>
      <right/>
      <top/>
      <bottom style="double">
        <color indexed="64"/>
      </bottom>
      <diagonal/>
    </border>
    <border>
      <left style="thin">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style="medium">
        <color indexed="8"/>
      </right>
      <top style="thin">
        <color indexed="8"/>
      </top>
      <bottom/>
      <diagonal/>
    </border>
    <border>
      <left/>
      <right style="thin">
        <color indexed="64"/>
      </right>
      <top style="medium">
        <color indexed="64"/>
      </top>
      <bottom/>
      <diagonal/>
    </border>
    <border>
      <left/>
      <right style="thin">
        <color indexed="64"/>
      </right>
      <top style="double">
        <color indexed="64"/>
      </top>
      <bottom/>
      <diagonal/>
    </border>
    <border>
      <left/>
      <right style="thin">
        <color indexed="64"/>
      </right>
      <top/>
      <bottom/>
      <diagonal/>
    </border>
    <border>
      <left/>
      <right style="medium">
        <color indexed="64"/>
      </right>
      <top style="thin">
        <color indexed="8"/>
      </top>
      <bottom/>
      <diagonal/>
    </border>
    <border>
      <left/>
      <right style="medium">
        <color indexed="8"/>
      </right>
      <top style="medium">
        <color indexed="64"/>
      </top>
      <bottom/>
      <diagonal/>
    </border>
    <border>
      <left/>
      <right style="thin">
        <color indexed="64"/>
      </right>
      <top style="thin">
        <color indexed="8"/>
      </top>
      <bottom/>
      <diagonal/>
    </border>
    <border>
      <left/>
      <right style="medium">
        <color indexed="8"/>
      </right>
      <top style="thin">
        <color indexed="64"/>
      </top>
      <bottom/>
      <diagonal/>
    </border>
  </borders>
  <cellStyleXfs count="1">
    <xf numFmtId="0" fontId="0" fillId="0" borderId="0"/>
  </cellStyleXfs>
  <cellXfs count="236">
    <xf numFmtId="0" fontId="0" fillId="0" borderId="0" pivotButton="0" quotePrefix="0" xfId="0"/>
    <xf numFmtId="0" fontId="1" fillId="2" borderId="1" applyAlignment="1" pivotButton="0" quotePrefix="0" xfId="41">
      <alignment horizontal="center" vertical="center"/>
    </xf>
    <xf numFmtId="0" fontId="2" fillId="2" borderId="2" applyAlignment="1" pivotButton="0" quotePrefix="0" xfId="41">
      <alignment horizontal="center" vertical="center"/>
    </xf>
    <xf numFmtId="0" fontId="0" fillId="0" borderId="3" pivotButton="0" quotePrefix="0" xfId="0"/>
    <xf numFmtId="0" fontId="0" fillId="0" borderId="4" pivotButton="0" quotePrefix="0" xfId="0"/>
    <xf numFmtId="0" fontId="4" fillId="3" borderId="0" applyAlignment="1" pivotButton="0" quotePrefix="0" xfId="41">
      <alignment horizontal="left" indent="1"/>
    </xf>
    <xf numFmtId="0" fontId="5" fillId="0" borderId="0" applyAlignment="1" pivotButton="0" quotePrefix="0" xfId="41">
      <alignment horizontal="left" indent="1"/>
    </xf>
    <xf numFmtId="0" fontId="6" fillId="3" borderId="0" pivotButton="0" quotePrefix="0" xfId="41"/>
    <xf numFmtId="0" fontId="7" fillId="3" borderId="2" applyAlignment="1" pivotButton="0" quotePrefix="0" xfId="41">
      <alignment horizontal="left"/>
    </xf>
    <xf numFmtId="0" fontId="6" fillId="0" borderId="2" applyAlignment="1" pivotButton="0" quotePrefix="0" xfId="41">
      <alignment horizontal="left"/>
    </xf>
    <xf numFmtId="0" fontId="6" fillId="0" borderId="4" pivotButton="0" quotePrefix="0" xfId="41"/>
    <xf numFmtId="0" fontId="7" fillId="3" borderId="2" applyAlignment="1" pivotButton="0" quotePrefix="0" xfId="41">
      <alignment horizontal="left" vertical="center"/>
    </xf>
    <xf numFmtId="0" fontId="6" fillId="0" borderId="2" applyAlignment="1" pivotButton="0" quotePrefix="0" xfId="41">
      <alignment horizontal="left" vertical="center"/>
    </xf>
    <xf numFmtId="0" fontId="0" fillId="0" borderId="5" pivotButton="0" quotePrefix="0" xfId="0"/>
    <xf numFmtId="0" fontId="0" fillId="0" borderId="6" pivotButton="0" quotePrefix="0" xfId="0"/>
    <xf numFmtId="14" fontId="6" fillId="0" borderId="4" applyAlignment="1" pivotButton="0" quotePrefix="0" xfId="41">
      <alignment horizontal="left"/>
    </xf>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xf numFmtId="0" fontId="6" fillId="0" borderId="4" applyAlignment="1" pivotButton="0" quotePrefix="0" xfId="41">
      <alignment horizontal="left"/>
    </xf>
    <xf numFmtId="0" fontId="7" fillId="0" borderId="0" pivotButton="0" quotePrefix="0" xfId="41"/>
    <xf numFmtId="0" fontId="5" fillId="0" borderId="0" applyAlignment="1" pivotButton="0" quotePrefix="0" xfId="41">
      <alignment horizontal="left"/>
    </xf>
    <xf numFmtId="0" fontId="4" fillId="0" borderId="0" applyAlignment="1" pivotButton="0" quotePrefix="0" xfId="41">
      <alignment horizontal="left" indent="1"/>
    </xf>
    <xf numFmtId="0" fontId="6" fillId="0" borderId="0" pivotButton="0" quotePrefix="0" xfId="41"/>
    <xf numFmtId="0" fontId="7" fillId="0" borderId="0" applyAlignment="1" pivotButton="0" quotePrefix="0" xfId="41">
      <alignment horizontal="left"/>
    </xf>
    <xf numFmtId="164" fontId="8" fillId="4" borderId="11" applyAlignment="1" pivotButton="0" quotePrefix="0" xfId="41">
      <alignment horizontal="center" vertical="center"/>
    </xf>
    <xf numFmtId="0" fontId="8" fillId="4" borderId="12" applyAlignment="1" pivotButton="0" quotePrefix="0" xfId="41">
      <alignment horizontal="center" vertical="center"/>
    </xf>
    <xf numFmtId="0" fontId="8" fillId="4" borderId="13" applyAlignment="1" pivotButton="0" quotePrefix="0" xfId="41">
      <alignment horizontal="center" vertical="center"/>
    </xf>
    <xf numFmtId="14" fontId="6" fillId="0" borderId="14" applyAlignment="1" pivotButton="0" quotePrefix="0" xfId="41">
      <alignment vertical="top" wrapText="1"/>
    </xf>
    <xf numFmtId="49" fontId="6" fillId="0" borderId="15" applyAlignment="1" pivotButton="0" quotePrefix="0" xfId="41">
      <alignment vertical="top"/>
    </xf>
    <xf numFmtId="0" fontId="6" fillId="0" borderId="15" applyAlignment="1" pivotButton="0" quotePrefix="0" xfId="41">
      <alignment vertical="top"/>
    </xf>
    <xf numFmtId="15" fontId="6" fillId="0" borderId="15" applyAlignment="1" pivotButton="0" quotePrefix="0" xfId="41">
      <alignment vertical="top" wrapText="1"/>
    </xf>
    <xf numFmtId="0" fontId="9" fillId="0" borderId="16" applyAlignment="1" pivotButton="0" quotePrefix="0" xfId="41">
      <alignment vertical="top" wrapText="1"/>
    </xf>
    <xf numFmtId="14" fontId="6" fillId="0" borderId="14" applyAlignment="1" pivotButton="0" quotePrefix="0" xfId="41">
      <alignment vertical="top"/>
    </xf>
    <xf numFmtId="0" fontId="6" fillId="0" borderId="16" applyAlignment="1" pivotButton="0" quotePrefix="0" xfId="41">
      <alignment vertical="top"/>
    </xf>
    <xf numFmtId="0" fontId="6" fillId="0" borderId="15" applyAlignment="1" pivotButton="0" quotePrefix="0" xfId="41">
      <alignment vertical="top" wrapText="1"/>
    </xf>
    <xf numFmtId="14" fontId="6" fillId="0" borderId="17" applyAlignment="1" pivotButton="0" quotePrefix="0" xfId="41">
      <alignment vertical="top"/>
    </xf>
    <xf numFmtId="49" fontId="6" fillId="0" borderId="18" applyAlignment="1" pivotButton="0" quotePrefix="0" xfId="41">
      <alignment vertical="top"/>
    </xf>
    <xf numFmtId="0" fontId="6" fillId="0" borderId="18" applyAlignment="1" pivotButton="0" quotePrefix="0" xfId="41">
      <alignment vertical="top"/>
    </xf>
    <xf numFmtId="0" fontId="6" fillId="0" borderId="19" applyAlignment="1" pivotButton="0" quotePrefix="0" xfId="41">
      <alignment vertical="top"/>
    </xf>
    <xf numFmtId="49" fontId="6" fillId="0" borderId="20" applyAlignment="1" pivotButton="0" quotePrefix="0" xfId="41">
      <alignment vertical="top"/>
    </xf>
    <xf numFmtId="0" fontId="6" fillId="0" borderId="20" applyAlignment="1" pivotButton="0" quotePrefix="0" xfId="41">
      <alignment vertical="top"/>
    </xf>
    <xf numFmtId="14" fontId="6" fillId="0" borderId="21" applyAlignment="1" pivotButton="0" quotePrefix="0" xfId="41">
      <alignment vertical="top"/>
    </xf>
    <xf numFmtId="0" fontId="6" fillId="0" borderId="22" applyAlignment="1" pivotButton="0" quotePrefix="0" xfId="41">
      <alignment vertical="top"/>
    </xf>
    <xf numFmtId="1" fontId="6" fillId="5" borderId="0" pivotButton="0" quotePrefix="0" xfId="41"/>
    <xf numFmtId="0" fontId="6" fillId="5" borderId="0" applyAlignment="1" pivotButton="0" quotePrefix="0" xfId="41">
      <alignment horizontal="left"/>
    </xf>
    <xf numFmtId="0" fontId="6" fillId="5" borderId="0" applyAlignment="1" pivotButton="0" quotePrefix="0" xfId="41">
      <alignment horizontal="left" wrapText="1"/>
    </xf>
    <xf numFmtId="1" fontId="6" fillId="5" borderId="0" applyProtection="1" pivotButton="0" quotePrefix="0" xfId="41">
      <protection locked="1" hidden="1"/>
    </xf>
    <xf numFmtId="0" fontId="2" fillId="5" borderId="0" applyAlignment="1" pivotButton="0" quotePrefix="0" xfId="41">
      <alignment horizontal="left"/>
    </xf>
    <xf numFmtId="0" fontId="10" fillId="5" borderId="0" applyAlignment="1" pivotButton="0" quotePrefix="0" xfId="41">
      <alignment horizontal="left"/>
    </xf>
    <xf numFmtId="0" fontId="11" fillId="5" borderId="0" applyAlignment="1" pivotButton="0" quotePrefix="0" xfId="41">
      <alignment horizontal="left"/>
    </xf>
    <xf numFmtId="1" fontId="7" fillId="3" borderId="1" pivotButton="0" quotePrefix="0" xfId="41"/>
    <xf numFmtId="0" fontId="6" fillId="3" borderId="2" applyAlignment="1" pivotButton="0" quotePrefix="0" xfId="41">
      <alignment horizontal="left"/>
    </xf>
    <xf numFmtId="1" fontId="7" fillId="3" borderId="2" applyAlignment="1" pivotButton="0" quotePrefix="0" xfId="41">
      <alignment horizontal="left"/>
    </xf>
    <xf numFmtId="0" fontId="6" fillId="3" borderId="1" applyAlignment="1" pivotButton="0" quotePrefix="0" xfId="41">
      <alignment horizontal="left"/>
    </xf>
    <xf numFmtId="0" fontId="6" fillId="3" borderId="3" applyAlignment="1" pivotButton="0" quotePrefix="0" xfId="41">
      <alignment horizontal="left"/>
    </xf>
    <xf numFmtId="0" fontId="6" fillId="3" borderId="4" applyAlignment="1" pivotButton="0" quotePrefix="0" xfId="41">
      <alignment horizontal="left"/>
    </xf>
    <xf numFmtId="1" fontId="7" fillId="3" borderId="2" applyAlignment="1" pivotButton="0" quotePrefix="0" xfId="41">
      <alignment vertical="center" wrapText="1"/>
    </xf>
    <xf numFmtId="0" fontId="6" fillId="3" borderId="2" applyAlignment="1" pivotButton="0" quotePrefix="0" xfId="41">
      <alignment horizontal="left" vertical="top" wrapText="1"/>
    </xf>
    <xf numFmtId="1" fontId="4" fillId="3" borderId="0" pivotButton="0" quotePrefix="0" xfId="41"/>
    <xf numFmtId="0" fontId="6" fillId="3" borderId="0" applyAlignment="1" pivotButton="0" quotePrefix="0" xfId="41">
      <alignment wrapText="1"/>
    </xf>
    <xf numFmtId="1" fontId="6" fillId="3" borderId="0" applyAlignment="1" applyProtection="1" pivotButton="0" quotePrefix="0" xfId="41">
      <alignment vertical="center"/>
      <protection locked="1" hidden="1"/>
    </xf>
    <xf numFmtId="0" fontId="6" fillId="3" borderId="0" applyAlignment="1" pivotButton="0" quotePrefix="0" xfId="41">
      <alignment horizontal="left" vertical="center"/>
    </xf>
    <xf numFmtId="0" fontId="6" fillId="3" borderId="0" applyAlignment="1" pivotButton="0" quotePrefix="0" xfId="41">
      <alignment horizontal="left" vertical="center" wrapText="1"/>
    </xf>
    <xf numFmtId="1" fontId="8" fillId="6" borderId="11" applyAlignment="1" pivotButton="0" quotePrefix="0" xfId="41">
      <alignment horizontal="center" vertical="center"/>
    </xf>
    <xf numFmtId="1" fontId="8" fillId="6" borderId="26" applyAlignment="1" pivotButton="0" quotePrefix="0" xfId="41">
      <alignment horizontal="center" vertical="center" wrapText="1"/>
    </xf>
    <xf numFmtId="1" fontId="8" fillId="6" borderId="26" applyAlignment="1" pivotButton="0" quotePrefix="0" xfId="41">
      <alignment horizontal="center" vertical="center"/>
    </xf>
    <xf numFmtId="0" fontId="8" fillId="6" borderId="12" applyAlignment="1" pivotButton="0" quotePrefix="0" xfId="41">
      <alignment horizontal="center" vertical="center"/>
    </xf>
    <xf numFmtId="0" fontId="8" fillId="6" borderId="12" applyAlignment="1" pivotButton="0" quotePrefix="0" xfId="41">
      <alignment horizontal="center" vertical="center" wrapText="1"/>
    </xf>
    <xf numFmtId="0" fontId="8" fillId="6" borderId="27" applyAlignment="1" pivotButton="0" quotePrefix="0" xfId="41">
      <alignment horizontal="center" vertical="center"/>
    </xf>
    <xf numFmtId="0" fontId="8" fillId="6" borderId="13" applyAlignment="1" pivotButton="0" quotePrefix="0" xfId="41">
      <alignment horizontal="center" vertical="center"/>
    </xf>
    <xf numFmtId="1" fontId="6" fillId="3" borderId="14" applyAlignment="1" pivotButton="0" quotePrefix="0" xfId="41">
      <alignment horizontal="center" vertical="center"/>
    </xf>
    <xf numFmtId="1" fontId="6" fillId="3" borderId="28" applyAlignment="1" pivotButton="0" quotePrefix="0" xfId="41">
      <alignment vertical="center"/>
    </xf>
    <xf numFmtId="49" fontId="6" fillId="3" borderId="15" applyAlignment="1" pivotButton="0" quotePrefix="0" xfId="41">
      <alignment horizontal="left" vertical="center"/>
    </xf>
    <xf numFmtId="49" fontId="6" fillId="3" borderId="15" applyAlignment="1" pivotButton="0" quotePrefix="0" xfId="41">
      <alignment horizontal="left" vertical="center" wrapText="1"/>
    </xf>
    <xf numFmtId="0" fontId="12" fillId="3" borderId="15" applyAlignment="1" pivotButton="0" quotePrefix="0" xfId="34">
      <alignment horizontal="left" vertical="center"/>
    </xf>
    <xf numFmtId="0" fontId="6" fillId="3" borderId="15" applyAlignment="1" pivotButton="0" quotePrefix="0" xfId="34">
      <alignment horizontal="left" vertical="center"/>
    </xf>
    <xf numFmtId="0" fontId="6" fillId="3" borderId="16" applyAlignment="1" pivotButton="0" quotePrefix="0" xfId="41">
      <alignment horizontal="left" vertical="center"/>
    </xf>
    <xf numFmtId="0" fontId="12" fillId="3" borderId="15" applyAlignment="1" pivotButton="0" quotePrefix="0" xfId="34">
      <alignment horizontal="left" vertical="center" wrapText="1"/>
    </xf>
    <xf numFmtId="0" fontId="13" fillId="3" borderId="15" applyAlignment="1" pivotButton="0" quotePrefix="0" xfId="34">
      <alignment horizontal="left" vertical="center"/>
    </xf>
    <xf numFmtId="0" fontId="6" fillId="3" borderId="15" applyAlignment="1" pivotButton="0" quotePrefix="0" xfId="41">
      <alignment horizontal="left" vertical="center"/>
    </xf>
    <xf numFmtId="49" fontId="12" fillId="3" borderId="15" applyAlignment="1" pivotButton="0" quotePrefix="0" xfId="34">
      <alignment horizontal="left" vertical="center"/>
    </xf>
    <xf numFmtId="1" fontId="6" fillId="3" borderId="29" applyAlignment="1" pivotButton="0" quotePrefix="0" xfId="41">
      <alignment vertical="center"/>
    </xf>
    <xf numFmtId="49" fontId="6" fillId="3" borderId="18" applyAlignment="1" pivotButton="0" quotePrefix="0" xfId="41">
      <alignment horizontal="left" vertical="center"/>
    </xf>
    <xf numFmtId="49" fontId="12" fillId="3" borderId="18" applyAlignment="1" pivotButton="0" quotePrefix="0" xfId="34">
      <alignment horizontal="left" vertical="center"/>
    </xf>
    <xf numFmtId="0" fontId="6" fillId="3" borderId="18" applyAlignment="1" pivotButton="0" quotePrefix="0" xfId="41">
      <alignment horizontal="left" vertical="center"/>
    </xf>
    <xf numFmtId="49" fontId="6" fillId="3" borderId="18" applyAlignment="1" pivotButton="0" quotePrefix="0" xfId="41">
      <alignment horizontal="left" vertical="center" wrapText="1"/>
    </xf>
    <xf numFmtId="0" fontId="12" fillId="3" borderId="18" applyAlignment="1" pivotButton="0" quotePrefix="0" xfId="34">
      <alignment horizontal="left" vertical="center"/>
    </xf>
    <xf numFmtId="0" fontId="6" fillId="3" borderId="22" applyAlignment="1" pivotButton="0" quotePrefix="0" xfId="41">
      <alignment horizontal="left" vertical="center"/>
    </xf>
    <xf numFmtId="0" fontId="6" fillId="5" borderId="0" pivotButton="0" quotePrefix="0" xfId="41"/>
    <xf numFmtId="0" fontId="2" fillId="5" borderId="0" applyAlignment="1" pivotButton="0" quotePrefix="0" xfId="38">
      <alignment horizontal="center"/>
    </xf>
    <xf numFmtId="0" fontId="7" fillId="5" borderId="0" pivotButton="0" quotePrefix="0" xfId="38"/>
    <xf numFmtId="0" fontId="6" fillId="5" borderId="0" pivotButton="0" quotePrefix="0" xfId="38"/>
    <xf numFmtId="164" fontId="6" fillId="5" borderId="0" pivotButton="0" quotePrefix="0" xfId="38"/>
    <xf numFmtId="0" fontId="6" fillId="3" borderId="2" applyAlignment="1" pivotButton="0" quotePrefix="0" xfId="41">
      <alignment horizontal="center"/>
    </xf>
    <xf numFmtId="0" fontId="7" fillId="3" borderId="2" applyAlignment="1" pivotButton="0" quotePrefix="0" xfId="41">
      <alignment horizontal="center"/>
    </xf>
    <xf numFmtId="0" fontId="7" fillId="3" borderId="2" applyAlignment="1" pivotButton="0" quotePrefix="0" xfId="41">
      <alignment vertical="center"/>
    </xf>
    <xf numFmtId="14" fontId="6" fillId="3" borderId="2" applyAlignment="1" pivotButton="0" quotePrefix="0" xfId="41">
      <alignment horizontal="center" vertical="top"/>
    </xf>
    <xf numFmtId="0" fontId="9" fillId="3" borderId="2" applyAlignment="1" pivotButton="0" quotePrefix="0" xfId="38">
      <alignment vertical="top" wrapText="1"/>
    </xf>
    <xf numFmtId="0" fontId="4" fillId="3" borderId="0" pivotButton="0" quotePrefix="0" xfId="41"/>
    <xf numFmtId="0" fontId="5" fillId="3" borderId="0" pivotButton="0" quotePrefix="0" xfId="38"/>
    <xf numFmtId="0" fontId="6" fillId="3" borderId="0" pivotButton="0" quotePrefix="0" xfId="38"/>
    <xf numFmtId="164" fontId="6" fillId="3" borderId="0" pivotButton="0" quotePrefix="0" xfId="38"/>
    <xf numFmtId="0" fontId="8" fillId="4" borderId="26" applyAlignment="1" pivotButton="0" quotePrefix="0" xfId="41">
      <alignment horizontal="center"/>
    </xf>
    <xf numFmtId="0" fontId="8" fillId="4" borderId="12" applyAlignment="1" pivotButton="0" quotePrefix="0" xfId="41">
      <alignment horizontal="center"/>
    </xf>
    <xf numFmtId="0" fontId="8" fillId="4" borderId="12" applyAlignment="1" pivotButton="0" quotePrefix="0" xfId="41">
      <alignment horizontal="center" wrapText="1"/>
    </xf>
    <xf numFmtId="0" fontId="8" fillId="4" borderId="27" applyAlignment="1" pivotButton="0" quotePrefix="0" xfId="41">
      <alignment horizontal="center"/>
    </xf>
    <xf numFmtId="0" fontId="8" fillId="4" borderId="30" applyAlignment="1" pivotButton="0" quotePrefix="0" xfId="41">
      <alignment horizontal="center" wrapText="1"/>
    </xf>
    <xf numFmtId="0" fontId="6" fillId="7" borderId="28" applyAlignment="1" pivotButton="0" quotePrefix="0" xfId="41">
      <alignment horizontal="center"/>
    </xf>
    <xf numFmtId="49" fontId="12" fillId="3" borderId="15" applyAlignment="1" pivotButton="0" quotePrefix="0" xfId="34">
      <alignment horizontal="left" vertical="center" wrapText="1"/>
    </xf>
    <xf numFmtId="0" fontId="6" fillId="3" borderId="15" applyAlignment="1" pivotButton="0" quotePrefix="0" xfId="41">
      <alignment horizontal="center"/>
    </xf>
    <xf numFmtId="0" fontId="6" fillId="3" borderId="31" applyAlignment="1" pivotButton="0" quotePrefix="0" xfId="41">
      <alignment horizontal="center"/>
    </xf>
    <xf numFmtId="49" fontId="12" fillId="3" borderId="15" pivotButton="0" quotePrefix="0" xfId="34"/>
    <xf numFmtId="0" fontId="6" fillId="8" borderId="28" applyAlignment="1" pivotButton="0" quotePrefix="0" xfId="41">
      <alignment horizontal="center"/>
    </xf>
    <xf numFmtId="49" fontId="14" fillId="3" borderId="15" pivotButton="0" quotePrefix="0" xfId="34"/>
    <xf numFmtId="0" fontId="6" fillId="3" borderId="28" applyAlignment="1" pivotButton="0" quotePrefix="0" xfId="41">
      <alignment horizontal="center"/>
    </xf>
    <xf numFmtId="49" fontId="14" fillId="3" borderId="28" pivotButton="0" quotePrefix="0" xfId="34"/>
    <xf numFmtId="0" fontId="6" fillId="3" borderId="32" applyAlignment="1" pivotButton="0" quotePrefix="0" xfId="41">
      <alignment horizontal="center"/>
    </xf>
    <xf numFmtId="0" fontId="15" fillId="4" borderId="29" applyAlignment="1" pivotButton="0" quotePrefix="0" xfId="41">
      <alignment horizontal="center"/>
    </xf>
    <xf numFmtId="0" fontId="16" fillId="9" borderId="0" applyAlignment="1" pivotButton="0" quotePrefix="0" xfId="0">
      <alignment vertical="center"/>
    </xf>
    <xf numFmtId="0" fontId="15" fillId="4" borderId="18" applyAlignment="1" pivotButton="0" quotePrefix="0" xfId="41">
      <alignment horizontal="center"/>
    </xf>
    <xf numFmtId="0" fontId="6" fillId="3" borderId="0" applyAlignment="1" pivotButton="0" quotePrefix="0" xfId="41">
      <alignment horizontal="center"/>
    </xf>
    <xf numFmtId="10" fontId="6" fillId="3" borderId="0" applyAlignment="1" pivotButton="0" quotePrefix="0" xfId="41">
      <alignment horizontal="center"/>
    </xf>
    <xf numFmtId="9" fontId="6" fillId="3" borderId="0" applyAlignment="1" pivotButton="0" quotePrefix="0" xfId="41">
      <alignment horizontal="center"/>
    </xf>
    <xf numFmtId="0" fontId="7" fillId="3" borderId="0" applyAlignment="1" pivotButton="0" quotePrefix="0" xfId="41">
      <alignment horizontal="left"/>
    </xf>
    <xf numFmtId="2" fontId="7" fillId="3" borderId="0" applyAlignment="1" pivotButton="0" quotePrefix="0" xfId="41">
      <alignment horizontal="right" wrapText="1"/>
    </xf>
    <xf numFmtId="0" fontId="17" fillId="3" borderId="0" applyAlignment="1" pivotButton="0" quotePrefix="0" xfId="41">
      <alignment horizontal="center" wrapText="1"/>
    </xf>
    <xf numFmtId="0" fontId="18" fillId="0" borderId="33" pivotButton="0" quotePrefix="0" xfId="41"/>
    <xf numFmtId="0" fontId="19" fillId="0" borderId="33" applyAlignment="1" pivotButton="0" quotePrefix="0" xfId="41">
      <alignment horizontal="left"/>
    </xf>
    <xf numFmtId="0" fontId="19" fillId="3" borderId="34" applyAlignment="1" pivotButton="0" quotePrefix="0" xfId="39">
      <alignment horizontal="left" wrapText="1"/>
    </xf>
    <xf numFmtId="0" fontId="0" fillId="0" borderId="35" pivotButton="0" quotePrefix="0" xfId="0"/>
    <xf numFmtId="49" fontId="18" fillId="3" borderId="36" applyAlignment="1" pivotButton="0" quotePrefix="0" xfId="39">
      <alignment horizontal="center" wrapText="1"/>
    </xf>
    <xf numFmtId="0" fontId="0" fillId="0" borderId="37" pivotButton="0" quotePrefix="0" xfId="0"/>
    <xf numFmtId="0" fontId="19" fillId="3" borderId="38" applyAlignment="1" pivotButton="0" quotePrefix="0" xfId="39">
      <alignment horizontal="left" wrapText="1"/>
    </xf>
    <xf numFmtId="0" fontId="0" fillId="0" borderId="39" pivotButton="0" quotePrefix="0" xfId="0"/>
    <xf numFmtId="49" fontId="18" fillId="3" borderId="40" applyAlignment="1" pivotButton="0" quotePrefix="0" xfId="39">
      <alignment horizontal="center" wrapText="1"/>
    </xf>
    <xf numFmtId="0" fontId="0" fillId="0" borderId="41" pivotButton="0" quotePrefix="0" xfId="0"/>
    <xf numFmtId="49" fontId="18" fillId="0" borderId="0" pivotButton="0" quotePrefix="0" xfId="41"/>
    <xf numFmtId="0" fontId="19" fillId="3" borderId="42" applyAlignment="1" pivotButton="0" quotePrefix="0" xfId="39">
      <alignment horizontal="left" wrapText="1"/>
    </xf>
    <xf numFmtId="0" fontId="18" fillId="3" borderId="43" applyAlignment="1" pivotButton="0" quotePrefix="0" xfId="39">
      <alignment horizontal="center" wrapText="1"/>
    </xf>
    <xf numFmtId="0" fontId="0" fillId="0" borderId="44" pivotButton="0" quotePrefix="0" xfId="0"/>
    <xf numFmtId="0" fontId="19" fillId="3" borderId="45" applyAlignment="1" pivotButton="0" quotePrefix="0" xfId="39">
      <alignment horizontal="left" wrapText="1"/>
    </xf>
    <xf numFmtId="0" fontId="0" fillId="0" borderId="46" pivotButton="0" quotePrefix="0" xfId="0"/>
    <xf numFmtId="0" fontId="0" fillId="0" borderId="47" pivotButton="0" quotePrefix="0" xfId="0"/>
    <xf numFmtId="0" fontId="18" fillId="3" borderId="48" applyAlignment="1" pivotButton="0" quotePrefix="0" xfId="39">
      <alignment horizontal="center" wrapText="1"/>
    </xf>
    <xf numFmtId="0" fontId="0" fillId="0" borderId="49" pivotButton="0" quotePrefix="0" xfId="0"/>
    <xf numFmtId="0" fontId="0" fillId="0" borderId="50" pivotButton="0" quotePrefix="0" xfId="0"/>
    <xf numFmtId="0" fontId="18" fillId="3" borderId="1" applyAlignment="1" pivotButton="0" quotePrefix="0" xfId="39">
      <alignment horizontal="center" wrapText="1"/>
    </xf>
    <xf numFmtId="0" fontId="18" fillId="3" borderId="3" applyAlignment="1" pivotButton="0" quotePrefix="0" xfId="39">
      <alignment horizontal="center" wrapText="1"/>
    </xf>
    <xf numFmtId="0" fontId="18" fillId="3" borderId="51" applyAlignment="1" pivotButton="0" quotePrefix="0" xfId="39">
      <alignment horizontal="center" wrapText="1"/>
    </xf>
    <xf numFmtId="0" fontId="0" fillId="0" borderId="52" pivotButton="0" quotePrefix="0" xfId="0"/>
    <xf numFmtId="0" fontId="20" fillId="3" borderId="53" applyAlignment="1" pivotButton="0" quotePrefix="0" xfId="39">
      <alignment horizontal="left" wrapText="1"/>
    </xf>
    <xf numFmtId="0" fontId="19" fillId="3" borderId="42" applyAlignment="1" pivotButton="0" quotePrefix="0" xfId="41">
      <alignment horizontal="center" vertical="center"/>
    </xf>
    <xf numFmtId="0" fontId="19" fillId="3" borderId="2" applyAlignment="1" pivotButton="0" quotePrefix="0" xfId="41">
      <alignment horizontal="center" vertical="center" wrapText="1"/>
    </xf>
    <xf numFmtId="0" fontId="19" fillId="3" borderId="54" applyAlignment="1" pivotButton="0" quotePrefix="0" xfId="41">
      <alignment horizontal="center" vertical="center" wrapText="1"/>
    </xf>
    <xf numFmtId="0" fontId="0" fillId="0" borderId="55" pivotButton="0" quotePrefix="0" xfId="0"/>
    <xf numFmtId="0" fontId="19" fillId="3" borderId="3" applyAlignment="1" pivotButton="0" quotePrefix="0" xfId="41">
      <alignment horizontal="center" vertical="center" wrapText="1"/>
    </xf>
    <xf numFmtId="0" fontId="19" fillId="3" borderId="56" applyAlignment="1" pivotButton="0" quotePrefix="0" xfId="41">
      <alignment horizontal="center" vertical="center" wrapText="1"/>
    </xf>
    <xf numFmtId="0" fontId="0" fillId="0" borderId="57" pivotButton="0" quotePrefix="0" xfId="0"/>
    <xf numFmtId="0" fontId="18" fillId="3" borderId="58" applyAlignment="1" pivotButton="0" quotePrefix="0" xfId="41">
      <alignment horizontal="center" vertical="center"/>
    </xf>
    <xf numFmtId="0" fontId="0" fillId="0" borderId="59" pivotButton="0" quotePrefix="0" xfId="0"/>
    <xf numFmtId="0" fontId="18" fillId="3" borderId="60" applyAlignment="1" pivotButton="0" quotePrefix="0" xfId="41">
      <alignment horizontal="center" vertical="center"/>
    </xf>
    <xf numFmtId="0" fontId="0" fillId="0" borderId="61" pivotButton="0" quotePrefix="0" xfId="0"/>
    <xf numFmtId="0" fontId="18" fillId="3" borderId="62" applyAlignment="1" pivotButton="0" quotePrefix="0" xfId="41">
      <alignment horizontal="center" vertical="center"/>
    </xf>
    <xf numFmtId="0" fontId="0" fillId="0" borderId="63" pivotButton="0" quotePrefix="0" xfId="0"/>
    <xf numFmtId="0" fontId="18" fillId="3" borderId="64" applyAlignment="1" pivotButton="0" quotePrefix="0" xfId="41">
      <alignment horizontal="center" vertical="center"/>
    </xf>
    <xf numFmtId="0" fontId="18" fillId="3" borderId="65" applyAlignment="1" pivotButton="0" quotePrefix="0" xfId="41">
      <alignment horizontal="center" vertical="center"/>
    </xf>
    <xf numFmtId="0" fontId="0" fillId="0" borderId="66" pivotButton="0" quotePrefix="0" xfId="0"/>
    <xf numFmtId="0" fontId="18" fillId="0" borderId="67" pivotButton="0" quotePrefix="0" xfId="41"/>
    <xf numFmtId="0" fontId="21" fillId="9" borderId="68" pivotButton="0" quotePrefix="0" xfId="41"/>
    <xf numFmtId="0" fontId="22" fillId="9" borderId="69" applyAlignment="1" pivotButton="0" quotePrefix="0" xfId="41">
      <alignment horizontal="left"/>
    </xf>
    <xf numFmtId="0" fontId="21" fillId="9" borderId="69" pivotButton="0" quotePrefix="0" xfId="41"/>
    <xf numFmtId="0" fontId="21" fillId="9" borderId="69" applyAlignment="1" pivotButton="0" quotePrefix="0" xfId="41">
      <alignment horizontal="right"/>
    </xf>
    <xf numFmtId="0" fontId="22" fillId="9" borderId="69" applyAlignment="1" pivotButton="0" quotePrefix="0" xfId="41">
      <alignment vertical="top" textRotation="180"/>
    </xf>
    <xf numFmtId="0" fontId="22" fillId="9" borderId="70" applyAlignment="1" pivotButton="0" quotePrefix="0" xfId="41">
      <alignment vertical="top" textRotation="180"/>
    </xf>
    <xf numFmtId="0" fontId="19" fillId="0" borderId="0" pivotButton="0" quotePrefix="0" xfId="41"/>
    <xf numFmtId="0" fontId="22" fillId="9" borderId="71" applyAlignment="1" pivotButton="0" quotePrefix="0" xfId="41">
      <alignment vertical="center"/>
    </xf>
    <xf numFmtId="0" fontId="19" fillId="10" borderId="72" applyAlignment="1" pivotButton="0" quotePrefix="0" xfId="41">
      <alignment horizontal="left" vertical="top"/>
    </xf>
    <xf numFmtId="0" fontId="18" fillId="10" borderId="46" applyAlignment="1" pivotButton="0" quotePrefix="0" xfId="41">
      <alignment horizontal="center" vertical="top"/>
    </xf>
    <xf numFmtId="0" fontId="18" fillId="10" borderId="47" applyAlignment="1" pivotButton="0" quotePrefix="0" xfId="41">
      <alignment horizontal="right" vertical="top"/>
    </xf>
    <xf numFmtId="0" fontId="20" fillId="11" borderId="73" applyAlignment="1" pivotButton="0" quotePrefix="0" xfId="41">
      <alignment horizontal="right"/>
    </xf>
    <xf numFmtId="0" fontId="23" fillId="0" borderId="45" applyAlignment="1" pivotButton="0" quotePrefix="0" xfId="41">
      <alignment horizontal="center"/>
    </xf>
    <xf numFmtId="0" fontId="23" fillId="0" borderId="74" applyAlignment="1" pivotButton="0" quotePrefix="0" xfId="41">
      <alignment horizontal="center"/>
    </xf>
    <xf numFmtId="0" fontId="22" fillId="9" borderId="75" applyAlignment="1" pivotButton="0" quotePrefix="0" xfId="41">
      <alignment vertical="center"/>
    </xf>
    <xf numFmtId="0" fontId="20" fillId="11" borderId="0" applyAlignment="1" pivotButton="0" quotePrefix="0" xfId="41">
      <alignment horizontal="right"/>
    </xf>
    <xf numFmtId="0" fontId="24" fillId="0" borderId="45" applyAlignment="1" pivotButton="0" quotePrefix="0" xfId="41">
      <alignment horizontal="center"/>
    </xf>
    <xf numFmtId="0" fontId="24" fillId="0" borderId="74" applyAlignment="1" pivotButton="0" quotePrefix="0" xfId="41">
      <alignment horizontal="center"/>
    </xf>
    <xf numFmtId="0" fontId="18" fillId="10" borderId="47" applyAlignment="1" pivotButton="0" quotePrefix="0" xfId="41">
      <alignment horizontal="right" vertical="top" wrapText="1"/>
    </xf>
    <xf numFmtId="0" fontId="18" fillId="11" borderId="0" applyAlignment="1" pivotButton="0" quotePrefix="0" xfId="41">
      <alignment horizontal="right"/>
    </xf>
    <xf numFmtId="0" fontId="22" fillId="9" borderId="71" applyAlignment="1" pivotButton="0" quotePrefix="0" xfId="41">
      <alignment vertical="top"/>
    </xf>
    <xf numFmtId="0" fontId="19" fillId="10" borderId="76" pivotButton="0" quotePrefix="0" xfId="42"/>
    <xf numFmtId="0" fontId="3" fillId="10" borderId="73" pivotButton="0" quotePrefix="0" xfId="42"/>
    <xf numFmtId="0" fontId="18" fillId="10" borderId="77" applyAlignment="1" pivotButton="0" quotePrefix="0" xfId="42">
      <alignment horizontal="right"/>
    </xf>
    <xf numFmtId="0" fontId="18" fillId="11" borderId="78" applyAlignment="1" pivotButton="0" quotePrefix="0" xfId="41">
      <alignment horizontal="left"/>
    </xf>
    <xf numFmtId="0" fontId="23" fillId="0" borderId="78" applyAlignment="1" pivotButton="0" quotePrefix="0" xfId="41">
      <alignment horizontal="center"/>
    </xf>
    <xf numFmtId="0" fontId="23" fillId="0" borderId="79" applyAlignment="1" pivotButton="0" quotePrefix="0" xfId="41">
      <alignment horizontal="center"/>
    </xf>
    <xf numFmtId="0" fontId="22" fillId="9" borderId="75" applyAlignment="1" pivotButton="0" quotePrefix="0" xfId="41">
      <alignment vertical="top"/>
    </xf>
    <xf numFmtId="0" fontId="18" fillId="10" borderId="73" pivotButton="0" quotePrefix="0" xfId="42"/>
    <xf numFmtId="0" fontId="18" fillId="10" borderId="77" applyAlignment="1" pivotButton="0" quotePrefix="0" xfId="42">
      <alignment horizontal="right" wrapText="1"/>
    </xf>
    <xf numFmtId="0" fontId="18" fillId="11" borderId="45" applyAlignment="1" pivotButton="0" quotePrefix="0" xfId="41">
      <alignment horizontal="left"/>
    </xf>
    <xf numFmtId="0" fontId="19" fillId="10" borderId="72" applyAlignment="1" pivotButton="0" quotePrefix="0" xfId="41">
      <alignment horizontal="right"/>
    </xf>
    <xf numFmtId="0" fontId="18" fillId="10" borderId="46" pivotButton="0" quotePrefix="0" xfId="41"/>
    <xf numFmtId="0" fontId="18" fillId="10" borderId="47" applyAlignment="1" pivotButton="0" quotePrefix="0" xfId="41">
      <alignment horizontal="right" wrapText="1"/>
    </xf>
    <xf numFmtId="0" fontId="19" fillId="10" borderId="72" pivotButton="0" quotePrefix="0" xfId="42"/>
    <xf numFmtId="0" fontId="3" fillId="10" borderId="46" pivotButton="0" quotePrefix="0" xfId="42"/>
    <xf numFmtId="0" fontId="18" fillId="10" borderId="47" applyAlignment="1" pivotButton="0" quotePrefix="0" xfId="42">
      <alignment horizontal="right"/>
    </xf>
    <xf numFmtId="0" fontId="18" fillId="10" borderId="47" applyAlignment="1" pivotButton="0" quotePrefix="0" xfId="42">
      <alignment horizontal="right" wrapText="1"/>
    </xf>
    <xf numFmtId="0" fontId="19" fillId="10" borderId="72" pivotButton="0" quotePrefix="0" xfId="41"/>
    <xf numFmtId="0" fontId="18" fillId="10" borderId="47" applyAlignment="1" pivotButton="0" quotePrefix="0" xfId="41">
      <alignment horizontal="right"/>
    </xf>
    <xf numFmtId="0" fontId="3" fillId="10" borderId="46" pivotButton="0" quotePrefix="0" xfId="41"/>
    <xf numFmtId="0" fontId="18" fillId="11" borderId="45" pivotButton="0" quotePrefix="0" xfId="41"/>
    <xf numFmtId="0" fontId="18" fillId="0" borderId="80" applyAlignment="1" pivotButton="0" quotePrefix="0" xfId="41">
      <alignment horizontal="left"/>
    </xf>
    <xf numFmtId="0" fontId="0" fillId="0" borderId="81" pivotButton="0" quotePrefix="0" xfId="0"/>
    <xf numFmtId="0" fontId="0" fillId="0" borderId="82" pivotButton="0" quotePrefix="0" xfId="0"/>
    <xf numFmtId="0" fontId="25" fillId="0" borderId="80" applyAlignment="1" pivotButton="0" quotePrefix="0" xfId="41">
      <alignment horizontal="center"/>
    </xf>
    <xf numFmtId="0" fontId="25" fillId="0" borderId="83" applyAlignment="1" pivotButton="0" quotePrefix="0" xfId="41">
      <alignment horizontal="center"/>
    </xf>
    <xf numFmtId="0" fontId="22" fillId="9" borderId="84" applyAlignment="1" pivotButton="0" quotePrefix="0" xfId="41">
      <alignment vertical="top"/>
    </xf>
    <xf numFmtId="0" fontId="18" fillId="0" borderId="45" applyAlignment="1" pivotButton="0" quotePrefix="0" xfId="41">
      <alignment horizontal="left"/>
    </xf>
    <xf numFmtId="0" fontId="26" fillId="0" borderId="45" applyAlignment="1" pivotButton="0" quotePrefix="0" xfId="41">
      <alignment horizontal="left"/>
    </xf>
    <xf numFmtId="0" fontId="25" fillId="0" borderId="45" applyAlignment="1" pivotButton="0" quotePrefix="0" xfId="41">
      <alignment horizontal="center"/>
    </xf>
    <xf numFmtId="0" fontId="25" fillId="0" borderId="74" applyAlignment="1" pivotButton="0" quotePrefix="0" xfId="41">
      <alignment horizontal="center"/>
    </xf>
    <xf numFmtId="0" fontId="18" fillId="0" borderId="45" applyAlignment="1" pivotButton="0" quotePrefix="0" xfId="41">
      <alignment horizontal="left" vertical="top"/>
    </xf>
    <xf numFmtId="0" fontId="18" fillId="0" borderId="45" pivotButton="0" quotePrefix="0" xfId="41"/>
    <xf numFmtId="165" fontId="18" fillId="0" borderId="45" applyAlignment="1" pivotButton="0" quotePrefix="0" xfId="41">
      <alignment vertical="top" textRotation="255"/>
    </xf>
    <xf numFmtId="165" fontId="18" fillId="0" borderId="74" applyAlignment="1" pivotButton="0" quotePrefix="0" xfId="41">
      <alignment vertical="top" textRotation="255"/>
    </xf>
    <xf numFmtId="0" fontId="22" fillId="9" borderId="85" applyAlignment="1" pivotButton="0" quotePrefix="0" xfId="41">
      <alignment vertical="top"/>
    </xf>
    <xf numFmtId="0" fontId="18" fillId="0" borderId="86" applyAlignment="1" pivotButton="0" quotePrefix="0" xfId="41">
      <alignment horizontal="left" vertical="top"/>
    </xf>
    <xf numFmtId="0" fontId="0" fillId="0" borderId="87" pivotButton="0" quotePrefix="0" xfId="0"/>
    <xf numFmtId="0" fontId="0" fillId="0" borderId="88" pivotButton="0" quotePrefix="0" xfId="0"/>
    <xf numFmtId="0" fontId="18" fillId="0" borderId="86" pivotButton="0" quotePrefix="0" xfId="41"/>
    <xf numFmtId="0" fontId="18" fillId="0" borderId="86" applyAlignment="1" pivotButton="0" quotePrefix="0" xfId="41">
      <alignment textRotation="255"/>
    </xf>
    <xf numFmtId="0" fontId="18" fillId="0" borderId="89" applyAlignment="1" pivotButton="0" quotePrefix="0" xfId="41">
      <alignment textRotation="255"/>
    </xf>
    <xf numFmtId="0" fontId="19" fillId="0" borderId="0" applyAlignment="1" pivotButton="0" quotePrefix="0" xfId="41">
      <alignment horizontal="left"/>
    </xf>
    <xf numFmtId="0" fontId="18" fillId="0" borderId="0" pivotButton="0" quotePrefix="0" xfId="41"/>
    <xf numFmtId="0" fontId="18" fillId="0" borderId="0" applyAlignment="1" pivotButton="0" quotePrefix="0" xfId="41">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List Contracts'!A1" TargetMode="External" Id="rId1" /><Relationship Type="http://schemas.openxmlformats.org/officeDocument/2006/relationships/hyperlink" Target="#'Get Contract'!A1" TargetMode="External" Id="rId2" /><Relationship Type="http://schemas.openxmlformats.org/officeDocument/2006/relationships/hyperlink" Target="#'Init Contract Body'!A1" TargetMode="External" Id="rId3" /><Relationship Type="http://schemas.openxmlformats.org/officeDocument/2006/relationships/hyperlink" Target="#'Init Contract Param'!A1" TargetMode="External" Id="rId4" /><Relationship Type="http://schemas.openxmlformats.org/officeDocument/2006/relationships/hyperlink" Target="#'Sign Contract'!A1" TargetMode="External" Id="rId5" /><Relationship Type="http://schemas.openxmlformats.org/officeDocument/2006/relationships/hyperlink" Target="#'Update Draft'!A1" TargetMode="External" Id="rId6" /><Relationship Type="http://schemas.openxmlformats.org/officeDocument/2006/relationships/hyperlink" Target="#'Send Draft'!A1" TargetMode="External" Id="rId7" /><Relationship Type="http://schemas.openxmlformats.org/officeDocument/2006/relationships/hyperlink" Target="#'Discard Draft'!A1" TargetMode="External" Id="rId8" /><Relationship Type="http://schemas.openxmlformats.org/officeDocument/2006/relationships/hyperlink" Target="#'Activate Project'!A1" TargetMode="External" Id="rId9" /><Relationship Type="http://schemas.openxmlformats.org/officeDocument/2006/relationships/hyperlink" Target="#'Download Pdf'!A1" TargetMode="External" Id="rId10" /><Relationship Type="http://schemas.openxmlformats.org/officeDocument/2006/relationships/hyperlink" Target="#'List Payment Methods'!A1" TargetMode="External" Id="rId11" /><Relationship Type="http://schemas.openxmlformats.org/officeDocument/2006/relationships/hyperlink" Target="#'Create Payment Method'!A1" TargetMode="External" Id="rId12" /><Relationship Type="http://schemas.openxmlformats.org/officeDocument/2006/relationships/hyperlink" Target="#'Set Default Payment Method'!A1" TargetMode="External" Id="rId13" /><Relationship Type="http://schemas.openxmlformats.org/officeDocument/2006/relationships/hyperlink" Target="#'Fund Milestone'!A1" TargetMode="External" Id="rId14" /><Relationship Type="http://schemas.openxmlformats.org/officeDocument/2006/relationships/hyperlink" Target="#'Get My Wallet'!A1" TargetMode="External" Id="rId15" /><Relationship Type="http://schemas.openxmlformats.org/officeDocument/2006/relationships/hyperlink" Target="#'Get My Wallet Transactions'!A1" TargetMode="External" Id="rId16" /><Relationship Type="http://schemas.openxmlformats.org/officeDocument/2006/relationships/hyperlink" Target="#'Approve Specs'!A1" TargetMode="External" Id="rId17" /><Relationship Type="http://schemas.openxmlformats.org/officeDocument/2006/relationships/hyperlink" Target="#'Convert To Project'!A1" TargetMode="External" Id="rId18" /><Relationship Type="http://schemas.openxmlformats.org/officeDocument/2006/relationships/hyperlink" Target="#'Get Pending Specs'!A1" TargetMode="External" Id="rId19" /><Relationship Type="http://schemas.openxmlformats.org/officeDocument/2006/relationships/hyperlink" Target="#'Get Pending Client Review'!A1" TargetMode="External" Id="rId20" /></Relationships>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8.1796875" customWidth="1" min="1" max="1"/>
    <col width="10" customWidth="1" min="2" max="2"/>
    <col width="14.453125" customWidth="1" min="3" max="3"/>
    <col width="8" customWidth="1" min="4" max="4"/>
    <col width="100.90625" customWidth="1" min="5" max="5"/>
    <col width="48.1796875" customWidth="1" min="6" max="6"/>
    <col width="11" customWidth="1" min="7" max="7"/>
    <col width="9" customWidth="1" min="257" max="257"/>
  </cols>
  <sheetData>
    <row r="1"/>
    <row r="2" ht="75.75" customHeight="1">
      <c r="A2" s="1" t="n"/>
      <c r="B2" s="2" t="inlineStr">
        <is>
          <t>UNIT TEST CASE</t>
        </is>
      </c>
      <c r="C2" s="3" t="n"/>
      <c r="D2" s="3" t="n"/>
      <c r="E2" s="3" t="n"/>
      <c r="F2" s="4" t="n"/>
    </row>
    <row r="3">
      <c r="A3" s="5" t="n"/>
      <c r="B3" s="6" t="n"/>
      <c r="E3" s="7" t="n"/>
    </row>
    <row r="4" ht="14.25" customHeight="1">
      <c r="A4" s="8" t="inlineStr">
        <is>
          <t>Project Name</t>
        </is>
      </c>
      <c r="B4" s="9" t="inlineStr">
        <is>
          <t>InterDev Platform</t>
        </is>
      </c>
      <c r="C4" s="3" t="n"/>
      <c r="D4" s="4" t="n"/>
      <c r="E4" s="8" t="inlineStr">
        <is>
          <t>Creator</t>
        </is>
      </c>
      <c r="F4" s="10" t="inlineStr">
        <is>
          <t>Nguyen Phuc An</t>
        </is>
      </c>
    </row>
    <row r="5" ht="14.25" customHeight="1">
      <c r="A5" s="8" t="inlineStr">
        <is>
          <t>Project Code</t>
        </is>
      </c>
      <c r="B5" s="9" t="inlineStr">
        <is>
          <t>INTERDEV</t>
        </is>
      </c>
      <c r="C5" s="3" t="n"/>
      <c r="D5" s="4" t="n"/>
      <c r="E5" s="8" t="inlineStr">
        <is>
          <t>Reviewer/Approver</t>
        </is>
      </c>
      <c r="F5" s="10" t="inlineStr">
        <is>
          <t>Pending review</t>
        </is>
      </c>
    </row>
    <row r="6" ht="15.75" customHeight="1">
      <c r="A6" s="11" t="inlineStr">
        <is>
          <t>Document Code</t>
        </is>
      </c>
      <c r="B6" s="12">
        <f>B5&amp;"_UTC_"&amp;"v0.8"</f>
        <v/>
      </c>
      <c r="C6" s="13" t="n"/>
      <c r="D6" s="14" t="n"/>
      <c r="E6" s="8" t="inlineStr">
        <is>
          <t>Issue Date</t>
        </is>
      </c>
      <c r="F6" s="15" t="n">
        <v>46111</v>
      </c>
    </row>
    <row r="7" ht="13.5" customHeight="1">
      <c r="A7" s="16" t="n"/>
      <c r="B7" s="17" t="n"/>
      <c r="C7" s="18" t="n"/>
      <c r="D7" s="19" t="n"/>
      <c r="E7" s="8" t="inlineStr">
        <is>
          <t>Version</t>
        </is>
      </c>
      <c r="F7" s="20" t="n">
        <v>0.8</v>
      </c>
    </row>
    <row r="8">
      <c r="A8" s="21" t="n"/>
      <c r="B8" s="22" t="n"/>
      <c r="E8" s="23" t="n"/>
      <c r="F8" s="6" t="n"/>
    </row>
    <row r="9">
      <c r="A9" s="24" t="n"/>
    </row>
    <row r="10">
      <c r="A10" s="25" t="inlineStr">
        <is>
          <t>Record of change</t>
        </is>
      </c>
    </row>
    <row r="11">
      <c r="A11" s="26" t="inlineStr">
        <is>
          <t>Effective Date</t>
        </is>
      </c>
      <c r="B11" s="27" t="inlineStr">
        <is>
          <t>Version</t>
        </is>
      </c>
      <c r="C11" s="27" t="inlineStr">
        <is>
          <t>Change Item</t>
        </is>
      </c>
      <c r="D11" s="27" t="inlineStr">
        <is>
          <t>*A,D,M</t>
        </is>
      </c>
      <c r="E11" s="27" t="inlineStr">
        <is>
          <t>Change description</t>
        </is>
      </c>
      <c r="F11" s="28" t="inlineStr">
        <is>
          <t>Reference</t>
        </is>
      </c>
    </row>
    <row r="12" ht="26.25" customHeight="1">
      <c r="A12" s="29" t="n">
        <v>46111</v>
      </c>
      <c r="B12" s="30" t="inlineStr">
        <is>
          <t>0.8</t>
        </is>
      </c>
      <c r="C12" s="31" t="inlineStr">
        <is>
          <t>API batch 20 preview</t>
        </is>
      </c>
      <c r="D12" s="31" t="inlineStr">
        <is>
          <t>A</t>
        </is>
      </c>
      <c r="E12" s="32" t="inlineStr">
        <is>
          <t>First 20 requested API endpoints reworked with label/detail row separation, hidden filler rows, and denser UTC coverage where the code paths justify it.</t>
        </is>
      </c>
      <c r="F12" s="33" t="inlineStr">
        <is>
          <t>Current codebase + contracts.controller.spec.ts + contracts.service.spec.ts</t>
        </is>
      </c>
    </row>
    <row r="13" ht="21.75" customHeight="1">
      <c r="A13" s="34" t="n"/>
      <c r="B13" s="30" t="n"/>
      <c r="C13" s="31" t="n"/>
      <c r="D13" s="31" t="n"/>
      <c r="E13" s="31" t="n"/>
      <c r="F13" s="35" t="n"/>
    </row>
    <row r="14" ht="19.5" customHeight="1">
      <c r="A14" s="34" t="n"/>
      <c r="B14" s="30" t="n"/>
      <c r="C14" s="31" t="n"/>
      <c r="D14" s="31" t="n"/>
      <c r="E14" s="31" t="n"/>
      <c r="F14" s="35" t="n"/>
    </row>
    <row r="15" ht="43" customHeight="1">
      <c r="A15" s="34" t="n"/>
      <c r="B15" s="30" t="n"/>
      <c r="C15" s="31" t="n"/>
      <c r="D15" s="31" t="n"/>
      <c r="E15" s="36" t="n"/>
      <c r="F15" s="35" t="n"/>
    </row>
    <row r="16" ht="37" customHeight="1">
      <c r="A16" s="34" t="n"/>
      <c r="B16" s="30" t="n"/>
      <c r="C16" s="31" t="n"/>
      <c r="D16" s="31" t="n"/>
      <c r="E16" s="36" t="n"/>
      <c r="F16" s="35" t="n"/>
    </row>
    <row r="17" ht="21.75" customHeight="1">
      <c r="A17" s="34" t="n"/>
      <c r="B17" s="30" t="n"/>
      <c r="C17" s="31" t="n"/>
      <c r="D17" s="31" t="n"/>
      <c r="E17" s="31" t="n"/>
      <c r="F17" s="35" t="n"/>
    </row>
    <row r="18" ht="21.75" customHeight="1">
      <c r="A18" s="37" t="n"/>
      <c r="B18" s="38" t="n"/>
      <c r="C18" s="39" t="n"/>
      <c r="D18" s="39" t="n"/>
      <c r="E18" s="39" t="n"/>
      <c r="F18" s="40" t="n"/>
    </row>
    <row r="19" ht="21.75" customHeight="1">
      <c r="A19" s="37" t="n"/>
      <c r="B19" s="41" t="n"/>
      <c r="C19" s="42" t="n"/>
      <c r="D19" s="42" t="n"/>
      <c r="E19" s="42" t="n"/>
      <c r="F19" s="40" t="n"/>
    </row>
    <row r="20" ht="21.75" customHeight="1">
      <c r="A20" s="43" t="n"/>
      <c r="B20" s="41" t="n"/>
      <c r="C20" s="42" t="n"/>
      <c r="D20" s="42" t="n"/>
      <c r="E20" s="42" t="n"/>
      <c r="F20" s="40" t="n"/>
    </row>
    <row r="21" ht="21.75" customHeight="1">
      <c r="A21" s="43" t="n"/>
      <c r="B21" s="41" t="n"/>
      <c r="C21" s="42" t="n"/>
      <c r="D21" s="42" t="n"/>
      <c r="E21" s="42" t="n"/>
      <c r="F21" s="40" t="n"/>
    </row>
    <row r="22" ht="21.75" customHeight="1">
      <c r="A22" s="43" t="n"/>
      <c r="B22" s="41" t="n"/>
      <c r="C22" s="42" t="n"/>
      <c r="D22" s="42" t="n"/>
      <c r="E22" s="42" t="n"/>
      <c r="F22" s="40" t="n"/>
    </row>
    <row r="23" ht="21.75" customHeight="1">
      <c r="A23" s="43" t="n"/>
      <c r="B23" s="41" t="n"/>
      <c r="C23" s="42" t="n"/>
      <c r="D23" s="42" t="n"/>
      <c r="E23" s="42" t="n"/>
      <c r="F23" s="40" t="n"/>
    </row>
    <row r="24" ht="21.75" customHeight="1">
      <c r="A24" s="43" t="n"/>
      <c r="B24" s="41" t="n"/>
      <c r="C24" s="42" t="n"/>
      <c r="D24" s="42" t="n"/>
      <c r="E24" s="42" t="n"/>
      <c r="F24" s="40" t="n"/>
    </row>
    <row r="25" ht="21.75" customHeight="1">
      <c r="A25" s="43" t="n"/>
      <c r="B25" s="41" t="n"/>
      <c r="C25" s="42" t="n"/>
      <c r="D25" s="42" t="n"/>
      <c r="E25" s="42" t="n"/>
      <c r="F25" s="40" t="n"/>
    </row>
    <row r="26" ht="19.5" customHeight="1">
      <c r="A26" s="37" t="n"/>
      <c r="B26" s="38" t="n"/>
      <c r="C26" s="39" t="n"/>
      <c r="D26" s="39" t="n"/>
      <c r="E26" s="39" t="n"/>
      <c r="F26" s="44" t="n"/>
    </row>
  </sheetData>
  <mergeCells count="5">
    <mergeCell ref="B5:D5"/>
    <mergeCell ref="B6:D7"/>
    <mergeCell ref="B2:F2"/>
    <mergeCell ref="B4:D4"/>
    <mergeCell ref="A6:A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5"/>
  <sheetViews>
    <sheetView workbookViewId="0">
      <selection activeCell="A1" sqref="A1"/>
    </sheetView>
  </sheetViews>
  <sheetFormatPr baseColWidth="8" defaultRowHeight="15"/>
  <cols>
    <col width="7.1796875" customWidth="1" min="1" max="1"/>
    <col width="22.81640625" customWidth="1" min="2" max="2"/>
    <col width="19.36328125" customWidth="1" min="3" max="3"/>
    <col width="30.81640625" customWidth="1" min="4" max="4"/>
    <col width="24.90625" customWidth="1" min="5" max="5"/>
    <col width="31.81640625" customWidth="1" min="6" max="6"/>
    <col width="30.6328125" customWidth="1" min="7" max="7"/>
    <col width="33.81640625" customWidth="1" min="8" max="8"/>
    <col width="11" customWidth="1" min="9" max="9"/>
    <col width="9" customWidth="1" min="257" max="257"/>
  </cols>
  <sheetData>
    <row r="1">
      <c r="A1" s="45" t="n"/>
      <c r="B1" s="45" t="n"/>
      <c r="C1" s="45" t="n"/>
      <c r="D1" s="46" t="n"/>
      <c r="E1" s="47" t="n"/>
      <c r="F1" s="46" t="n"/>
      <c r="G1" s="46" t="n"/>
      <c r="H1" s="46" t="n"/>
    </row>
    <row r="2" ht="24.5" customHeight="1">
      <c r="A2" s="48" t="n"/>
      <c r="B2" s="48" t="n"/>
      <c r="C2" s="48" t="n"/>
      <c r="D2" s="46" t="n"/>
      <c r="E2" s="49" t="inlineStr">
        <is>
          <t>UNIT TEST CASE LIST</t>
        </is>
      </c>
      <c r="F2" s="49" t="n"/>
      <c r="G2" s="50" t="n"/>
      <c r="H2" s="46" t="n"/>
    </row>
    <row r="3" ht="13.5" customHeight="1">
      <c r="A3" s="48" t="n"/>
      <c r="B3" s="48" t="n"/>
      <c r="C3" s="48" t="n"/>
      <c r="D3" s="46" t="n"/>
      <c r="E3" s="47" t="n"/>
      <c r="F3" s="51" t="n"/>
      <c r="G3" s="51" t="n"/>
      <c r="H3" s="46" t="n"/>
    </row>
    <row r="4" ht="14.25" customHeight="1">
      <c r="A4" s="52" t="inlineStr">
        <is>
          <t>Project Name</t>
        </is>
      </c>
      <c r="B4" s="3" t="n"/>
      <c r="C4" s="3" t="n"/>
      <c r="D4" s="3" t="n"/>
      <c r="E4" s="53" t="inlineStr">
        <is>
          <t>InterDev Platform</t>
        </is>
      </c>
      <c r="F4" s="3" t="n"/>
      <c r="G4" s="3" t="n"/>
      <c r="H4" s="4" t="n"/>
    </row>
    <row r="5" ht="14.25" customHeight="1">
      <c r="A5" s="52" t="inlineStr">
        <is>
          <t>Project Code</t>
        </is>
      </c>
      <c r="B5" s="3" t="n"/>
      <c r="C5" s="3" t="n"/>
      <c r="D5" s="3" t="n"/>
      <c r="E5" s="53" t="inlineStr">
        <is>
          <t>INTERDEV</t>
        </is>
      </c>
      <c r="F5" s="3" t="n"/>
      <c r="G5" s="3" t="n"/>
      <c r="H5" s="4" t="n"/>
    </row>
    <row r="6" ht="14.25" customHeight="1">
      <c r="A6" s="54" t="inlineStr">
        <is>
          <t xml:space="preserve">Normal number of Test cases/KLOC </t>
        </is>
      </c>
      <c r="B6" s="3" t="n"/>
      <c r="C6" s="3" t="n"/>
      <c r="D6" s="4" t="n"/>
      <c r="E6" s="55" t="n">
        <v>300</v>
      </c>
      <c r="F6" s="56" t="n"/>
      <c r="G6" s="56" t="n"/>
      <c r="H6" s="57" t="n"/>
    </row>
    <row r="7" ht="12.75" customHeight="1">
      <c r="A7" s="58" t="inlineStr">
        <is>
          <t>Test Environment Setup Description</t>
        </is>
      </c>
      <c r="B7" s="3" t="n"/>
      <c r="C7" s="3" t="n"/>
      <c r="D7" s="4" t="n"/>
      <c r="E7" s="59" t="inlineStr">
        <is>
          <t>Source of truth: current codebase and executed Jest tests. Heavy flows expand from service/business rules, lighter routes stay controller-oriented. Note: code also has POST /contracts/:id/signature-sessions, which is not present in the provided list.</t>
        </is>
      </c>
      <c r="F7" s="3" t="n"/>
      <c r="G7" s="3" t="n"/>
      <c r="H7" s="4" t="n"/>
    </row>
    <row r="8" ht="12.75" customHeight="1">
      <c r="A8" s="60" t="n"/>
      <c r="B8" s="60" t="n"/>
      <c r="C8" s="60" t="n"/>
      <c r="D8" s="7" t="n"/>
      <c r="E8" s="61" t="n"/>
      <c r="F8" s="7" t="n"/>
      <c r="G8" s="7" t="n"/>
      <c r="H8" s="7" t="n"/>
    </row>
    <row r="9" ht="12.75" customHeight="1">
      <c r="A9" s="62" t="n"/>
      <c r="B9" s="62" t="n"/>
      <c r="C9" s="62" t="n"/>
      <c r="D9" s="63" t="n"/>
      <c r="E9" s="64" t="n"/>
      <c r="F9" s="63" t="n"/>
      <c r="G9" s="63" t="n"/>
      <c r="H9" s="63" t="n"/>
    </row>
    <row r="10" ht="24" customHeight="1">
      <c r="A10" s="65" t="inlineStr">
        <is>
          <t>No</t>
        </is>
      </c>
      <c r="B10" s="66" t="inlineStr">
        <is>
          <t>Requirement
Name</t>
        </is>
      </c>
      <c r="C10" s="67" t="inlineStr">
        <is>
          <t>Class Name</t>
        </is>
      </c>
      <c r="D10" s="68" t="inlineStr">
        <is>
          <t>Function Name</t>
        </is>
      </c>
      <c r="E10" s="69" t="inlineStr">
        <is>
          <t xml:space="preserve"> Function Code(Optional)</t>
        </is>
      </c>
      <c r="F10" s="68" t="inlineStr">
        <is>
          <t>Sheet Name</t>
        </is>
      </c>
      <c r="G10" s="70" t="inlineStr">
        <is>
          <t>Description</t>
        </is>
      </c>
      <c r="H10" s="71" t="inlineStr">
        <is>
          <t>Pre-Condition</t>
        </is>
      </c>
    </row>
    <row r="11" ht="13" customHeight="1">
      <c r="A11" s="72" t="n">
        <v>1</v>
      </c>
      <c r="B11" s="73" t="inlineStr">
        <is>
          <t>UC-20 View Contract</t>
        </is>
      </c>
      <c r="C11" s="73" t="inlineStr">
        <is>
          <t>ContractsService</t>
        </is>
      </c>
      <c r="D11" s="74" t="inlineStr">
        <is>
          <t>List Contracts</t>
        </is>
      </c>
      <c r="E11" s="75" t="inlineStr">
        <is>
          <t>EP-043</t>
        </is>
      </c>
      <c r="F11" s="76" t="inlineStr">
        <is>
          <t>List Contracts</t>
        </is>
      </c>
      <c r="G11" s="77" t="inlineStr">
        <is>
          <t>GET /contracts/list</t>
        </is>
      </c>
      <c r="H11" s="78" t="inlineStr">
        <is>
          <t>Authenticated user and contract participation or accepted staff role</t>
        </is>
      </c>
    </row>
    <row r="12" ht="13" customHeight="1">
      <c r="A12" s="72" t="n">
        <v>2</v>
      </c>
      <c r="B12" s="73" t="inlineStr">
        <is>
          <t>UC-20 View Contract</t>
        </is>
      </c>
      <c r="C12" s="73" t="inlineStr">
        <is>
          <t>ContractsService</t>
        </is>
      </c>
      <c r="D12" s="74" t="inlineStr">
        <is>
          <t>Get Contract</t>
        </is>
      </c>
      <c r="E12" s="75" t="inlineStr">
        <is>
          <t>EP-044</t>
        </is>
      </c>
      <c r="F12" s="79" t="inlineStr">
        <is>
          <t>Get Contract</t>
        </is>
      </c>
      <c r="G12" s="77" t="inlineStr">
        <is>
          <t>GET /contracts/:id</t>
        </is>
      </c>
      <c r="H12" s="78" t="inlineStr">
        <is>
          <t>Authenticated viewer and contract id and contract visibility rules</t>
        </is>
      </c>
    </row>
    <row r="13" ht="13" customHeight="1">
      <c r="A13" s="72" t="n">
        <v>3</v>
      </c>
      <c r="B13" s="73" t="inlineStr">
        <is>
          <t>UC-102 Create Contract</t>
        </is>
      </c>
      <c r="C13" s="73" t="inlineStr">
        <is>
          <t>ContractsService</t>
        </is>
      </c>
      <c r="D13" s="74" t="inlineStr">
        <is>
          <t>Initialize Contract With Body</t>
        </is>
      </c>
      <c r="E13" s="75" t="inlineStr">
        <is>
          <t>EP-045</t>
        </is>
      </c>
      <c r="F13" s="76" t="inlineStr">
        <is>
          <t>Init Contract Body</t>
        </is>
      </c>
      <c r="G13" s="77" t="inlineStr">
        <is>
          <t>POST /contracts/initialize</t>
        </is>
      </c>
      <c r="H13" s="78" t="inlineStr">
        <is>
          <t>Authenticated broker and dto.specId, optional freelancerId</t>
        </is>
      </c>
    </row>
    <row r="14" ht="13" customHeight="1">
      <c r="A14" s="72" t="n">
        <v>4</v>
      </c>
      <c r="B14" s="73" t="inlineStr">
        <is>
          <t>UC-102 Create Contract</t>
        </is>
      </c>
      <c r="C14" s="73" t="inlineStr">
        <is>
          <t>ContractsService</t>
        </is>
      </c>
      <c r="D14" s="74" t="inlineStr">
        <is>
          <t>Initialize Contract</t>
        </is>
      </c>
      <c r="E14" s="75" t="inlineStr">
        <is>
          <t>EP-046</t>
        </is>
      </c>
      <c r="F14" s="76" t="inlineStr">
        <is>
          <t>Init Contract Param</t>
        </is>
      </c>
      <c r="G14" s="77" t="inlineStr">
        <is>
          <t>POST /contracts/initialize/:specId</t>
        </is>
      </c>
      <c r="H14" s="78" t="inlineStr">
        <is>
          <t>Authenticated broker and specId path param and accepted freelancer resolution</t>
        </is>
      </c>
    </row>
    <row r="15" ht="13" customHeight="1">
      <c r="A15" s="72" t="n">
        <v>5</v>
      </c>
      <c r="B15" s="73" t="inlineStr">
        <is>
          <t>UC-63 Sign Contract</t>
        </is>
      </c>
      <c r="C15" s="73" t="inlineStr">
        <is>
          <t>ContractsService</t>
        </is>
      </c>
      <c r="D15" s="74" t="inlineStr">
        <is>
          <t>Sign Contract</t>
        </is>
      </c>
      <c r="E15" s="75" t="inlineStr">
        <is>
          <t>EP-047</t>
        </is>
      </c>
      <c r="F15" s="76" t="inlineStr">
        <is>
          <t>Sign Contract</t>
        </is>
      </c>
      <c r="G15" s="80" t="inlineStr">
        <is>
          <t>POST /contracts/sign/:contractId</t>
        </is>
      </c>
      <c r="H15" s="78" t="inlineStr">
        <is>
          <t>Authenticated user and contractId and contentHash and signing transaction</t>
        </is>
      </c>
    </row>
    <row r="16" ht="13" customHeight="1">
      <c r="A16" s="72" t="n">
        <v>6</v>
      </c>
      <c r="B16" s="73" t="inlineStr">
        <is>
          <t>UC-102 Create Contract</t>
        </is>
      </c>
      <c r="C16" s="73" t="inlineStr">
        <is>
          <t>ContractsService</t>
        </is>
      </c>
      <c r="D16" s="74" t="inlineStr">
        <is>
          <t>Update Draft</t>
        </is>
      </c>
      <c r="E16" s="75" t="inlineStr">
        <is>
          <t>EP-048</t>
        </is>
      </c>
      <c r="F16" s="76" t="inlineStr">
        <is>
          <t>Update Draft</t>
        </is>
      </c>
      <c r="G16" s="81" t="inlineStr">
        <is>
          <t>PATCH /contracts/:id/draft</t>
        </is>
      </c>
      <c r="H16" s="78" t="inlineStr">
        <is>
          <t>Authenticated broker and draft contract id and patch dto</t>
        </is>
      </c>
    </row>
    <row r="17" ht="13" customHeight="1">
      <c r="A17" s="72" t="n">
        <v>7</v>
      </c>
      <c r="B17" s="73" t="inlineStr">
        <is>
          <t>UC-102 Create Contract</t>
        </is>
      </c>
      <c r="C17" s="73" t="inlineStr">
        <is>
          <t>ContractsService</t>
        </is>
      </c>
      <c r="D17" s="74" t="inlineStr">
        <is>
          <t>Send Draft</t>
        </is>
      </c>
      <c r="E17" s="75" t="inlineStr">
        <is>
          <t>EP-049</t>
        </is>
      </c>
      <c r="F17" s="76" t="inlineStr">
        <is>
          <t>Send Draft</t>
        </is>
      </c>
      <c r="G17" s="81" t="inlineStr">
        <is>
          <t>POST /contracts/:id/send</t>
        </is>
      </c>
      <c r="H17" s="78" t="inlineStr">
        <is>
          <t>Authenticated broker and draft contract id</t>
        </is>
      </c>
    </row>
    <row r="18" ht="13" customHeight="1">
      <c r="A18" s="72" t="n">
        <v>8</v>
      </c>
      <c r="B18" s="73" t="inlineStr">
        <is>
          <t>UC-102 Create Contract</t>
        </is>
      </c>
      <c r="C18" s="73" t="inlineStr">
        <is>
          <t>ContractsService</t>
        </is>
      </c>
      <c r="D18" s="74" t="inlineStr">
        <is>
          <t>Discard Draft</t>
        </is>
      </c>
      <c r="E18" s="75" t="inlineStr">
        <is>
          <t>EP-050</t>
        </is>
      </c>
      <c r="F18" s="76" t="inlineStr">
        <is>
          <t>Discard Draft</t>
        </is>
      </c>
      <c r="G18" s="81" t="inlineStr">
        <is>
          <t>POST /contracts/:id/discard</t>
        </is>
      </c>
      <c r="H18" s="78" t="inlineStr">
        <is>
          <t>Authenticated broker and pre-sign contract id</t>
        </is>
      </c>
    </row>
    <row r="19" ht="13" customHeight="1">
      <c r="A19" s="72" t="n">
        <v>9</v>
      </c>
      <c r="B19" s="73" t="inlineStr">
        <is>
          <t>UC-21 Finalizing Contract</t>
        </is>
      </c>
      <c r="C19" s="73" t="inlineStr">
        <is>
          <t>ContractsService</t>
        </is>
      </c>
      <c r="D19" s="74" t="inlineStr">
        <is>
          <t>Activate Project</t>
        </is>
      </c>
      <c r="E19" s="75" t="inlineStr">
        <is>
          <t>EP-051</t>
        </is>
      </c>
      <c r="F19" s="76" t="inlineStr">
        <is>
          <t>Activate Project</t>
        </is>
      </c>
      <c r="G19" s="81" t="inlineStr">
        <is>
          <t>POST /contracts/activate/:contractId</t>
        </is>
      </c>
      <c r="H19" s="78" t="inlineStr">
        <is>
          <t>Authenticated contract party and signed contract id</t>
        </is>
      </c>
    </row>
    <row r="20" ht="13" customHeight="1">
      <c r="A20" s="72" t="n">
        <v>10</v>
      </c>
      <c r="B20" s="73" t="inlineStr">
        <is>
          <t>UC-20 View Contract</t>
        </is>
      </c>
      <c r="C20" s="73" t="inlineStr">
        <is>
          <t>ContractsService</t>
        </is>
      </c>
      <c r="D20" s="74" t="inlineStr">
        <is>
          <t>Download Pdf</t>
        </is>
      </c>
      <c r="E20" s="75" t="inlineStr">
        <is>
          <t>EP-052</t>
        </is>
      </c>
      <c r="F20" s="76" t="inlineStr">
        <is>
          <t>Download Pdf</t>
        </is>
      </c>
      <c r="G20" s="81" t="inlineStr">
        <is>
          <t>GET /contracts/:id/pdf</t>
        </is>
      </c>
      <c r="H20" s="78" t="inlineStr">
        <is>
          <t>Authenticated user and contract id and response object</t>
        </is>
      </c>
    </row>
    <row r="21" ht="13" customHeight="1">
      <c r="A21" s="72" t="n">
        <v>11</v>
      </c>
      <c r="B21" s="73" t="inlineStr">
        <is>
          <t>UC-51 Choose Payment Method</t>
        </is>
      </c>
      <c r="C21" s="73" t="inlineStr">
        <is>
          <t>PaymentMethodsController</t>
        </is>
      </c>
      <c r="D21" s="74" t="inlineStr">
        <is>
          <t>List Payment Methods</t>
        </is>
      </c>
      <c r="E21" s="75" t="inlineStr">
        <is>
          <t>EP-182</t>
        </is>
      </c>
      <c r="F21" s="76" t="inlineStr">
        <is>
          <t>List Payment Methods</t>
        </is>
      </c>
      <c r="G21" s="81" t="inlineStr">
        <is>
          <t>GET /payment-methods</t>
        </is>
      </c>
      <c r="H21" s="78" t="inlineStr">
        <is>
          <t>Authenticated CLIENT/BROKER/FREELANCER user invokes payment-method listing | Saved methods may exist or be empty | Unsupported roles are blocked before listing</t>
        </is>
      </c>
    </row>
    <row r="22" ht="13" customHeight="1">
      <c r="A22" s="72" t="n">
        <v>12</v>
      </c>
      <c r="B22" s="73" t="inlineStr">
        <is>
          <t>UC-51 Choose Payment Method</t>
        </is>
      </c>
      <c r="C22" s="73" t="inlineStr">
        <is>
          <t>PaymentMethodsController</t>
        </is>
      </c>
      <c r="D22" s="74" t="inlineStr">
        <is>
          <t>Create Payment Method</t>
        </is>
      </c>
      <c r="E22" s="75" t="inlineStr">
        <is>
          <t>EP-183</t>
        </is>
      </c>
      <c r="F22" s="82" t="inlineStr">
        <is>
          <t>Create Payment Method</t>
        </is>
      </c>
      <c r="G22" s="81" t="inlineStr">
        <is>
          <t>POST /payment-methods</t>
        </is>
      </c>
      <c r="H22" s="78" t="inlineStr">
        <is>
          <t>Authenticated CLIENT/BROKER/FREELANCER user submits create-payment-method payload | First method may become default automatically | Invalid card/bank payloads are rejected</t>
        </is>
      </c>
    </row>
    <row r="23" ht="13" customHeight="1">
      <c r="A23" s="72" t="n">
        <v>13</v>
      </c>
      <c r="B23" s="83" t="inlineStr">
        <is>
          <t>UC-51 Choose Payment Method</t>
        </is>
      </c>
      <c r="C23" s="73" t="inlineStr">
        <is>
          <t>PaymentMethodsController</t>
        </is>
      </c>
      <c r="D23" s="84" t="inlineStr">
        <is>
          <t>Set Default Payment Method</t>
        </is>
      </c>
      <c r="E23" s="75" t="inlineStr">
        <is>
          <t>EP-184</t>
        </is>
      </c>
      <c r="F23" s="85" t="inlineStr">
        <is>
          <t>Set Default Payment Method</t>
        </is>
      </c>
      <c r="G23" s="86" t="inlineStr">
        <is>
          <t>PATCH /payment-methods/:id/default</t>
        </is>
      </c>
      <c r="H23" s="78" t="inlineStr">
        <is>
          <t>Authenticated CLIENT/BROKER/FREELANCER user chooses a saved payment method as default | Missing method ids are rejected | Unsupported roles are blocked before update</t>
        </is>
      </c>
    </row>
    <row r="24" ht="13" customHeight="1">
      <c r="A24" s="72" t="n">
        <v>14</v>
      </c>
      <c r="B24" s="83" t="inlineStr">
        <is>
          <t>UC-38 Payment</t>
        </is>
      </c>
      <c r="C24" s="73" t="inlineStr">
        <is>
          <t>PaymentsController</t>
        </is>
      </c>
      <c r="D24" s="84" t="inlineStr">
        <is>
          <t>Fund Milestone</t>
        </is>
      </c>
      <c r="E24" s="75" t="inlineStr">
        <is>
          <t>EP-185</t>
        </is>
      </c>
      <c r="F24" s="85" t="inlineStr">
        <is>
          <t>Fund Milestone</t>
        </is>
      </c>
      <c r="G24" s="86" t="inlineStr">
        <is>
          <t>POST /payments/milestones/:milestoneId/fund</t>
        </is>
      </c>
      <c r="H24" s="78" t="inlineStr">
        <is>
          <t>Authenticated CLIENT user funds a milestone with milestoneId, paymentMethodId, gateway, and Idempotency-Key | Replays, gateway mismatches, and escrow guardrails are enforced by the funding flow</t>
        </is>
      </c>
    </row>
    <row r="25" ht="13" customHeight="1">
      <c r="A25" s="72" t="n">
        <v>15</v>
      </c>
      <c r="B25" s="83" t="inlineStr">
        <is>
          <t>UC-50 View Wallet</t>
        </is>
      </c>
      <c r="C25" s="73" t="inlineStr">
        <is>
          <t>WalletController</t>
        </is>
      </c>
      <c r="D25" s="84" t="inlineStr">
        <is>
          <t>Get My Wallet</t>
        </is>
      </c>
      <c r="E25" s="75" t="inlineStr">
        <is>
          <t>EP-186</t>
        </is>
      </c>
      <c r="F25" s="85" t="inlineStr">
        <is>
          <t>Get My Wallet</t>
        </is>
      </c>
      <c r="G25" s="86" t="inlineStr">
        <is>
          <t>GET /wallet/me</t>
        </is>
      </c>
      <c r="H25" s="78" t="inlineStr">
        <is>
          <t>Authenticated user opens wallet snapshot | Missing wallets are auto-created | Freelancer and broker views compute awaiting-release amounts differently</t>
        </is>
      </c>
    </row>
    <row r="26" ht="13" customHeight="1">
      <c r="A26" s="72" t="n">
        <v>16</v>
      </c>
      <c r="B26" s="83" t="inlineStr">
        <is>
          <t>UC-50 View Wallet; UC-52 View List Cashout Item</t>
        </is>
      </c>
      <c r="C26" s="83" t="inlineStr">
        <is>
          <t>WalletController</t>
        </is>
      </c>
      <c r="D26" s="84" t="inlineStr">
        <is>
          <t>Get My Wallet Transactions</t>
        </is>
      </c>
      <c r="E26" s="87" t="inlineStr">
        <is>
          <t>EP-187</t>
        </is>
      </c>
      <c r="F26" s="85" t="inlineStr">
        <is>
          <t>Get My Wallet Transactions</t>
        </is>
      </c>
      <c r="G26" s="84" t="inlineStr">
        <is>
          <t>GET /wallet/me/transactions</t>
        </is>
      </c>
      <c r="H26" s="78" t="inlineStr">
        <is>
          <t>Authenticated user opens wallet transactions with page, limit, and optional range filters | Paging is normalized to safe defaults | Wallet snapshot is returned alongside items</t>
        </is>
      </c>
    </row>
    <row r="27" ht="13" customHeight="1">
      <c r="A27" s="72" t="n">
        <v>17</v>
      </c>
      <c r="B27" s="83" t="inlineStr">
        <is>
          <t>UC-27 Review Client's Specs</t>
        </is>
      </c>
      <c r="C27" s="83" t="inlineStr">
        <is>
          <t>ProjectRequestsController</t>
        </is>
      </c>
      <c r="D27" s="84" t="inlineStr">
        <is>
          <t>Approve Specs</t>
        </is>
      </c>
      <c r="E27" s="87" t="inlineStr">
        <is>
          <t>EP-208</t>
        </is>
      </c>
      <c r="F27" s="85" t="inlineStr">
        <is>
          <t>Approve Specs</t>
        </is>
      </c>
      <c r="G27" s="84" t="inlineStr">
        <is>
          <t>POST /project-requests/:id/approve-specs</t>
        </is>
      </c>
      <c r="H27" s="78" t="inlineStr">
        <is>
          <t>Client approves finalized specs for the target request | Controller may rethrow service failures | Unexpected source statuses still promote to SPEC_APPROVED in the current implementation</t>
        </is>
      </c>
    </row>
    <row r="28" ht="13" customHeight="1">
      <c r="A28" s="72" t="n">
        <v>18</v>
      </c>
      <c r="B28" s="83" t="inlineStr">
        <is>
          <t>UC-21 Finalizing Contract</t>
        </is>
      </c>
      <c r="C28" s="83" t="inlineStr">
        <is>
          <t>ProjectRequestsController</t>
        </is>
      </c>
      <c r="D28" s="84" t="inlineStr">
        <is>
          <t>Convert To Project</t>
        </is>
      </c>
      <c r="E28" s="87" t="inlineStr">
        <is>
          <t>EP-209</t>
        </is>
      </c>
      <c r="F28" s="85" t="inlineStr">
        <is>
          <t>Convert To Project</t>
        </is>
      </c>
      <c r="G28" s="84" t="inlineStr">
        <is>
          <t>POST /project-requests/:id/convert</t>
        </is>
      </c>
      <c r="H28" s="78" t="inlineStr">
        <is>
          <t>Assigned broker converts a request after finalized full-spec handoff | Missing full spec or unauthorized broker blocks conversion | Controller may rethrow service failures</t>
        </is>
      </c>
    </row>
    <row r="29" ht="13" customHeight="1">
      <c r="A29" s="72" t="n">
        <v>19</v>
      </c>
      <c r="B29" s="83" t="inlineStr">
        <is>
          <t>UC-25 View List Specs</t>
        </is>
      </c>
      <c r="C29" s="83" t="inlineStr">
        <is>
          <t>ProjectSpecsController</t>
        </is>
      </c>
      <c r="D29" s="84" t="inlineStr">
        <is>
          <t>Get Pending Specs</t>
        </is>
      </c>
      <c r="E29" s="87" t="inlineStr">
        <is>
          <t>EP-211</t>
        </is>
      </c>
      <c r="F29" s="85" t="inlineStr">
        <is>
          <t>Get Pending Specs</t>
        </is>
      </c>
      <c r="G29" s="84" t="inlineStr">
        <is>
          <t>GET /project-specs/pending</t>
        </is>
      </c>
      <c r="H29" s="78" t="inlineStr">
        <is>
          <t>Authenticated STAFF/ADMIN user opens pending specs | Service may return pending items or bubble an error</t>
        </is>
      </c>
    </row>
    <row r="30" ht="13" customHeight="1">
      <c r="A30" s="72" t="n">
        <v>20</v>
      </c>
      <c r="B30" s="83" t="inlineStr">
        <is>
          <t>UC-27 Review Client's Specs</t>
        </is>
      </c>
      <c r="C30" s="83" t="inlineStr">
        <is>
          <t>ProjectSpecsController</t>
        </is>
      </c>
      <c r="D30" s="84" t="inlineStr">
        <is>
          <t>Get Pending Client Review</t>
        </is>
      </c>
      <c r="E30" s="87" t="inlineStr">
        <is>
          <t>EP-212</t>
        </is>
      </c>
      <c r="F30" s="85" t="inlineStr">
        <is>
          <t>Get Pending Client Review</t>
        </is>
      </c>
      <c r="G30" s="84" t="inlineStr">
        <is>
          <t>GET /project-specs/client-review</t>
        </is>
      </c>
      <c r="H30" s="78" t="inlineStr">
        <is>
          <t>Authenticated CLIENT user opens the client-review queue | Client id is read from auth context | Service may return specs or bubble an error</t>
        </is>
      </c>
    </row>
    <row r="31" ht="13" customHeight="1">
      <c r="A31" s="72" t="n"/>
      <c r="B31" s="83" t="n"/>
      <c r="C31" s="83" t="n"/>
      <c r="D31" s="84" t="n"/>
      <c r="E31" s="87" t="n"/>
      <c r="F31" s="85" t="n"/>
      <c r="G31" s="84" t="n"/>
      <c r="H31" s="78" t="n"/>
    </row>
    <row r="32" ht="13" customHeight="1">
      <c r="A32" s="72" t="n"/>
      <c r="B32" s="83" t="n"/>
      <c r="C32" s="83" t="n"/>
      <c r="D32" s="84" t="n"/>
      <c r="E32" s="87" t="n"/>
      <c r="F32" s="85" t="n"/>
      <c r="G32" s="84" t="n"/>
      <c r="H32" s="78" t="n"/>
    </row>
    <row r="33" ht="13" customHeight="1">
      <c r="A33" s="72" t="n"/>
      <c r="B33" s="83" t="n"/>
      <c r="C33" s="83" t="n"/>
      <c r="D33" s="84" t="n"/>
      <c r="E33" s="87" t="n"/>
      <c r="F33" s="85" t="n"/>
      <c r="G33" s="84" t="n"/>
      <c r="H33" s="78" t="n"/>
    </row>
    <row r="34" ht="13" customHeight="1">
      <c r="A34" s="72" t="n"/>
      <c r="B34" s="83" t="n"/>
      <c r="C34" s="83" t="n"/>
      <c r="D34" s="84" t="n"/>
      <c r="E34" s="87" t="n"/>
      <c r="F34" s="85" t="n"/>
      <c r="G34" s="84" t="n"/>
      <c r="H34" s="78" t="n"/>
    </row>
    <row r="35" ht="13" customHeight="1">
      <c r="A35" s="72" t="n"/>
      <c r="B35" s="83" t="n"/>
      <c r="C35" s="83" t="n"/>
      <c r="D35" s="84" t="n"/>
      <c r="E35" s="87" t="n"/>
      <c r="F35" s="85" t="n"/>
      <c r="G35" s="84" t="n"/>
      <c r="H35" s="78" t="n"/>
    </row>
    <row r="36" ht="13" customHeight="1">
      <c r="A36" s="72" t="n"/>
      <c r="B36" s="83" t="n"/>
      <c r="C36" s="83" t="n"/>
      <c r="D36" s="84" t="n"/>
      <c r="E36" s="87" t="n"/>
      <c r="F36" s="85" t="n"/>
      <c r="G36" s="84" t="n"/>
      <c r="H36" s="78" t="n"/>
    </row>
    <row r="37" ht="13" customHeight="1">
      <c r="A37" s="72" t="n"/>
      <c r="B37" s="83" t="n"/>
      <c r="C37" s="83" t="n"/>
      <c r="D37" s="84" t="n"/>
      <c r="E37" s="87" t="n"/>
      <c r="F37" s="85" t="n"/>
      <c r="G37" s="84" t="n"/>
      <c r="H37" s="78" t="n"/>
    </row>
    <row r="38" ht="13" customHeight="1">
      <c r="A38" s="72" t="n"/>
      <c r="B38" s="83" t="n"/>
      <c r="C38" s="83" t="n"/>
      <c r="D38" s="84" t="n"/>
      <c r="E38" s="87" t="n"/>
      <c r="F38" s="85" t="n"/>
      <c r="G38" s="84" t="n"/>
      <c r="H38" s="78" t="n"/>
    </row>
    <row r="39" ht="13" customHeight="1">
      <c r="A39" s="72" t="n"/>
      <c r="B39" s="83" t="n"/>
      <c r="C39" s="83" t="n"/>
      <c r="D39" s="84" t="n"/>
      <c r="E39" s="87" t="n"/>
      <c r="F39" s="85" t="n"/>
      <c r="G39" s="84" t="n"/>
      <c r="H39" s="78" t="n"/>
    </row>
    <row r="40" ht="13" customHeight="1">
      <c r="A40" s="72" t="n"/>
      <c r="B40" s="83" t="n"/>
      <c r="C40" s="83" t="n"/>
      <c r="D40" s="84" t="n"/>
      <c r="E40" s="87" t="n"/>
      <c r="F40" s="85" t="n"/>
      <c r="G40" s="84" t="n"/>
      <c r="H40" s="78" t="n"/>
    </row>
    <row r="41" ht="13" customHeight="1">
      <c r="A41" s="72" t="n"/>
      <c r="B41" s="83" t="n"/>
      <c r="C41" s="83" t="n"/>
      <c r="D41" s="84" t="n"/>
      <c r="E41" s="87" t="n"/>
      <c r="F41" s="88" t="n"/>
      <c r="G41" s="86" t="n"/>
      <c r="H41" s="78" t="n"/>
    </row>
    <row r="42" ht="13" customHeight="1">
      <c r="A42" s="72" t="n"/>
      <c r="B42" s="83" t="n"/>
      <c r="C42" s="83" t="n"/>
      <c r="D42" s="84" t="n"/>
      <c r="E42" s="87" t="n"/>
      <c r="F42" s="85" t="n"/>
      <c r="G42" s="86" t="n"/>
      <c r="H42" s="78" t="n"/>
    </row>
    <row r="43" ht="13" customHeight="1">
      <c r="A43" s="72" t="n"/>
      <c r="B43" s="83" t="n"/>
      <c r="C43" s="83" t="n"/>
      <c r="D43" s="84" t="n"/>
      <c r="E43" s="87" t="n"/>
      <c r="F43" s="85" t="n"/>
      <c r="G43" s="84" t="n"/>
      <c r="H43" s="78" t="n"/>
    </row>
    <row r="44" ht="13" customHeight="1">
      <c r="A44" s="72" t="n"/>
      <c r="B44" s="83" t="n"/>
      <c r="C44" s="83" t="n"/>
      <c r="D44" s="84" t="n"/>
      <c r="E44" s="87" t="n"/>
      <c r="F44" s="85" t="n"/>
      <c r="G44" s="84" t="n"/>
      <c r="H44" s="78" t="n"/>
    </row>
    <row r="45" ht="13" customHeight="1">
      <c r="A45" s="72" t="n"/>
      <c r="B45" s="83" t="n"/>
      <c r="C45" s="83" t="n"/>
      <c r="D45" s="84" t="n"/>
      <c r="E45" s="87" t="n"/>
      <c r="F45" s="85" t="n"/>
      <c r="G45" s="84" t="n"/>
      <c r="H45" s="78" t="n"/>
    </row>
    <row r="46" ht="13" customHeight="1">
      <c r="A46" s="72" t="n"/>
      <c r="B46" s="83" t="n"/>
      <c r="C46" s="83" t="n"/>
      <c r="D46" s="84" t="n"/>
      <c r="E46" s="87" t="n"/>
      <c r="F46" s="85" t="n"/>
      <c r="G46" s="84" t="n"/>
      <c r="H46" s="78" t="n"/>
    </row>
    <row r="47" ht="13" customHeight="1">
      <c r="A47" s="72" t="n"/>
      <c r="B47" s="83" t="n"/>
      <c r="C47" s="83" t="n"/>
      <c r="D47" s="84" t="n"/>
      <c r="E47" s="87" t="n"/>
      <c r="F47" s="88" t="n"/>
      <c r="G47" s="86" t="n"/>
      <c r="H47" s="78" t="n"/>
    </row>
    <row r="48" ht="13" customHeight="1">
      <c r="A48" s="72" t="n"/>
      <c r="B48" s="83" t="n"/>
      <c r="C48" s="83" t="n"/>
      <c r="D48" s="84" t="n"/>
      <c r="E48" s="87" t="n"/>
      <c r="F48" s="88" t="n"/>
      <c r="G48" s="86" t="n"/>
      <c r="H48" s="78" t="n"/>
    </row>
    <row r="49" ht="13" customHeight="1">
      <c r="A49" s="72" t="n"/>
      <c r="B49" s="83" t="n"/>
      <c r="C49" s="83" t="n"/>
      <c r="D49" s="84" t="n"/>
      <c r="E49" s="87" t="n"/>
      <c r="F49" s="88" t="n"/>
      <c r="G49" s="86" t="n"/>
      <c r="H49" s="78" t="n"/>
    </row>
    <row r="50" ht="13" customHeight="1">
      <c r="A50" s="72" t="n"/>
      <c r="B50" s="83" t="n"/>
      <c r="C50" s="83" t="n"/>
      <c r="D50" s="84" t="n"/>
      <c r="E50" s="87" t="n"/>
      <c r="F50" s="85" t="n"/>
      <c r="G50" s="84" t="n"/>
      <c r="H50" s="78" t="n"/>
    </row>
    <row r="51" ht="13" customHeight="1">
      <c r="A51" s="72" t="n"/>
      <c r="B51" s="83" t="n"/>
      <c r="C51" s="83" t="n"/>
      <c r="D51" s="84" t="n"/>
      <c r="E51" s="87" t="n"/>
      <c r="F51" s="85" t="n"/>
      <c r="G51" s="84" t="n"/>
      <c r="H51" s="78" t="n"/>
    </row>
    <row r="52" ht="13" customHeight="1">
      <c r="A52" s="72" t="n"/>
      <c r="B52" s="83" t="n"/>
      <c r="C52" s="83" t="n"/>
      <c r="D52" s="84" t="n"/>
      <c r="E52" s="87" t="n"/>
      <c r="F52" s="85" t="n"/>
      <c r="G52" s="84" t="n"/>
      <c r="H52" s="78" t="n"/>
    </row>
    <row r="53" ht="13" customHeight="1">
      <c r="A53" s="72" t="n"/>
      <c r="B53" s="83" t="n"/>
      <c r="C53" s="83" t="n"/>
      <c r="D53" s="84" t="n"/>
      <c r="E53" s="87" t="n"/>
      <c r="F53" s="85" t="n"/>
      <c r="G53" s="84" t="n"/>
      <c r="H53" s="78" t="n"/>
    </row>
    <row r="54" ht="13" customHeight="1">
      <c r="A54" s="72" t="n"/>
      <c r="B54" s="83" t="n"/>
      <c r="C54" s="83" t="n"/>
      <c r="D54" s="84" t="n"/>
      <c r="E54" s="87" t="n"/>
      <c r="F54" s="85" t="n"/>
      <c r="G54" s="84" t="n"/>
      <c r="H54" s="78" t="n"/>
    </row>
    <row r="55" ht="13" customHeight="1">
      <c r="A55" s="72" t="n"/>
      <c r="B55" s="83" t="n"/>
      <c r="C55" s="83" t="n"/>
      <c r="D55" s="84" t="n"/>
      <c r="E55" s="87" t="n"/>
      <c r="F55" s="85" t="n"/>
      <c r="G55" s="86" t="n"/>
      <c r="H55" s="78" t="n"/>
    </row>
    <row r="56" ht="13" customHeight="1">
      <c r="A56" s="72" t="n"/>
      <c r="B56" s="83" t="n"/>
      <c r="C56" s="83" t="n"/>
      <c r="D56" s="84" t="n"/>
      <c r="E56" s="87" t="n"/>
      <c r="F56" s="85" t="n"/>
      <c r="G56" s="86" t="n"/>
      <c r="H56" s="78" t="n"/>
    </row>
    <row r="57" ht="13" customHeight="1">
      <c r="A57" s="72" t="n"/>
      <c r="B57" s="83" t="n"/>
      <c r="C57" s="83" t="n"/>
      <c r="D57" s="84" t="n"/>
      <c r="E57" s="87" t="n"/>
      <c r="F57" s="85" t="n"/>
      <c r="G57" s="84" t="n"/>
      <c r="H57" s="78" t="n"/>
    </row>
    <row r="58" ht="13" customHeight="1">
      <c r="A58" s="72" t="n"/>
      <c r="B58" s="83" t="n"/>
      <c r="C58" s="83" t="n"/>
      <c r="D58" s="84" t="n"/>
      <c r="E58" s="87" t="n"/>
      <c r="F58" s="85" t="n"/>
      <c r="G58" s="84" t="n"/>
      <c r="H58" s="78" t="n"/>
    </row>
    <row r="59" ht="13" customHeight="1">
      <c r="A59" s="72" t="n"/>
      <c r="B59" s="83" t="n"/>
      <c r="C59" s="83" t="n"/>
      <c r="D59" s="84" t="n"/>
      <c r="E59" s="87" t="n"/>
      <c r="F59" s="85" t="n"/>
      <c r="G59" s="86" t="n"/>
      <c r="H59" s="78" t="n"/>
    </row>
    <row r="60">
      <c r="A60" s="72" t="n"/>
      <c r="B60" s="83" t="n"/>
      <c r="C60" s="83" t="n"/>
      <c r="D60" s="84" t="n"/>
      <c r="E60" s="87" t="n"/>
      <c r="F60" s="86" t="n"/>
      <c r="G60" s="86" t="n"/>
      <c r="H60" s="89" t="n"/>
    </row>
    <row r="61">
      <c r="A61" s="72" t="n"/>
      <c r="B61" s="83" t="n"/>
      <c r="C61" s="83" t="n"/>
      <c r="D61" s="84" t="n"/>
      <c r="E61" s="87" t="n"/>
      <c r="F61" s="86" t="n"/>
      <c r="G61" s="86" t="n"/>
      <c r="H61" s="89" t="n"/>
    </row>
    <row r="62">
      <c r="A62" s="72" t="n"/>
      <c r="B62" s="83" t="n"/>
      <c r="C62" s="83" t="n"/>
      <c r="D62" s="84" t="n"/>
      <c r="E62" s="87" t="n"/>
      <c r="F62" s="86" t="n"/>
      <c r="G62" s="86" t="n"/>
      <c r="H62" s="89" t="n"/>
    </row>
    <row r="63">
      <c r="A63" s="72" t="n"/>
      <c r="B63" s="83" t="n"/>
      <c r="C63" s="83" t="n"/>
      <c r="D63" s="84" t="n"/>
      <c r="E63" s="87" t="n"/>
      <c r="F63" s="86" t="n"/>
      <c r="G63" s="86" t="n"/>
      <c r="H63" s="89" t="n"/>
    </row>
    <row r="64">
      <c r="A64" s="72" t="n"/>
      <c r="B64" s="83" t="n"/>
      <c r="C64" s="83" t="n"/>
      <c r="D64" s="84" t="n"/>
      <c r="E64" s="87" t="n"/>
      <c r="F64" s="86" t="n"/>
      <c r="G64" s="86" t="n"/>
      <c r="H64" s="89" t="n"/>
    </row>
    <row r="65">
      <c r="A65" s="72" t="n"/>
      <c r="B65" s="83" t="n"/>
      <c r="C65" s="83" t="n"/>
      <c r="D65" s="84" t="n"/>
      <c r="E65" s="87" t="n"/>
      <c r="F65" s="86" t="n"/>
      <c r="G65" s="86" t="n"/>
      <c r="H65" s="89" t="n"/>
    </row>
    <row r="66">
      <c r="A66" s="72" t="n"/>
      <c r="B66" s="83" t="n"/>
      <c r="C66" s="83" t="n"/>
      <c r="D66" s="84" t="n"/>
      <c r="E66" s="87" t="n"/>
      <c r="F66" s="86" t="n"/>
      <c r="G66" s="86" t="n"/>
      <c r="H66" s="89" t="n"/>
    </row>
    <row r="67">
      <c r="A67" s="72" t="n"/>
      <c r="B67" s="83" t="n"/>
      <c r="C67" s="83" t="n"/>
      <c r="D67" s="84" t="n"/>
      <c r="E67" s="87" t="n"/>
      <c r="F67" s="86" t="n"/>
      <c r="G67" s="86" t="n"/>
      <c r="H67" s="89" t="n"/>
    </row>
    <row r="68">
      <c r="A68" s="72" t="n"/>
      <c r="B68" s="83" t="n"/>
      <c r="C68" s="83" t="n"/>
      <c r="D68" s="84" t="n"/>
      <c r="E68" s="87" t="n"/>
      <c r="F68" s="86" t="n"/>
      <c r="G68" s="86" t="n"/>
      <c r="H68" s="89" t="n"/>
    </row>
    <row r="69">
      <c r="A69" s="72" t="n"/>
      <c r="B69" s="83" t="n"/>
      <c r="C69" s="83" t="n"/>
      <c r="D69" s="84" t="n"/>
      <c r="E69" s="87" t="n"/>
      <c r="F69" s="86" t="n"/>
      <c r="G69" s="86" t="n"/>
      <c r="H69" s="89" t="n"/>
    </row>
    <row r="70">
      <c r="A70" s="72" t="n"/>
      <c r="B70" s="83" t="n"/>
      <c r="C70" s="83" t="n"/>
      <c r="D70" s="84" t="n"/>
      <c r="E70" s="87" t="n"/>
      <c r="F70" s="86" t="n"/>
      <c r="G70" s="86" t="n"/>
      <c r="H70" s="89" t="n"/>
    </row>
    <row r="71">
      <c r="A71" s="72" t="n"/>
      <c r="B71" s="83" t="n"/>
      <c r="C71" s="83" t="n"/>
      <c r="D71" s="84" t="n"/>
      <c r="E71" s="87" t="n"/>
      <c r="F71" s="86" t="n"/>
      <c r="G71" s="86" t="n"/>
      <c r="H71" s="89" t="n"/>
    </row>
    <row r="72">
      <c r="A72" s="72" t="n"/>
      <c r="B72" s="83" t="n"/>
      <c r="C72" s="83" t="n"/>
      <c r="D72" s="84" t="n"/>
      <c r="E72" s="87" t="n"/>
      <c r="F72" s="86" t="n"/>
      <c r="G72" s="86" t="n"/>
      <c r="H72" s="89" t="n"/>
    </row>
    <row r="73">
      <c r="A73" s="72" t="n"/>
      <c r="B73" s="83" t="n"/>
      <c r="C73" s="83" t="n"/>
      <c r="D73" s="84" t="n"/>
      <c r="E73" s="87" t="n"/>
      <c r="F73" s="86" t="n"/>
      <c r="G73" s="86" t="n"/>
      <c r="H73" s="89" t="n"/>
    </row>
    <row r="74">
      <c r="A74" s="72" t="n"/>
      <c r="B74" s="83" t="n"/>
      <c r="C74" s="83" t="n"/>
      <c r="D74" s="84" t="n"/>
      <c r="E74" s="87" t="n"/>
      <c r="F74" s="86" t="n"/>
      <c r="G74" s="86" t="n"/>
      <c r="H74" s="89" t="n"/>
    </row>
    <row r="75">
      <c r="A75" s="72" t="n"/>
      <c r="B75" s="83" t="n"/>
      <c r="C75" s="83" t="n"/>
      <c r="D75" s="84" t="n"/>
      <c r="E75" s="87" t="n"/>
      <c r="F75" s="86" t="n"/>
      <c r="G75" s="86" t="n"/>
      <c r="H75" s="89" t="n"/>
    </row>
    <row r="76">
      <c r="A76" s="72" t="n"/>
      <c r="B76" s="83" t="n"/>
      <c r="C76" s="83" t="n"/>
      <c r="D76" s="84" t="n"/>
      <c r="E76" s="87" t="n"/>
      <c r="F76" s="86" t="n"/>
      <c r="G76" s="86" t="n"/>
      <c r="H76" s="89" t="n"/>
    </row>
    <row r="77">
      <c r="A77" s="72" t="n"/>
      <c r="B77" s="83" t="n"/>
      <c r="C77" s="83" t="n"/>
      <c r="D77" s="84" t="n"/>
      <c r="E77" s="87" t="n"/>
      <c r="F77" s="86" t="n"/>
      <c r="G77" s="86" t="n"/>
      <c r="H77" s="89" t="n"/>
    </row>
    <row r="78">
      <c r="A78" s="72" t="n"/>
      <c r="B78" s="83" t="n"/>
      <c r="C78" s="83" t="n"/>
      <c r="D78" s="84" t="n"/>
      <c r="E78" s="87" t="n"/>
      <c r="F78" s="86" t="n"/>
      <c r="G78" s="86" t="n"/>
      <c r="H78" s="89" t="n"/>
    </row>
    <row r="79">
      <c r="A79" s="72" t="n"/>
      <c r="B79" s="83" t="n"/>
      <c r="C79" s="83" t="n"/>
      <c r="D79" s="84" t="n"/>
      <c r="E79" s="87" t="n"/>
      <c r="F79" s="86" t="n"/>
      <c r="G79" s="86" t="n"/>
      <c r="H79" s="89" t="n"/>
    </row>
    <row r="80">
      <c r="A80" s="72" t="n"/>
      <c r="B80" s="83" t="n"/>
      <c r="C80" s="83" t="n"/>
      <c r="D80" s="84" t="n"/>
      <c r="E80" s="87" t="n"/>
      <c r="F80" s="86" t="n"/>
      <c r="G80" s="86" t="n"/>
      <c r="H80" s="89" t="n"/>
    </row>
    <row r="81">
      <c r="A81" s="72" t="n"/>
      <c r="B81" s="83" t="n"/>
      <c r="C81" s="83" t="n"/>
      <c r="D81" s="84" t="n"/>
      <c r="E81" s="87" t="n"/>
      <c r="F81" s="86" t="n"/>
      <c r="G81" s="86" t="n"/>
      <c r="H81" s="89" t="n"/>
    </row>
    <row r="82">
      <c r="A82" s="72" t="n"/>
      <c r="B82" s="83" t="n"/>
      <c r="C82" s="83" t="n"/>
      <c r="D82" s="84" t="n"/>
      <c r="E82" s="87" t="n"/>
      <c r="F82" s="86" t="n"/>
      <c r="G82" s="86" t="n"/>
      <c r="H82" s="89" t="n"/>
    </row>
    <row r="83">
      <c r="A83" s="72" t="n"/>
      <c r="B83" s="83" t="n"/>
      <c r="C83" s="83" t="n"/>
      <c r="D83" s="84" t="n"/>
      <c r="E83" s="87" t="n"/>
      <c r="F83" s="86" t="n"/>
      <c r="G83" s="86" t="n"/>
      <c r="H83" s="89" t="n"/>
    </row>
    <row r="84">
      <c r="A84" s="72" t="n"/>
      <c r="B84" s="83" t="n"/>
      <c r="C84" s="83" t="n"/>
      <c r="D84" s="84" t="n"/>
      <c r="E84" s="87" t="n"/>
      <c r="F84" s="86" t="n"/>
      <c r="G84" s="86" t="n"/>
      <c r="H84" s="89" t="n"/>
    </row>
    <row r="85">
      <c r="A85" s="72" t="n"/>
      <c r="B85" s="83" t="n"/>
      <c r="C85" s="83" t="n"/>
      <c r="D85" s="84" t="n"/>
      <c r="E85" s="87" t="n"/>
      <c r="F85" s="86" t="n"/>
      <c r="G85" s="86" t="n"/>
      <c r="H85" s="89" t="n"/>
    </row>
    <row r="86">
      <c r="A86" s="72" t="n"/>
      <c r="B86" s="83" t="n"/>
      <c r="C86" s="83" t="n"/>
      <c r="D86" s="84" t="n"/>
      <c r="E86" s="87" t="n"/>
      <c r="F86" s="86" t="n"/>
      <c r="G86" s="86" t="n"/>
      <c r="H86" s="89" t="n"/>
    </row>
    <row r="87">
      <c r="A87" s="72" t="n"/>
      <c r="B87" s="83" t="n"/>
      <c r="C87" s="83" t="n"/>
      <c r="D87" s="84" t="n"/>
      <c r="E87" s="87" t="n"/>
      <c r="F87" s="86" t="n"/>
      <c r="G87" s="86" t="n"/>
      <c r="H87" s="89" t="n"/>
    </row>
    <row r="88">
      <c r="A88" s="72" t="n"/>
      <c r="B88" s="83" t="n"/>
      <c r="C88" s="83" t="n"/>
      <c r="D88" s="84" t="n"/>
      <c r="E88" s="87" t="n"/>
      <c r="F88" s="86" t="n"/>
      <c r="G88" s="86" t="n"/>
      <c r="H88" s="89" t="n"/>
    </row>
    <row r="89">
      <c r="A89" s="72" t="n"/>
      <c r="B89" s="83" t="n"/>
      <c r="C89" s="83" t="n"/>
      <c r="D89" s="84" t="n"/>
      <c r="E89" s="87" t="n"/>
      <c r="F89" s="86" t="n"/>
      <c r="G89" s="86" t="n"/>
      <c r="H89" s="89" t="n"/>
    </row>
    <row r="90">
      <c r="A90" s="72" t="n"/>
      <c r="B90" s="83" t="n"/>
      <c r="C90" s="83" t="n"/>
      <c r="D90" s="84" t="n"/>
      <c r="E90" s="87" t="n"/>
      <c r="F90" s="86" t="n"/>
      <c r="G90" s="86" t="n"/>
      <c r="H90" s="89" t="n"/>
    </row>
    <row r="91">
      <c r="A91" s="72" t="n"/>
      <c r="B91" s="83" t="n"/>
      <c r="C91" s="83" t="n"/>
      <c r="D91" s="84" t="n"/>
      <c r="E91" s="87" t="n"/>
      <c r="F91" s="86" t="n"/>
      <c r="G91" s="86" t="n"/>
      <c r="H91" s="89" t="n"/>
    </row>
    <row r="92">
      <c r="A92" s="72" t="n"/>
      <c r="B92" s="83" t="n"/>
      <c r="C92" s="83" t="n"/>
      <c r="D92" s="84" t="n"/>
      <c r="E92" s="87" t="n"/>
      <c r="F92" s="86" t="n"/>
      <c r="G92" s="86" t="n"/>
      <c r="H92" s="89" t="n"/>
    </row>
    <row r="93">
      <c r="A93" s="72" t="n"/>
      <c r="B93" s="83" t="n"/>
      <c r="C93" s="83" t="n"/>
      <c r="D93" s="84" t="n"/>
      <c r="E93" s="87" t="n"/>
      <c r="F93" s="86" t="n"/>
      <c r="G93" s="86" t="n"/>
      <c r="H93" s="89" t="n"/>
    </row>
    <row r="94">
      <c r="A94" s="72" t="n"/>
      <c r="B94" s="83" t="n"/>
      <c r="C94" s="83" t="n"/>
      <c r="D94" s="84" t="n"/>
      <c r="E94" s="87" t="n"/>
      <c r="F94" s="86" t="n"/>
      <c r="G94" s="86" t="n"/>
      <c r="H94" s="89" t="n"/>
    </row>
    <row r="95">
      <c r="A95" s="72" t="n"/>
      <c r="B95" s="83" t="n"/>
      <c r="C95" s="83" t="n"/>
      <c r="D95" s="84" t="n"/>
      <c r="E95" s="87" t="n"/>
      <c r="F95" s="86" t="n"/>
      <c r="G95" s="86" t="n"/>
      <c r="H95" s="89" t="n"/>
    </row>
    <row r="96">
      <c r="A96" s="72" t="n"/>
      <c r="B96" s="83" t="n"/>
      <c r="C96" s="83" t="n"/>
      <c r="D96" s="84" t="n"/>
      <c r="E96" s="87" t="n"/>
      <c r="F96" s="86" t="n"/>
      <c r="G96" s="86" t="n"/>
      <c r="H96" s="89" t="n"/>
    </row>
    <row r="97">
      <c r="A97" s="72" t="n"/>
      <c r="B97" s="83" t="n"/>
      <c r="C97" s="83" t="n"/>
      <c r="D97" s="84" t="n"/>
      <c r="E97" s="87" t="n"/>
      <c r="F97" s="86" t="n"/>
      <c r="G97" s="86" t="n"/>
      <c r="H97" s="89" t="n"/>
    </row>
    <row r="98">
      <c r="A98" s="72" t="n"/>
      <c r="B98" s="83" t="n"/>
      <c r="C98" s="83" t="n"/>
      <c r="D98" s="84" t="n"/>
      <c r="E98" s="87" t="n"/>
      <c r="F98" s="86" t="n"/>
      <c r="G98" s="86" t="n"/>
      <c r="H98" s="89" t="n"/>
    </row>
    <row r="99">
      <c r="A99" s="72" t="n"/>
      <c r="B99" s="83" t="n"/>
      <c r="C99" s="83" t="n"/>
      <c r="D99" s="84" t="n"/>
      <c r="E99" s="87" t="n"/>
      <c r="F99" s="86" t="n"/>
      <c r="G99" s="86" t="n"/>
      <c r="H99" s="89" t="n"/>
    </row>
    <row r="100">
      <c r="A100" s="72" t="n"/>
      <c r="B100" s="83" t="n"/>
      <c r="C100" s="83" t="n"/>
      <c r="D100" s="84" t="n"/>
      <c r="E100" s="87" t="n"/>
      <c r="F100" s="86" t="n"/>
      <c r="G100" s="86" t="n"/>
      <c r="H100" s="89" t="n"/>
    </row>
    <row r="101">
      <c r="A101" s="72" t="n"/>
      <c r="B101" s="83" t="n"/>
      <c r="C101" s="83" t="n"/>
      <c r="D101" s="84" t="n"/>
      <c r="E101" s="87" t="n"/>
      <c r="F101" s="86" t="n"/>
      <c r="G101" s="86" t="n"/>
      <c r="H101" s="89" t="n"/>
    </row>
    <row r="102">
      <c r="A102" s="72" t="n"/>
      <c r="B102" s="83" t="n"/>
      <c r="C102" s="83" t="n"/>
      <c r="D102" s="84" t="n"/>
      <c r="E102" s="87" t="n"/>
      <c r="F102" s="86" t="n"/>
      <c r="G102" s="86" t="n"/>
      <c r="H102" s="89" t="n"/>
    </row>
    <row r="103">
      <c r="A103" s="72" t="n"/>
      <c r="B103" s="83" t="n"/>
      <c r="C103" s="83" t="n"/>
      <c r="D103" s="84" t="n"/>
      <c r="E103" s="87" t="n"/>
      <c r="F103" s="86" t="n"/>
      <c r="G103" s="86" t="n"/>
      <c r="H103" s="89" t="n"/>
    </row>
    <row r="104">
      <c r="A104" s="72" t="n"/>
      <c r="B104" s="83" t="n"/>
      <c r="C104" s="83" t="n"/>
      <c r="D104" s="84" t="n"/>
      <c r="E104" s="87" t="n"/>
      <c r="F104" s="86" t="n"/>
      <c r="G104" s="86" t="n"/>
      <c r="H104" s="89" t="n"/>
    </row>
    <row r="105">
      <c r="A105" s="72" t="n"/>
      <c r="B105" s="83" t="n"/>
      <c r="C105" s="83" t="n"/>
      <c r="D105" s="84" t="n"/>
      <c r="E105" s="87" t="n"/>
      <c r="F105" s="86" t="n"/>
      <c r="G105" s="86" t="n"/>
      <c r="H105" s="89" t="n"/>
    </row>
  </sheetData>
  <mergeCells count="7">
    <mergeCell ref="A5:D5"/>
    <mergeCell ref="A6:D6"/>
    <mergeCell ref="A4:D4"/>
    <mergeCell ref="E4:H4"/>
    <mergeCell ref="A7:D7"/>
    <mergeCell ref="E7:H7"/>
    <mergeCell ref="E5:H5"/>
  </mergeCells>
  <hyperlinks>
    <hyperlink xmlns:r="http://schemas.openxmlformats.org/officeDocument/2006/relationships" ref="F11" r:id="rId1"/>
    <hyperlink xmlns:r="http://schemas.openxmlformats.org/officeDocument/2006/relationships" ref="F12" r:id="rId2"/>
    <hyperlink xmlns:r="http://schemas.openxmlformats.org/officeDocument/2006/relationships" ref="F13" r:id="rId3"/>
    <hyperlink xmlns:r="http://schemas.openxmlformats.org/officeDocument/2006/relationships" ref="F14" r:id="rId4"/>
    <hyperlink xmlns:r="http://schemas.openxmlformats.org/officeDocument/2006/relationships" ref="F15" r:id="rId5"/>
    <hyperlink xmlns:r="http://schemas.openxmlformats.org/officeDocument/2006/relationships" ref="F16" r:id="rId6"/>
    <hyperlink xmlns:r="http://schemas.openxmlformats.org/officeDocument/2006/relationships" ref="F17" r:id="rId7"/>
    <hyperlink xmlns:r="http://schemas.openxmlformats.org/officeDocument/2006/relationships" ref="F18" r:id="rId8"/>
    <hyperlink xmlns:r="http://schemas.openxmlformats.org/officeDocument/2006/relationships" ref="F19" r:id="rId9"/>
    <hyperlink xmlns:r="http://schemas.openxmlformats.org/officeDocument/2006/relationships" ref="F20" r:id="rId10"/>
    <hyperlink xmlns:r="http://schemas.openxmlformats.org/officeDocument/2006/relationships" ref="F21" r:id="rId11"/>
    <hyperlink xmlns:r="http://schemas.openxmlformats.org/officeDocument/2006/relationships" ref="F22" r:id="rId12"/>
    <hyperlink xmlns:r="http://schemas.openxmlformats.org/officeDocument/2006/relationships" ref="F23" r:id="rId13"/>
    <hyperlink xmlns:r="http://schemas.openxmlformats.org/officeDocument/2006/relationships" ref="F24" r:id="rId14"/>
    <hyperlink xmlns:r="http://schemas.openxmlformats.org/officeDocument/2006/relationships" ref="F25" r:id="rId15"/>
    <hyperlink xmlns:r="http://schemas.openxmlformats.org/officeDocument/2006/relationships" ref="F26" r:id="rId16"/>
    <hyperlink xmlns:r="http://schemas.openxmlformats.org/officeDocument/2006/relationships" ref="F27" r:id="rId17"/>
    <hyperlink xmlns:r="http://schemas.openxmlformats.org/officeDocument/2006/relationships" ref="F28" r:id="rId18"/>
    <hyperlink xmlns:r="http://schemas.openxmlformats.org/officeDocument/2006/relationships" ref="F29" r:id="rId19"/>
    <hyperlink xmlns:r="http://schemas.openxmlformats.org/officeDocument/2006/relationships" ref="F30" r:id="rId2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15.453125" customWidth="1" min="1" max="1"/>
    <col width="26.54296875" customWidth="1" min="2" max="2"/>
    <col width="12.1796875" customWidth="1" min="3" max="3"/>
    <col width="9.54296875" customWidth="1" min="4" max="4"/>
    <col width="9.81640625" customWidth="1" min="5" max="5"/>
    <col width="5.1796875" customWidth="1" min="6" max="6"/>
    <col width="21" customWidth="1" min="9" max="9"/>
    <col width="33.1796875" customWidth="1" min="10" max="10"/>
    <col width="11" customWidth="1" min="11" max="11"/>
    <col width="9" customWidth="1" min="257" max="257"/>
  </cols>
  <sheetData>
    <row r="1">
      <c r="A1" s="90" t="n"/>
      <c r="B1" s="90" t="n"/>
      <c r="C1" s="90" t="n"/>
      <c r="D1" s="90" t="n"/>
      <c r="E1" s="90" t="n"/>
      <c r="F1" s="90" t="n"/>
      <c r="G1" s="90" t="n"/>
      <c r="H1" s="90" t="n"/>
      <c r="I1" s="90" t="n"/>
    </row>
    <row r="2" ht="25.5" customHeight="1">
      <c r="A2" s="91" t="inlineStr">
        <is>
          <t>UNIT TEST REPORT</t>
        </is>
      </c>
    </row>
    <row r="3" ht="14.25" customHeight="1">
      <c r="A3" s="92" t="n"/>
      <c r="B3" s="93" t="n"/>
      <c r="C3" s="93" t="n"/>
      <c r="D3" s="93" t="n"/>
      <c r="E3" s="93" t="n"/>
      <c r="F3" s="93" t="n"/>
      <c r="G3" s="93" t="n"/>
      <c r="H3" s="93" t="n"/>
      <c r="I3" s="94" t="n"/>
    </row>
    <row r="4" ht="13.5" customHeight="1">
      <c r="A4" s="11" t="inlineStr">
        <is>
          <t>Project Name</t>
        </is>
      </c>
      <c r="B4" s="95">
        <f>Cover!B4</f>
        <v/>
      </c>
      <c r="C4" s="4" t="n"/>
      <c r="D4" s="96" t="inlineStr">
        <is>
          <t>Creator</t>
        </is>
      </c>
      <c r="E4" s="4" t="n"/>
      <c r="F4" s="95" t="inlineStr">
        <is>
          <t>Nguyen Phuc An</t>
        </is>
      </c>
      <c r="G4" s="3" t="n"/>
      <c r="H4" s="3" t="n"/>
      <c r="I4" s="4" t="n"/>
    </row>
    <row r="5" ht="13.5" customHeight="1">
      <c r="A5" s="11" t="inlineStr">
        <is>
          <t>Project Code</t>
        </is>
      </c>
      <c r="B5" s="95">
        <f>Cover!B5</f>
        <v/>
      </c>
      <c r="C5" s="4" t="n"/>
      <c r="D5" s="96" t="inlineStr">
        <is>
          <t>Reviewer/Approver</t>
        </is>
      </c>
      <c r="E5" s="4" t="n"/>
      <c r="F5" s="95" t="inlineStr">
        <is>
          <t>Pending review</t>
        </is>
      </c>
      <c r="G5" s="3" t="n"/>
      <c r="H5" s="3" t="n"/>
      <c r="I5" s="4" t="n"/>
    </row>
    <row r="6" ht="12.75" customHeight="1">
      <c r="A6" s="97" t="inlineStr">
        <is>
          <t>Document Code</t>
        </is>
      </c>
      <c r="B6" s="95">
        <f>Cover!B5&amp;"_Test Report_"&amp;"v0.8"</f>
        <v/>
      </c>
      <c r="C6" s="4" t="n"/>
      <c r="D6" s="96" t="inlineStr">
        <is>
          <t>Issue Date</t>
        </is>
      </c>
      <c r="E6" s="4" t="n"/>
      <c r="F6" s="98" t="n">
        <v>46111</v>
      </c>
      <c r="G6" s="3" t="n"/>
      <c r="H6" s="3" t="n"/>
      <c r="I6" s="4" t="n"/>
    </row>
    <row r="7" ht="15.75" customHeight="1">
      <c r="A7" s="97" t="n"/>
      <c r="B7" s="99" t="inlineStr">
        <is>
          <t>This preview covers 20 endpoints from the provided list. Layout now keeps section labels on dedicated rows, hides filler rows, and uses denser UTC matrices for heavier flows. Additional contracts route found in code but not in the list: POST /contracts/:id/signature-sessions.</t>
        </is>
      </c>
      <c r="C7" s="3" t="n"/>
      <c r="D7" s="3" t="n"/>
      <c r="E7" s="3" t="n"/>
      <c r="F7" s="3" t="n"/>
      <c r="G7" s="3" t="n"/>
      <c r="H7" s="3" t="n"/>
      <c r="I7" s="4" t="n"/>
    </row>
    <row r="8" ht="14.25" customHeight="1">
      <c r="A8" s="100" t="n"/>
      <c r="B8" s="101" t="n"/>
      <c r="C8" s="102" t="n"/>
      <c r="D8" s="102" t="n"/>
      <c r="E8" s="102" t="n"/>
      <c r="F8" s="102" t="n"/>
      <c r="G8" s="102" t="n"/>
      <c r="H8" s="102" t="n"/>
      <c r="I8" s="103" t="n"/>
    </row>
    <row r="9">
      <c r="A9" s="100" t="n"/>
      <c r="B9" s="101" t="n"/>
      <c r="C9" s="102" t="n"/>
      <c r="D9" s="102" t="n"/>
      <c r="E9" s="102" t="n"/>
      <c r="F9" s="102" t="n"/>
      <c r="G9" s="102" t="n"/>
      <c r="H9" s="102" t="n"/>
      <c r="I9" s="103" t="n"/>
    </row>
    <row r="10"/>
    <row r="11" ht="14.25" customHeight="1">
      <c r="A11" s="104" t="inlineStr">
        <is>
          <t>No</t>
        </is>
      </c>
      <c r="B11" s="105" t="inlineStr">
        <is>
          <t>Function code</t>
        </is>
      </c>
      <c r="C11" s="106" t="inlineStr">
        <is>
          <t>Passed</t>
        </is>
      </c>
      <c r="D11" s="105" t="inlineStr">
        <is>
          <t>Failed</t>
        </is>
      </c>
      <c r="E11" s="107" t="inlineStr">
        <is>
          <t>Untested</t>
        </is>
      </c>
      <c r="F11" s="107" t="inlineStr">
        <is>
          <t>N</t>
        </is>
      </c>
      <c r="G11" s="107" t="inlineStr">
        <is>
          <t>A</t>
        </is>
      </c>
      <c r="H11" s="107" t="inlineStr">
        <is>
          <t>B</t>
        </is>
      </c>
      <c r="I11" s="108" t="inlineStr">
        <is>
          <t>Total Test Cases</t>
        </is>
      </c>
    </row>
    <row r="12" ht="13" customHeight="1">
      <c r="A12" s="109" t="n">
        <v>1</v>
      </c>
      <c r="B12" s="110" t="inlineStr">
        <is>
          <t>EP-043</t>
        </is>
      </c>
      <c r="C12" s="111">
        <f>'List Contracts'!A7</f>
        <v/>
      </c>
      <c r="D12" s="111">
        <f>'List Contracts'!C7</f>
        <v/>
      </c>
      <c r="E12" s="111">
        <f>'List Contracts'!F7</f>
        <v/>
      </c>
      <c r="F12" s="112">
        <f>'List Contracts'!L7</f>
        <v/>
      </c>
      <c r="G12" s="111">
        <f>'List Contracts'!M7</f>
        <v/>
      </c>
      <c r="H12" s="111">
        <f>'List Contracts'!N7</f>
        <v/>
      </c>
      <c r="I12" s="111">
        <f>'List Contracts'!O7</f>
        <v/>
      </c>
    </row>
    <row r="13" ht="13" customHeight="1">
      <c r="A13" s="109" t="n">
        <v>2</v>
      </c>
      <c r="B13" s="110" t="inlineStr">
        <is>
          <t>EP-044</t>
        </is>
      </c>
      <c r="C13" s="111">
        <f>'Get Contract'!A7</f>
        <v/>
      </c>
      <c r="D13" s="111">
        <f>'Get Contract'!C7</f>
        <v/>
      </c>
      <c r="E13" s="111">
        <f>'Get Contract'!F7</f>
        <v/>
      </c>
      <c r="F13" s="112">
        <f>'Get Contract'!L7</f>
        <v/>
      </c>
      <c r="G13" s="111">
        <f>'Get Contract'!M7</f>
        <v/>
      </c>
      <c r="H13" s="111">
        <f>'Get Contract'!N7</f>
        <v/>
      </c>
      <c r="I13" s="111">
        <f>'Get Contract'!O7</f>
        <v/>
      </c>
    </row>
    <row r="14" ht="13" customHeight="1">
      <c r="A14" s="109" t="n">
        <v>3</v>
      </c>
      <c r="B14" s="110" t="inlineStr">
        <is>
          <t>EP-045</t>
        </is>
      </c>
      <c r="C14" s="111">
        <f>'Init Contract Body'!A7</f>
        <v/>
      </c>
      <c r="D14" s="111">
        <f>'Init Contract Body'!C7</f>
        <v/>
      </c>
      <c r="E14" s="111">
        <f>'Init Contract Body'!F7</f>
        <v/>
      </c>
      <c r="F14" s="112">
        <f>'Init Contract Body'!L7</f>
        <v/>
      </c>
      <c r="G14" s="111">
        <f>'Init Contract Body'!M7</f>
        <v/>
      </c>
      <c r="H14" s="111">
        <f>'Init Contract Body'!N7</f>
        <v/>
      </c>
      <c r="I14" s="111">
        <f>'Init Contract Body'!O7</f>
        <v/>
      </c>
    </row>
    <row r="15" ht="13" customHeight="1">
      <c r="A15" s="109" t="n">
        <v>4</v>
      </c>
      <c r="B15" s="110" t="inlineStr">
        <is>
          <t>EP-046</t>
        </is>
      </c>
      <c r="C15" s="111">
        <f>'Init Contract Param'!A7</f>
        <v/>
      </c>
      <c r="D15" s="111">
        <f>'Init Contract Param'!C7</f>
        <v/>
      </c>
      <c r="E15" s="111">
        <f>'Init Contract Param'!F7</f>
        <v/>
      </c>
      <c r="F15" s="111">
        <f>'Init Contract Param'!L7</f>
        <v/>
      </c>
      <c r="G15" s="111">
        <f>'Init Contract Param'!M7</f>
        <v/>
      </c>
      <c r="H15" s="111">
        <f>'Init Contract Param'!N7</f>
        <v/>
      </c>
      <c r="I15" s="111">
        <f>'Init Contract Param'!O7</f>
        <v/>
      </c>
    </row>
    <row r="16" ht="13" customHeight="1">
      <c r="A16" s="109" t="n">
        <v>5</v>
      </c>
      <c r="B16" s="110" t="inlineStr">
        <is>
          <t>EP-047</t>
        </is>
      </c>
      <c r="C16" s="111">
        <f>'Sign Contract'!A7</f>
        <v/>
      </c>
      <c r="D16" s="111">
        <f>'Sign Contract'!C7</f>
        <v/>
      </c>
      <c r="E16" s="111">
        <f>'Sign Contract'!F7</f>
        <v/>
      </c>
      <c r="F16" s="111">
        <f>'Sign Contract'!L7</f>
        <v/>
      </c>
      <c r="G16" s="111">
        <f>'Sign Contract'!M7</f>
        <v/>
      </c>
      <c r="H16" s="111">
        <f>'Sign Contract'!N7</f>
        <v/>
      </c>
      <c r="I16" s="111">
        <f>'Sign Contract'!O7</f>
        <v/>
      </c>
    </row>
    <row r="17" ht="13" customHeight="1">
      <c r="A17" s="109" t="n">
        <v>6</v>
      </c>
      <c r="B17" s="110" t="inlineStr">
        <is>
          <t>EP-048</t>
        </is>
      </c>
      <c r="C17" s="111">
        <f>'Update Draft'!A7</f>
        <v/>
      </c>
      <c r="D17" s="111">
        <f>'Update Draft'!C7</f>
        <v/>
      </c>
      <c r="E17" s="111">
        <f>'Update Draft'!F7</f>
        <v/>
      </c>
      <c r="F17" s="111">
        <f>'Update Draft'!L7</f>
        <v/>
      </c>
      <c r="G17" s="111">
        <f>'Update Draft'!M7</f>
        <v/>
      </c>
      <c r="H17" s="111">
        <f>'Update Draft'!N7</f>
        <v/>
      </c>
      <c r="I17" s="111">
        <f>'Update Draft'!O7</f>
        <v/>
      </c>
    </row>
    <row r="18" ht="13" customHeight="1">
      <c r="A18" s="109" t="n">
        <v>7</v>
      </c>
      <c r="B18" s="110" t="inlineStr">
        <is>
          <t>EP-049</t>
        </is>
      </c>
      <c r="C18" s="111">
        <f>'Send Draft'!A7</f>
        <v/>
      </c>
      <c r="D18" s="111">
        <f>'Send Draft'!C7</f>
        <v/>
      </c>
      <c r="E18" s="111">
        <f>'Send Draft'!F7</f>
        <v/>
      </c>
      <c r="F18" s="111">
        <f>'Send Draft'!L7</f>
        <v/>
      </c>
      <c r="G18" s="111">
        <f>'Send Draft'!M7</f>
        <v/>
      </c>
      <c r="H18" s="111">
        <f>'Send Draft'!N7</f>
        <v/>
      </c>
      <c r="I18" s="111">
        <f>'Send Draft'!O7</f>
        <v/>
      </c>
    </row>
    <row r="19" ht="13" customHeight="1">
      <c r="A19" s="109" t="n">
        <v>8</v>
      </c>
      <c r="B19" s="110" t="inlineStr">
        <is>
          <t>EP-050</t>
        </is>
      </c>
      <c r="C19" s="111">
        <f>'Discard Draft'!A7</f>
        <v/>
      </c>
      <c r="D19" s="111">
        <f>'Discard Draft'!C7</f>
        <v/>
      </c>
      <c r="E19" s="111">
        <f>'Discard Draft'!F7</f>
        <v/>
      </c>
      <c r="F19" s="111">
        <f>'Discard Draft'!L7</f>
        <v/>
      </c>
      <c r="G19" s="111">
        <f>'Discard Draft'!M7</f>
        <v/>
      </c>
      <c r="H19" s="111">
        <f>'Discard Draft'!N7</f>
        <v/>
      </c>
      <c r="I19" s="111">
        <f>'Discard Draft'!O7</f>
        <v/>
      </c>
    </row>
    <row r="20" ht="13" customHeight="1">
      <c r="A20" s="109" t="n">
        <v>9</v>
      </c>
      <c r="B20" s="110" t="inlineStr">
        <is>
          <t>EP-051</t>
        </is>
      </c>
      <c r="C20" s="111">
        <f>'Activate Project'!A7</f>
        <v/>
      </c>
      <c r="D20" s="111">
        <f>'Activate Project'!C7</f>
        <v/>
      </c>
      <c r="E20" s="111">
        <f>'Activate Project'!F7</f>
        <v/>
      </c>
      <c r="F20" s="111">
        <f>'Activate Project'!L7</f>
        <v/>
      </c>
      <c r="G20" s="111">
        <f>'Activate Project'!M7</f>
        <v/>
      </c>
      <c r="H20" s="111">
        <f>'Activate Project'!N7</f>
        <v/>
      </c>
      <c r="I20" s="111">
        <f>'Activate Project'!O7</f>
        <v/>
      </c>
    </row>
    <row r="21" ht="13.5" customHeight="1">
      <c r="A21" s="109" t="n">
        <v>10</v>
      </c>
      <c r="B21" s="113" t="inlineStr">
        <is>
          <t>EP-052</t>
        </is>
      </c>
      <c r="C21" s="111">
        <f>'Download Pdf'!A7</f>
        <v/>
      </c>
      <c r="D21" s="111">
        <f>'Download Pdf'!C7</f>
        <v/>
      </c>
      <c r="E21" s="111">
        <f>'Download Pdf'!F7</f>
        <v/>
      </c>
      <c r="F21" s="111">
        <f>'Download Pdf'!L7</f>
        <v/>
      </c>
      <c r="G21" s="111">
        <f>'Download Pdf'!M7</f>
        <v/>
      </c>
      <c r="H21" s="111">
        <f>'Download Pdf'!N7</f>
        <v/>
      </c>
      <c r="I21" s="111">
        <f>'Download Pdf'!O7</f>
        <v/>
      </c>
    </row>
    <row r="22" ht="13.5" customHeight="1">
      <c r="A22" s="109" t="n">
        <v>11</v>
      </c>
      <c r="B22" s="113" t="inlineStr">
        <is>
          <t>EP-182</t>
        </is>
      </c>
      <c r="C22" s="111">
        <f>'List Payment Methods'!A7</f>
        <v/>
      </c>
      <c r="D22" s="111">
        <f>'List Payment Methods'!C7</f>
        <v/>
      </c>
      <c r="E22" s="111">
        <f>'List Payment Methods'!F7</f>
        <v/>
      </c>
      <c r="F22" s="111">
        <f>'List Payment Methods'!L7</f>
        <v/>
      </c>
      <c r="G22" s="111">
        <f>'List Payment Methods'!M7</f>
        <v/>
      </c>
      <c r="H22" s="111">
        <f>'List Payment Methods'!N7</f>
        <v/>
      </c>
      <c r="I22" s="111">
        <f>'List Payment Methods'!O7</f>
        <v/>
      </c>
    </row>
    <row r="23" ht="13.5" customHeight="1">
      <c r="A23" s="109" t="n">
        <v>12</v>
      </c>
      <c r="B23" s="113" t="inlineStr">
        <is>
          <t>EP-183</t>
        </is>
      </c>
      <c r="C23" s="111">
        <f>'Create Payment Method'!A7</f>
        <v/>
      </c>
      <c r="D23" s="111">
        <f>'Create Payment Method'!C7</f>
        <v/>
      </c>
      <c r="E23" s="111">
        <f>'Create Payment Method'!F7</f>
        <v/>
      </c>
      <c r="F23" s="111">
        <f>'Create Payment Method'!L7</f>
        <v/>
      </c>
      <c r="G23" s="111">
        <f>'Create Payment Method'!M7</f>
        <v/>
      </c>
      <c r="H23" s="111">
        <f>'Create Payment Method'!N7</f>
        <v/>
      </c>
      <c r="I23" s="111">
        <f>'Create Payment Method'!O7</f>
        <v/>
      </c>
    </row>
    <row r="24" ht="13.5" customHeight="1">
      <c r="A24" s="109" t="n">
        <v>13</v>
      </c>
      <c r="B24" s="113" t="inlineStr">
        <is>
          <t>EP-184</t>
        </is>
      </c>
      <c r="C24" s="111">
        <f>'Set Default Payment Method'!A7</f>
        <v/>
      </c>
      <c r="D24" s="111">
        <f>'Set Default Payment Method'!C7</f>
        <v/>
      </c>
      <c r="E24" s="111">
        <f>'Set Default Payment Method'!F7</f>
        <v/>
      </c>
      <c r="F24" s="111">
        <f>'Set Default Payment Method'!L7</f>
        <v/>
      </c>
      <c r="G24" s="111">
        <f>'Set Default Payment Method'!M7</f>
        <v/>
      </c>
      <c r="H24" s="111">
        <f>'Set Default Payment Method'!N7</f>
        <v/>
      </c>
      <c r="I24" s="111">
        <f>'Set Default Payment Method'!O7</f>
        <v/>
      </c>
    </row>
    <row r="25" ht="13.5" customHeight="1">
      <c r="A25" s="109" t="n">
        <v>14</v>
      </c>
      <c r="B25" s="113" t="inlineStr">
        <is>
          <t>EP-185</t>
        </is>
      </c>
      <c r="C25" s="111">
        <f>'Fund Milestone'!A7</f>
        <v/>
      </c>
      <c r="D25" s="111">
        <f>'Fund Milestone'!C7</f>
        <v/>
      </c>
      <c r="E25" s="111">
        <f>'Fund Milestone'!F7</f>
        <v/>
      </c>
      <c r="F25" s="111">
        <f>'Fund Milestone'!L7</f>
        <v/>
      </c>
      <c r="G25" s="111">
        <f>'Fund Milestone'!M7</f>
        <v/>
      </c>
      <c r="H25" s="111">
        <f>'Fund Milestone'!N7</f>
        <v/>
      </c>
      <c r="I25" s="111">
        <f>'Fund Milestone'!O7</f>
        <v/>
      </c>
    </row>
    <row r="26" ht="13.5" customHeight="1">
      <c r="A26" s="109" t="n">
        <v>15</v>
      </c>
      <c r="B26" s="113" t="inlineStr">
        <is>
          <t>EP-186</t>
        </is>
      </c>
      <c r="C26" s="111">
        <f>'Get My Wallet'!A7</f>
        <v/>
      </c>
      <c r="D26" s="111">
        <f>'Get My Wallet'!C7</f>
        <v/>
      </c>
      <c r="E26" s="111">
        <f>'Get My Wallet'!F7</f>
        <v/>
      </c>
      <c r="F26" s="111">
        <f>'Get My Wallet'!L7</f>
        <v/>
      </c>
      <c r="G26" s="111">
        <f>'Get My Wallet'!M7</f>
        <v/>
      </c>
      <c r="H26" s="111">
        <f>'Get My Wallet'!N7</f>
        <v/>
      </c>
      <c r="I26" s="111">
        <f>'Get My Wallet'!O7</f>
        <v/>
      </c>
    </row>
    <row r="27" ht="13.5" customHeight="1">
      <c r="A27" s="109" t="n">
        <v>16</v>
      </c>
      <c r="B27" s="113" t="inlineStr">
        <is>
          <t>EP-187</t>
        </is>
      </c>
      <c r="C27" s="111">
        <f>'Get My Wallet Transactions'!A7</f>
        <v/>
      </c>
      <c r="D27" s="111">
        <f>'Get My Wallet Transactions'!C7</f>
        <v/>
      </c>
      <c r="E27" s="111">
        <f>'Get My Wallet Transactions'!F7</f>
        <v/>
      </c>
      <c r="F27" s="111">
        <f>'Get My Wallet Transactions'!L7</f>
        <v/>
      </c>
      <c r="G27" s="111">
        <f>'Get My Wallet Transactions'!M7</f>
        <v/>
      </c>
      <c r="H27" s="111">
        <f>'Get My Wallet Transactions'!N7</f>
        <v/>
      </c>
      <c r="I27" s="111">
        <f>'Get My Wallet Transactions'!O7</f>
        <v/>
      </c>
    </row>
    <row r="28" ht="13.5" customHeight="1">
      <c r="A28" s="109" t="n">
        <v>17</v>
      </c>
      <c r="B28" s="113" t="inlineStr">
        <is>
          <t>EP-208</t>
        </is>
      </c>
      <c r="C28" s="111">
        <f>'Approve Specs'!A7</f>
        <v/>
      </c>
      <c r="D28" s="111">
        <f>'Approve Specs'!C7</f>
        <v/>
      </c>
      <c r="E28" s="111">
        <f>'Approve Specs'!F7</f>
        <v/>
      </c>
      <c r="F28" s="111">
        <f>'Approve Specs'!L7</f>
        <v/>
      </c>
      <c r="G28" s="111">
        <f>'Approve Specs'!M7</f>
        <v/>
      </c>
      <c r="H28" s="111">
        <f>'Approve Specs'!N7</f>
        <v/>
      </c>
      <c r="I28" s="111">
        <f>'Approve Specs'!O7</f>
        <v/>
      </c>
    </row>
    <row r="29" ht="13.5" customHeight="1">
      <c r="A29" s="109" t="n">
        <v>18</v>
      </c>
      <c r="B29" s="113" t="inlineStr">
        <is>
          <t>EP-209</t>
        </is>
      </c>
      <c r="C29" s="111">
        <f>'Convert To Project'!A7</f>
        <v/>
      </c>
      <c r="D29" s="111">
        <f>'Convert To Project'!C7</f>
        <v/>
      </c>
      <c r="E29" s="111">
        <f>'Convert To Project'!F7</f>
        <v/>
      </c>
      <c r="F29" s="111">
        <f>'Convert To Project'!L7</f>
        <v/>
      </c>
      <c r="G29" s="111">
        <f>'Convert To Project'!M7</f>
        <v/>
      </c>
      <c r="H29" s="111">
        <f>'Convert To Project'!N7</f>
        <v/>
      </c>
      <c r="I29" s="111">
        <f>'Convert To Project'!O7</f>
        <v/>
      </c>
    </row>
    <row r="30" ht="13.5" customHeight="1">
      <c r="A30" s="109" t="n">
        <v>19</v>
      </c>
      <c r="B30" s="113" t="inlineStr">
        <is>
          <t>EP-211</t>
        </is>
      </c>
      <c r="C30" s="111">
        <f>'Get Pending Specs'!A7</f>
        <v/>
      </c>
      <c r="D30" s="111">
        <f>'Get Pending Specs'!C7</f>
        <v/>
      </c>
      <c r="E30" s="111">
        <f>'Get Pending Specs'!F7</f>
        <v/>
      </c>
      <c r="F30" s="111">
        <f>'Get Pending Specs'!L7</f>
        <v/>
      </c>
      <c r="G30" s="111">
        <f>'Get Pending Specs'!M7</f>
        <v/>
      </c>
      <c r="H30" s="111">
        <f>'Get Pending Specs'!N7</f>
        <v/>
      </c>
      <c r="I30" s="111">
        <f>'Get Pending Specs'!O7</f>
        <v/>
      </c>
    </row>
    <row r="31" ht="13.5" customHeight="1">
      <c r="A31" s="109" t="n">
        <v>20</v>
      </c>
      <c r="B31" s="113" t="inlineStr">
        <is>
          <t>EP-212</t>
        </is>
      </c>
      <c r="C31" s="111">
        <f>'Get Pending Client Review'!A7</f>
        <v/>
      </c>
      <c r="D31" s="111">
        <f>'Get Pending Client Review'!C7</f>
        <v/>
      </c>
      <c r="E31" s="111">
        <f>'Get Pending Client Review'!F7</f>
        <v/>
      </c>
      <c r="F31" s="111">
        <f>'Get Pending Client Review'!L7</f>
        <v/>
      </c>
      <c r="G31" s="111">
        <f>'Get Pending Client Review'!M7</f>
        <v/>
      </c>
      <c r="H31" s="111">
        <f>'Get Pending Client Review'!N7</f>
        <v/>
      </c>
      <c r="I31" s="111">
        <f>'Get Pending Client Review'!O7</f>
        <v/>
      </c>
    </row>
    <row r="32" ht="13.5" customHeight="1">
      <c r="A32" s="109" t="n"/>
      <c r="B32" s="113" t="n"/>
      <c r="C32" s="111" t="n"/>
      <c r="D32" s="111" t="n"/>
      <c r="E32" s="111" t="n"/>
      <c r="F32" s="111" t="n"/>
      <c r="G32" s="111" t="n"/>
      <c r="H32" s="111" t="n"/>
      <c r="I32" s="111" t="n"/>
    </row>
    <row r="33" ht="13.5" customHeight="1">
      <c r="A33" s="109" t="n"/>
      <c r="B33" s="113" t="inlineStr">
        <is>
          <t>Sub total</t>
        </is>
      </c>
      <c r="C33" s="111">
        <f>SUM(C12:C32)</f>
        <v/>
      </c>
      <c r="D33" s="111">
        <f>SUM(D12:D32)</f>
        <v/>
      </c>
      <c r="E33" s="111">
        <f>SUM(E12:E32)</f>
        <v/>
      </c>
      <c r="F33" s="111">
        <f>SUM(F12:F32)</f>
        <v/>
      </c>
      <c r="G33" s="111">
        <f>SUM(G12:G32)</f>
        <v/>
      </c>
      <c r="H33" s="111">
        <f>SUM(H12:H32)</f>
        <v/>
      </c>
      <c r="I33" s="111">
        <f>SUM(I12:I32)</f>
        <v/>
      </c>
    </row>
    <row r="34" ht="13.5" customHeight="1">
      <c r="A34" s="109" t="n"/>
      <c r="B34" s="113" t="n"/>
      <c r="C34" s="111" t="n"/>
      <c r="D34" s="111" t="n"/>
      <c r="E34" s="111" t="n"/>
      <c r="F34" s="111" t="n"/>
      <c r="G34" s="111" t="n"/>
      <c r="H34" s="111" t="n"/>
      <c r="I34" s="111" t="n"/>
    </row>
    <row r="35" ht="13.5" customHeight="1">
      <c r="A35" s="109" t="n"/>
      <c r="B35" s="113" t="inlineStr">
        <is>
          <t>Test coverage</t>
        </is>
      </c>
      <c r="C35" s="111" t="n"/>
      <c r="D35" s="111">
        <f>IF(I33=0,0,(C33+D33)*100/I33)</f>
        <v/>
      </c>
      <c r="E35" s="111" t="inlineStr">
        <is>
          <t>%</t>
        </is>
      </c>
      <c r="F35" s="111" t="n"/>
      <c r="G35" s="111" t="n"/>
      <c r="H35" s="111" t="n"/>
      <c r="I35" s="111" t="n"/>
    </row>
    <row r="36" ht="13.5" customHeight="1">
      <c r="A36" s="109" t="n"/>
      <c r="B36" s="113" t="inlineStr">
        <is>
          <t>Test successful coverage</t>
        </is>
      </c>
      <c r="C36" s="111" t="n"/>
      <c r="D36" s="111">
        <f>IF(I33=0,0,C33*100/I33)</f>
        <v/>
      </c>
      <c r="E36" s="111" t="inlineStr">
        <is>
          <t>%</t>
        </is>
      </c>
      <c r="F36" s="111" t="n"/>
      <c r="G36" s="111" t="n"/>
      <c r="H36" s="111" t="n"/>
      <c r="I36" s="111" t="n"/>
    </row>
    <row r="37" ht="13.5" customHeight="1">
      <c r="A37" s="109" t="n"/>
      <c r="B37" s="113" t="inlineStr">
        <is>
          <t>Normal case</t>
        </is>
      </c>
      <c r="C37" s="111" t="n"/>
      <c r="D37" s="111">
        <f>IF(I33=0,0,F33*100/I33)</f>
        <v/>
      </c>
      <c r="E37" s="111" t="inlineStr">
        <is>
          <t>%</t>
        </is>
      </c>
      <c r="F37" s="111" t="n"/>
      <c r="G37" s="111" t="n"/>
      <c r="H37" s="111" t="n"/>
      <c r="I37" s="111" t="n"/>
    </row>
    <row r="38" ht="13.5" customHeight="1">
      <c r="A38" s="109" t="n"/>
      <c r="B38" s="113" t="inlineStr">
        <is>
          <t>Abnormal case</t>
        </is>
      </c>
      <c r="C38" s="111" t="n"/>
      <c r="D38" s="111">
        <f>IF(I33=0,0,G33*100/I33)</f>
        <v/>
      </c>
      <c r="E38" s="111" t="inlineStr">
        <is>
          <t>%</t>
        </is>
      </c>
      <c r="F38" s="111" t="n"/>
      <c r="G38" s="111" t="n"/>
      <c r="H38" s="111" t="n"/>
      <c r="I38" s="111" t="n"/>
    </row>
    <row r="39" ht="13.5" customHeight="1">
      <c r="A39" s="109" t="n"/>
      <c r="B39" s="113" t="inlineStr">
        <is>
          <t>Boundary case</t>
        </is>
      </c>
      <c r="C39" s="111" t="n"/>
      <c r="D39" s="111">
        <f>IF(I33=0,0,H33*100/I33)</f>
        <v/>
      </c>
      <c r="E39" s="111" t="inlineStr">
        <is>
          <t>%</t>
        </is>
      </c>
      <c r="F39" s="111" t="n"/>
      <c r="G39" s="111" t="n"/>
      <c r="H39" s="111" t="n"/>
      <c r="I39" s="111" t="n"/>
    </row>
    <row r="40" ht="13.5" customHeight="1">
      <c r="A40" s="109" t="n"/>
      <c r="B40" s="113" t="n"/>
      <c r="C40" s="111" t="n"/>
      <c r="D40" s="111" t="n"/>
      <c r="E40" s="111" t="n"/>
      <c r="F40" s="111" t="n"/>
      <c r="G40" s="111" t="n"/>
      <c r="H40" s="111" t="n"/>
      <c r="I40" s="111" t="n"/>
    </row>
    <row r="41" ht="13.5" customHeight="1">
      <c r="A41" s="109" t="n"/>
      <c r="B41" s="113" t="n"/>
      <c r="C41" s="111" t="n"/>
      <c r="D41" s="111" t="n"/>
      <c r="E41" s="111" t="n"/>
      <c r="F41" s="111" t="n"/>
      <c r="G41" s="111" t="n"/>
      <c r="H41" s="111" t="n"/>
      <c r="I41" s="111" t="n"/>
    </row>
    <row r="42" ht="13.5" customHeight="1">
      <c r="A42" s="109" t="n"/>
      <c r="B42" s="113" t="n"/>
      <c r="C42" s="111" t="n"/>
      <c r="D42" s="111" t="n"/>
      <c r="E42" s="111" t="n"/>
      <c r="F42" s="111" t="n"/>
      <c r="G42" s="111" t="n"/>
      <c r="H42" s="111" t="n"/>
      <c r="I42" s="111" t="n"/>
    </row>
    <row r="43" ht="13.5" customHeight="1">
      <c r="A43" s="109" t="n"/>
      <c r="B43" s="113" t="n"/>
      <c r="C43" s="111" t="n"/>
      <c r="D43" s="111" t="n"/>
      <c r="E43" s="111" t="n"/>
      <c r="F43" s="111" t="n"/>
      <c r="G43" s="111" t="n"/>
      <c r="H43" s="111" t="n"/>
      <c r="I43" s="111" t="n"/>
    </row>
    <row r="44" ht="13.5" customHeight="1">
      <c r="A44" s="109" t="n"/>
      <c r="B44" s="113" t="n"/>
      <c r="C44" s="111" t="n"/>
      <c r="D44" s="111" t="n"/>
      <c r="E44" s="111" t="n"/>
      <c r="F44" s="111" t="n"/>
      <c r="G44" s="111" t="n"/>
      <c r="H44" s="111" t="n"/>
      <c r="I44" s="111" t="n"/>
    </row>
    <row r="45" ht="13.5" customHeight="1">
      <c r="A45" s="109" t="n"/>
      <c r="B45" s="113" t="n"/>
      <c r="C45" s="111" t="n"/>
      <c r="D45" s="111" t="n"/>
      <c r="E45" s="111" t="n"/>
      <c r="F45" s="111" t="n"/>
      <c r="G45" s="111" t="n"/>
      <c r="H45" s="111" t="n"/>
      <c r="I45" s="111" t="n"/>
    </row>
    <row r="46" ht="13.5" customHeight="1">
      <c r="A46" s="109" t="n"/>
      <c r="B46" s="113" t="n"/>
      <c r="C46" s="111" t="n"/>
      <c r="D46" s="111" t="n"/>
      <c r="E46" s="111" t="n"/>
      <c r="F46" s="111" t="n"/>
      <c r="G46" s="111" t="n"/>
      <c r="H46" s="111" t="n"/>
      <c r="I46" s="111" t="n"/>
    </row>
    <row r="47" ht="13.5" customHeight="1">
      <c r="A47" s="109" t="n"/>
      <c r="B47" s="113" t="n"/>
      <c r="C47" s="111" t="n"/>
      <c r="D47" s="111" t="n"/>
      <c r="E47" s="111" t="n"/>
      <c r="F47" s="111" t="n"/>
      <c r="G47" s="111" t="n"/>
      <c r="H47" s="111" t="n"/>
      <c r="I47" s="111" t="n"/>
    </row>
    <row r="48" ht="13.5" customHeight="1">
      <c r="A48" s="109" t="n"/>
      <c r="B48" s="113" t="n"/>
      <c r="C48" s="111" t="n"/>
      <c r="D48" s="111" t="n"/>
      <c r="E48" s="111" t="n"/>
      <c r="F48" s="111" t="n"/>
      <c r="G48" s="111" t="n"/>
      <c r="H48" s="111" t="n"/>
      <c r="I48" s="111" t="n"/>
    </row>
    <row r="49" ht="13.5" customHeight="1">
      <c r="A49" s="109" t="n"/>
      <c r="B49" s="113" t="n"/>
      <c r="C49" s="111" t="n"/>
      <c r="D49" s="111" t="n"/>
      <c r="E49" s="111" t="n"/>
      <c r="F49" s="111" t="n"/>
      <c r="G49" s="111" t="n"/>
      <c r="H49" s="111" t="n"/>
      <c r="I49" s="111" t="n"/>
    </row>
    <row r="50" ht="13.5" customHeight="1">
      <c r="A50" s="109" t="n"/>
      <c r="B50" s="113" t="n"/>
      <c r="C50" s="111" t="n"/>
      <c r="D50" s="111" t="n"/>
      <c r="E50" s="111" t="n"/>
      <c r="F50" s="111" t="n"/>
      <c r="G50" s="111" t="n"/>
      <c r="H50" s="111" t="n"/>
      <c r="I50" s="111" t="n"/>
    </row>
    <row r="51" ht="13.5" customHeight="1">
      <c r="A51" s="109" t="n"/>
      <c r="B51" s="113" t="n"/>
      <c r="C51" s="111" t="n"/>
      <c r="D51" s="111" t="n"/>
      <c r="E51" s="111" t="n"/>
      <c r="F51" s="111" t="n"/>
      <c r="G51" s="111" t="n"/>
      <c r="H51" s="111" t="n"/>
      <c r="I51" s="111" t="n"/>
    </row>
    <row r="52" ht="13.5" customHeight="1">
      <c r="A52" s="109" t="n"/>
      <c r="B52" s="113" t="n"/>
      <c r="C52" s="111" t="n"/>
      <c r="D52" s="111" t="n"/>
      <c r="E52" s="111" t="n"/>
      <c r="F52" s="111" t="n"/>
      <c r="G52" s="111" t="n"/>
      <c r="H52" s="111" t="n"/>
      <c r="I52" s="111" t="n"/>
    </row>
    <row r="53" ht="13.5" customHeight="1">
      <c r="A53" s="109" t="n"/>
      <c r="B53" s="113" t="n"/>
      <c r="C53" s="111" t="n"/>
      <c r="D53" s="111" t="n"/>
      <c r="E53" s="111" t="n"/>
      <c r="F53" s="111" t="n"/>
      <c r="G53" s="111" t="n"/>
      <c r="H53" s="111" t="n"/>
      <c r="I53" s="111" t="n"/>
    </row>
    <row r="54" ht="13.5" customHeight="1">
      <c r="A54" s="109" t="n"/>
      <c r="B54" s="113" t="n"/>
      <c r="C54" s="111" t="n"/>
      <c r="D54" s="111" t="n"/>
      <c r="E54" s="111" t="n"/>
      <c r="F54" s="111" t="n"/>
      <c r="G54" s="111" t="n"/>
      <c r="H54" s="111" t="n"/>
      <c r="I54" s="111" t="n"/>
    </row>
    <row r="55" ht="13.5" customHeight="1">
      <c r="A55" s="109" t="n"/>
      <c r="B55" s="113" t="n"/>
      <c r="C55" s="111" t="n"/>
      <c r="D55" s="111" t="n"/>
      <c r="E55" s="111" t="n"/>
      <c r="F55" s="111" t="n"/>
      <c r="G55" s="111" t="n"/>
      <c r="H55" s="111" t="n"/>
      <c r="I55" s="111" t="n"/>
    </row>
    <row r="56" ht="13.5" customHeight="1">
      <c r="A56" s="109" t="n"/>
      <c r="B56" s="113" t="n"/>
      <c r="C56" s="111" t="n"/>
      <c r="D56" s="111" t="n"/>
      <c r="E56" s="111" t="n"/>
      <c r="F56" s="111" t="n"/>
      <c r="G56" s="111" t="n"/>
      <c r="H56" s="111" t="n"/>
      <c r="I56" s="111" t="n"/>
    </row>
    <row r="57" ht="13.5" customHeight="1">
      <c r="A57" s="109" t="n"/>
      <c r="B57" s="113" t="n"/>
      <c r="C57" s="111" t="n"/>
      <c r="D57" s="111" t="n"/>
      <c r="E57" s="111" t="n"/>
      <c r="F57" s="111" t="n"/>
      <c r="G57" s="111" t="n"/>
      <c r="H57" s="111" t="n"/>
      <c r="I57" s="111" t="n"/>
    </row>
    <row r="58" ht="13.5" customHeight="1">
      <c r="A58" s="109" t="n"/>
      <c r="B58" s="113" t="n"/>
      <c r="C58" s="111" t="n"/>
      <c r="D58" s="111" t="n"/>
      <c r="E58" s="111" t="n"/>
      <c r="F58" s="111" t="n"/>
      <c r="G58" s="111" t="n"/>
      <c r="H58" s="111" t="n"/>
      <c r="I58" s="111" t="n"/>
    </row>
    <row r="59" ht="13.5" customHeight="1">
      <c r="A59" s="109" t="n"/>
      <c r="B59" s="113" t="n"/>
      <c r="C59" s="111" t="n"/>
      <c r="D59" s="111" t="n"/>
      <c r="E59" s="111" t="n"/>
      <c r="F59" s="111" t="n"/>
      <c r="G59" s="111" t="n"/>
      <c r="H59" s="111" t="n"/>
      <c r="I59" s="111" t="n"/>
    </row>
    <row r="60" ht="13.5" customHeight="1">
      <c r="A60" s="109" t="n"/>
      <c r="B60" s="113" t="n"/>
      <c r="C60" s="111" t="n"/>
      <c r="D60" s="111" t="n"/>
      <c r="E60" s="111" t="n"/>
      <c r="F60" s="111" t="n"/>
      <c r="G60" s="111" t="n"/>
      <c r="H60" s="111" t="n"/>
      <c r="I60" s="111" t="n"/>
    </row>
    <row r="61" ht="13.5" customHeight="1">
      <c r="A61" s="109" t="n"/>
      <c r="B61" s="113" t="n"/>
      <c r="C61" s="111" t="n"/>
      <c r="D61" s="111" t="n"/>
      <c r="E61" s="111" t="n"/>
      <c r="F61" s="112" t="n"/>
      <c r="G61" s="111" t="n"/>
      <c r="H61" s="111" t="n"/>
      <c r="I61" s="111" t="n"/>
    </row>
    <row r="62" ht="13.5" customHeight="1">
      <c r="A62" s="109" t="n"/>
      <c r="B62" s="113" t="n"/>
      <c r="C62" s="111" t="n"/>
      <c r="D62" s="111" t="n"/>
      <c r="E62" s="111" t="n"/>
      <c r="F62" s="112" t="n"/>
      <c r="G62" s="111" t="n"/>
      <c r="H62" s="111" t="n"/>
      <c r="I62" s="111" t="n"/>
    </row>
    <row r="63" ht="13.5" customHeight="1">
      <c r="A63" s="109" t="n"/>
      <c r="B63" s="113" t="n"/>
      <c r="C63" s="111" t="n"/>
      <c r="D63" s="111" t="n"/>
      <c r="E63" s="111" t="n"/>
      <c r="F63" s="112" t="n"/>
      <c r="G63" s="111" t="n"/>
      <c r="H63" s="111" t="n"/>
      <c r="I63" s="111" t="n"/>
    </row>
    <row r="64" ht="13.5" customHeight="1">
      <c r="A64" s="109" t="n"/>
      <c r="B64" s="113" t="n"/>
      <c r="C64" s="111" t="n"/>
      <c r="D64" s="111" t="n"/>
      <c r="E64" s="111" t="n"/>
      <c r="F64" s="112" t="n"/>
      <c r="G64" s="111" t="n"/>
      <c r="H64" s="111" t="n"/>
      <c r="I64" s="111" t="n"/>
    </row>
    <row r="65" ht="13.5" customHeight="1">
      <c r="A65" s="109" t="n"/>
      <c r="B65" s="113" t="n"/>
      <c r="C65" s="111" t="n"/>
      <c r="D65" s="111" t="n"/>
      <c r="E65" s="111" t="n"/>
      <c r="F65" s="112" t="n"/>
      <c r="G65" s="111" t="n"/>
      <c r="H65" s="111" t="n"/>
      <c r="I65" s="111" t="n"/>
    </row>
    <row r="66" ht="13.5" customHeight="1">
      <c r="A66" s="109" t="n"/>
      <c r="B66" s="113" t="n"/>
      <c r="C66" s="111" t="n"/>
      <c r="D66" s="111" t="n"/>
      <c r="E66" s="111" t="n"/>
      <c r="F66" s="112" t="n"/>
      <c r="G66" s="111" t="n"/>
      <c r="H66" s="111" t="n"/>
      <c r="I66" s="111" t="n"/>
    </row>
    <row r="67" ht="13.5" customHeight="1">
      <c r="A67" s="109" t="n"/>
      <c r="B67" s="113" t="n"/>
      <c r="C67" s="111" t="n"/>
      <c r="D67" s="111" t="n"/>
      <c r="E67" s="111" t="n"/>
      <c r="F67" s="112" t="n"/>
      <c r="G67" s="111" t="n"/>
      <c r="H67" s="111" t="n"/>
      <c r="I67" s="111" t="n"/>
    </row>
    <row r="68" ht="13.5" customHeight="1">
      <c r="A68" s="109" t="n"/>
      <c r="B68" s="113" t="n"/>
      <c r="C68" s="111" t="n"/>
      <c r="D68" s="111" t="n"/>
      <c r="E68" s="111" t="n"/>
      <c r="F68" s="112" t="n"/>
      <c r="G68" s="111" t="n"/>
      <c r="H68" s="111" t="n"/>
      <c r="I68" s="111" t="n"/>
    </row>
    <row r="69" ht="13.5" customHeight="1">
      <c r="A69" s="109" t="n"/>
      <c r="B69" s="113" t="n"/>
      <c r="C69" s="111" t="n"/>
      <c r="D69" s="111" t="n"/>
      <c r="E69" s="111" t="n"/>
      <c r="F69" s="112" t="n"/>
      <c r="G69" s="111" t="n"/>
      <c r="H69" s="111" t="n"/>
      <c r="I69" s="111" t="n"/>
    </row>
    <row r="70" ht="13.5" customHeight="1">
      <c r="A70" s="114" t="n"/>
      <c r="B70" s="113" t="n"/>
      <c r="C70" s="111" t="n"/>
      <c r="D70" s="111" t="n"/>
      <c r="E70" s="111" t="n"/>
      <c r="F70" s="112" t="n"/>
      <c r="G70" s="111" t="n"/>
      <c r="H70" s="111" t="n"/>
      <c r="I70" s="111" t="n"/>
    </row>
    <row r="71" ht="13.5" customHeight="1">
      <c r="A71" s="114" t="n"/>
      <c r="B71" s="113" t="n"/>
      <c r="C71" s="111" t="n"/>
      <c r="D71" s="111" t="n"/>
      <c r="E71" s="111" t="n"/>
      <c r="F71" s="112" t="n"/>
      <c r="G71" s="111" t="n"/>
      <c r="H71" s="111" t="n"/>
      <c r="I71" s="111" t="n"/>
    </row>
    <row r="72" ht="13.5" customHeight="1">
      <c r="A72" s="114" t="n"/>
      <c r="B72" s="113" t="n"/>
      <c r="C72" s="111" t="n"/>
      <c r="D72" s="111" t="n"/>
      <c r="E72" s="111" t="n"/>
      <c r="F72" s="112" t="n"/>
      <c r="G72" s="111" t="n"/>
      <c r="H72" s="111" t="n"/>
      <c r="I72" s="111" t="n"/>
    </row>
    <row r="73" ht="13.5" customHeight="1">
      <c r="A73" s="114" t="n"/>
      <c r="B73" s="113" t="n"/>
      <c r="C73" s="111" t="n"/>
      <c r="D73" s="111" t="n"/>
      <c r="E73" s="111" t="n"/>
      <c r="F73" s="112" t="n"/>
      <c r="G73" s="111" t="n"/>
      <c r="H73" s="111" t="n"/>
      <c r="I73" s="111" t="n"/>
    </row>
    <row r="74" ht="13.5" customHeight="1">
      <c r="A74" s="114" t="n"/>
      <c r="B74" s="113" t="n"/>
      <c r="C74" s="111" t="n"/>
      <c r="D74" s="111" t="n"/>
      <c r="E74" s="111" t="n"/>
      <c r="F74" s="112" t="n"/>
      <c r="G74" s="111" t="n"/>
      <c r="H74" s="111" t="n"/>
      <c r="I74" s="111" t="n"/>
    </row>
    <row r="75" ht="13.5" customHeight="1">
      <c r="A75" s="114" t="n"/>
      <c r="B75" s="113" t="n"/>
      <c r="C75" s="111" t="n"/>
      <c r="D75" s="111" t="n"/>
      <c r="E75" s="111" t="n"/>
      <c r="F75" s="112" t="n"/>
      <c r="G75" s="111" t="n"/>
      <c r="H75" s="111" t="n"/>
      <c r="I75" s="111" t="n"/>
    </row>
    <row r="76" ht="13.5" customHeight="1">
      <c r="A76" s="114" t="n"/>
      <c r="B76" s="113" t="n"/>
      <c r="C76" s="111" t="n"/>
      <c r="D76" s="111" t="n"/>
      <c r="E76" s="111" t="n"/>
      <c r="F76" s="112" t="n"/>
      <c r="G76" s="111" t="n"/>
      <c r="H76" s="111" t="n"/>
      <c r="I76" s="111" t="n"/>
    </row>
    <row r="77" ht="13.5" customHeight="1">
      <c r="A77" s="114" t="n"/>
      <c r="B77" s="113" t="n"/>
      <c r="C77" s="111" t="n"/>
      <c r="D77" s="111" t="n"/>
      <c r="E77" s="111" t="n"/>
      <c r="F77" s="112" t="n"/>
      <c r="G77" s="111" t="n"/>
      <c r="H77" s="111" t="n"/>
      <c r="I77" s="111" t="n"/>
    </row>
    <row r="78" ht="13.5" customHeight="1">
      <c r="A78" s="114" t="n"/>
      <c r="B78" s="113" t="n"/>
      <c r="C78" s="111" t="n"/>
      <c r="D78" s="111" t="n"/>
      <c r="E78" s="111" t="n"/>
      <c r="F78" s="112" t="n"/>
      <c r="G78" s="111" t="n"/>
      <c r="H78" s="111" t="n"/>
      <c r="I78" s="111" t="n"/>
    </row>
    <row r="79" ht="13.5" customHeight="1">
      <c r="A79" s="114" t="n"/>
      <c r="B79" s="113" t="n"/>
      <c r="C79" s="111" t="n"/>
      <c r="D79" s="111" t="n"/>
      <c r="E79" s="111" t="n"/>
      <c r="F79" s="112" t="n"/>
      <c r="G79" s="111" t="n"/>
      <c r="H79" s="111" t="n"/>
      <c r="I79" s="111" t="n"/>
    </row>
    <row r="80" ht="13.5" customHeight="1">
      <c r="A80" s="114" t="n"/>
      <c r="B80" s="113" t="n"/>
      <c r="C80" s="111" t="n"/>
      <c r="D80" s="111" t="n"/>
      <c r="E80" s="111" t="n"/>
      <c r="F80" s="112" t="n"/>
      <c r="G80" s="111" t="n"/>
      <c r="H80" s="111" t="n"/>
      <c r="I80" s="111" t="n"/>
    </row>
    <row r="81" ht="13.5" customHeight="1">
      <c r="A81" s="114" t="n"/>
      <c r="B81" s="113" t="n"/>
      <c r="C81" s="111" t="n"/>
      <c r="D81" s="111" t="n"/>
      <c r="E81" s="111" t="n"/>
      <c r="F81" s="112" t="n"/>
      <c r="G81" s="111" t="n"/>
      <c r="H81" s="111" t="n"/>
      <c r="I81" s="111" t="n"/>
    </row>
    <row r="82" ht="13.5" customHeight="1">
      <c r="A82" s="114" t="n"/>
      <c r="B82" s="113" t="n"/>
      <c r="C82" s="111" t="n"/>
      <c r="D82" s="111" t="n"/>
      <c r="E82" s="111" t="n"/>
      <c r="F82" s="112" t="n"/>
      <c r="G82" s="111" t="n"/>
      <c r="H82" s="111" t="n"/>
      <c r="I82" s="111" t="n"/>
    </row>
    <row r="83" ht="13.5" customHeight="1">
      <c r="A83" s="114" t="n"/>
      <c r="B83" s="113" t="n"/>
      <c r="C83" s="111" t="n"/>
      <c r="D83" s="111" t="n"/>
      <c r="E83" s="111" t="n"/>
      <c r="F83" s="112" t="n"/>
      <c r="G83" s="111" t="n"/>
      <c r="H83" s="111" t="n"/>
      <c r="I83" s="111" t="n"/>
    </row>
    <row r="84" ht="13.5" customHeight="1">
      <c r="A84" s="114" t="n"/>
      <c r="B84" s="113" t="n"/>
      <c r="C84" s="111" t="n"/>
      <c r="D84" s="111" t="n"/>
      <c r="E84" s="111" t="n"/>
      <c r="F84" s="112" t="n"/>
      <c r="G84" s="111" t="n"/>
      <c r="H84" s="111" t="n"/>
      <c r="I84" s="111" t="n"/>
    </row>
    <row r="85" ht="13.5" customHeight="1">
      <c r="A85" s="114" t="n"/>
      <c r="B85" s="113" t="n"/>
      <c r="C85" s="111" t="n"/>
      <c r="D85" s="111" t="n"/>
      <c r="E85" s="111" t="n"/>
      <c r="F85" s="112" t="n"/>
      <c r="G85" s="111" t="n"/>
      <c r="H85" s="111" t="n"/>
      <c r="I85" s="111" t="n"/>
    </row>
    <row r="86" ht="13.5" customHeight="1">
      <c r="A86" s="114" t="n"/>
      <c r="B86" s="113" t="n"/>
      <c r="C86" s="111" t="n"/>
      <c r="D86" s="111" t="n"/>
      <c r="E86" s="111" t="n"/>
      <c r="F86" s="112" t="n"/>
      <c r="G86" s="111" t="n"/>
      <c r="H86" s="111" t="n"/>
      <c r="I86" s="111" t="n"/>
    </row>
    <row r="87" ht="13.5" customHeight="1">
      <c r="A87" s="114" t="n"/>
      <c r="B87" s="113" t="n"/>
      <c r="C87" s="111" t="n"/>
      <c r="D87" s="111" t="n"/>
      <c r="E87" s="111" t="n"/>
      <c r="F87" s="112" t="n"/>
      <c r="G87" s="111" t="n"/>
      <c r="H87" s="111" t="n"/>
      <c r="I87" s="111" t="n"/>
    </row>
    <row r="88" ht="13.5" customHeight="1">
      <c r="A88" s="114" t="n"/>
      <c r="B88" s="113" t="n"/>
      <c r="C88" s="111" t="n"/>
      <c r="D88" s="111" t="n"/>
      <c r="E88" s="111" t="n"/>
      <c r="F88" s="112" t="n"/>
      <c r="G88" s="111" t="n"/>
      <c r="H88" s="111" t="n"/>
      <c r="I88" s="111" t="n"/>
    </row>
    <row r="89" ht="13.5" customHeight="1">
      <c r="A89" s="114" t="n"/>
      <c r="B89" s="113" t="n"/>
      <c r="C89" s="111" t="n"/>
      <c r="D89" s="111" t="n"/>
      <c r="E89" s="111" t="n"/>
      <c r="F89" s="112" t="n"/>
      <c r="G89" s="111" t="n"/>
      <c r="H89" s="111" t="n"/>
      <c r="I89" s="111" t="n"/>
    </row>
    <row r="90" ht="13.5" customHeight="1">
      <c r="A90" s="114" t="n"/>
      <c r="B90" s="113" t="n"/>
      <c r="C90" s="111" t="n"/>
      <c r="D90" s="111" t="n"/>
      <c r="E90" s="111" t="n"/>
      <c r="F90" s="112" t="n"/>
      <c r="G90" s="111" t="n"/>
      <c r="H90" s="111" t="n"/>
      <c r="I90" s="111" t="n"/>
    </row>
    <row r="91" ht="14" customHeight="1">
      <c r="A91" s="114" t="n"/>
      <c r="B91" s="115" t="n"/>
      <c r="C91" s="111" t="n"/>
      <c r="D91" s="111" t="n"/>
      <c r="E91" s="111" t="n"/>
      <c r="F91" s="112" t="n"/>
      <c r="G91" s="111" t="n"/>
      <c r="H91" s="111" t="n"/>
      <c r="I91" s="111" t="n"/>
    </row>
    <row r="92" ht="14" customHeight="1">
      <c r="A92" s="114" t="n"/>
      <c r="B92" s="115" t="n"/>
      <c r="C92" s="111" t="n"/>
      <c r="D92" s="111" t="n"/>
      <c r="E92" s="111" t="n"/>
      <c r="F92" s="112" t="n"/>
      <c r="G92" s="111" t="n"/>
      <c r="H92" s="111" t="n"/>
      <c r="I92" s="111" t="n"/>
    </row>
    <row r="93" ht="14" customHeight="1">
      <c r="A93" s="116" t="n"/>
      <c r="B93" s="115" t="n"/>
      <c r="C93" s="111" t="n"/>
      <c r="D93" s="111" t="n"/>
      <c r="E93" s="111" t="n"/>
      <c r="F93" s="112" t="n"/>
      <c r="G93" s="111" t="n"/>
      <c r="H93" s="111" t="n"/>
      <c r="I93" s="111" t="n"/>
    </row>
    <row r="94" ht="14" customHeight="1">
      <c r="A94" s="116" t="n"/>
      <c r="B94" s="117" t="n"/>
      <c r="C94" s="116" t="n"/>
      <c r="D94" s="116" t="n"/>
      <c r="E94" s="116" t="n"/>
      <c r="F94" s="118" t="n"/>
      <c r="G94" s="116" t="n"/>
      <c r="H94" s="116" t="n"/>
      <c r="I94" s="116" t="n"/>
    </row>
    <row r="95">
      <c r="A95" s="116" t="n"/>
      <c r="B95" s="116" t="n"/>
      <c r="C95" s="116" t="n"/>
      <c r="D95" s="116" t="n"/>
      <c r="E95" s="116" t="n"/>
      <c r="F95" s="116" t="n"/>
      <c r="G95" s="116" t="n"/>
      <c r="H95" s="116" t="n"/>
      <c r="I95" s="116" t="n"/>
    </row>
    <row r="96" ht="14" customHeight="1">
      <c r="A96" s="119" t="n"/>
      <c r="B96" s="120" t="n"/>
      <c r="C96" s="121" t="n"/>
      <c r="D96" s="121" t="n"/>
      <c r="E96" s="121" t="n"/>
      <c r="F96" s="121" t="n"/>
      <c r="G96" s="121" t="n"/>
      <c r="H96" s="121" t="n"/>
      <c r="I96" s="121" t="n"/>
    </row>
    <row r="97">
      <c r="A97" s="122" t="n"/>
      <c r="C97" s="123" t="n"/>
      <c r="D97" s="124" t="n"/>
      <c r="E97" s="124" t="n"/>
      <c r="F97" s="124" t="n"/>
      <c r="G97" s="124" t="n"/>
      <c r="H97" s="124" t="n"/>
      <c r="I97" s="124" t="n"/>
    </row>
    <row r="98">
      <c r="B98" s="125" t="n"/>
      <c r="D98" s="126" t="n"/>
      <c r="E98" s="7" t="n"/>
      <c r="I98" s="127" t="n"/>
    </row>
    <row r="99">
      <c r="B99" s="125" t="n"/>
      <c r="D99" s="126" t="n"/>
      <c r="E99" s="7" t="n"/>
      <c r="I99" s="127" t="n"/>
    </row>
    <row r="100">
      <c r="B100" s="125" t="n"/>
      <c r="D100" s="126" t="n"/>
      <c r="E100" s="7" t="n"/>
    </row>
    <row r="101">
      <c r="B101" s="125" t="n"/>
      <c r="D101" s="126" t="n"/>
      <c r="E101" s="7" t="n"/>
    </row>
    <row r="102">
      <c r="B102" s="125" t="n"/>
      <c r="D102" s="126" t="n"/>
      <c r="E102" s="7" t="n"/>
    </row>
  </sheetData>
  <mergeCells count="11">
    <mergeCell ref="D6:E6"/>
    <mergeCell ref="B6:C6"/>
    <mergeCell ref="A2:I2"/>
    <mergeCell ref="B7:I7"/>
    <mergeCell ref="B5:C5"/>
    <mergeCell ref="F4:I4"/>
    <mergeCell ref="D5:E5"/>
    <mergeCell ref="D4:E4"/>
    <mergeCell ref="F5:I5"/>
    <mergeCell ref="B4:C4"/>
    <mergeCell ref="F6:I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List'!E11</f>
        <v/>
      </c>
      <c r="D2" s="131" t="n"/>
      <c r="E2" s="133" t="n"/>
      <c r="F2" s="134" t="inlineStr">
        <is>
          <t>Function Name</t>
        </is>
      </c>
      <c r="G2" s="135" t="n"/>
      <c r="H2" s="135" t="n"/>
      <c r="I2" s="135" t="n"/>
      <c r="J2" s="135" t="n"/>
      <c r="K2" s="135" t="n"/>
      <c r="L2" s="136">
        <f>'Function List'!D11</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42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listByUser returns active contract summaries for permitted participants, excludes archived contracts, supports empty results, and surfaces repository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inlineStr">
        <is>
          <t>O</t>
        </is>
      </c>
      <c r="K12" s="186" t="n"/>
      <c r="L12" s="186" t="n"/>
      <c r="M12" s="186" t="n"/>
      <c r="N12" s="186" t="n"/>
      <c r="O12" s="186" t="n"/>
      <c r="P12" s="186" t="n"/>
      <c r="Q12" s="186" t="n"/>
      <c r="R12" s="186" t="n"/>
      <c r="S12" s="186" t="n"/>
      <c r="T12" s="187" t="n"/>
    </row>
    <row r="13" ht="13.5" customHeight="1">
      <c r="A13" s="184" t="n"/>
      <c r="B13" s="178" t="inlineStr">
        <is>
          <t>access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User is linked as client / broker / freelancer</t>
        </is>
      </c>
      <c r="E14" s="189" t="n"/>
      <c r="F14" s="186" t="inlineStr">
        <is>
          <t>O</t>
        </is>
      </c>
      <c r="G14" s="182" t="n"/>
      <c r="H14" s="182" t="n"/>
      <c r="I14" s="186" t="inlineStr">
        <is>
          <t>O</t>
        </is>
      </c>
      <c r="J14" s="182" t="n"/>
      <c r="K14" s="182" t="n"/>
      <c r="L14" s="182" t="n"/>
      <c r="M14" s="182" t="n"/>
      <c r="N14" s="182" t="n"/>
      <c r="O14" s="186" t="n"/>
      <c r="P14" s="186" t="n"/>
      <c r="Q14" s="182" t="n"/>
      <c r="R14" s="182" t="n"/>
      <c r="S14" s="182" t="n"/>
      <c r="T14" s="183" t="n"/>
    </row>
    <row r="15" ht="13.5" customHeight="1">
      <c r="A15" s="184" t="n"/>
      <c r="B15" s="178" t="n"/>
      <c r="C15" s="179" t="n"/>
      <c r="D15" s="188" t="inlineStr">
        <is>
          <t>User is accepted supervising staff</t>
        </is>
      </c>
      <c r="E15" s="189" t="n"/>
      <c r="F15" s="182" t="n"/>
      <c r="G15" s="186" t="n"/>
      <c r="H15" s="186" t="n"/>
      <c r="I15" s="182" t="n"/>
      <c r="J15" s="186" t="inlineStr">
        <is>
          <t>O</t>
        </is>
      </c>
      <c r="K15" s="182" t="n"/>
      <c r="L15" s="182" t="n"/>
      <c r="M15" s="182" t="n"/>
      <c r="N15" s="182" t="n"/>
      <c r="O15" s="182" t="n"/>
      <c r="P15" s="182" t="n"/>
      <c r="Q15" s="182" t="n"/>
      <c r="R15" s="182" t="n"/>
      <c r="S15" s="182" t="n"/>
      <c r="T15" s="183" t="n"/>
    </row>
    <row r="16" ht="13.5" customHeight="1">
      <c r="A16" s="184" t="n"/>
      <c r="B16" s="178" t="inlineStr">
        <is>
          <t>repository result</t>
        </is>
      </c>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t="13.5" customHeight="1">
      <c r="A17" s="184" t="n"/>
      <c r="B17" s="178" t="n"/>
      <c r="C17" s="179" t="n"/>
      <c r="D17" s="188" t="inlineStr">
        <is>
          <t>Query returns one or more active contracts</t>
        </is>
      </c>
      <c r="E17" s="189" t="n"/>
      <c r="F17" s="186" t="inlineStr">
        <is>
          <t>O</t>
        </is>
      </c>
      <c r="G17" s="182" t="n"/>
      <c r="H17" s="182" t="n"/>
      <c r="I17" s="186" t="inlineStr">
        <is>
          <t>O</t>
        </is>
      </c>
      <c r="J17" s="186" t="inlineStr">
        <is>
          <t>O</t>
        </is>
      </c>
      <c r="K17" s="186" t="n"/>
      <c r="L17" s="182" t="n"/>
      <c r="M17" s="182" t="n"/>
      <c r="N17" s="182" t="n"/>
      <c r="O17" s="182" t="n"/>
      <c r="P17" s="182" t="n"/>
      <c r="Q17" s="182" t="n"/>
      <c r="R17" s="182" t="n"/>
      <c r="S17" s="182" t="n"/>
      <c r="T17" s="183" t="n"/>
    </row>
    <row r="18" ht="13.5" customHeight="1">
      <c r="A18" s="184" t="n"/>
      <c r="B18" s="178" t="n"/>
      <c r="C18" s="179" t="n"/>
      <c r="D18" s="188" t="inlineStr">
        <is>
          <t>Query returns no accessible contracts</t>
        </is>
      </c>
      <c r="E18" s="189" t="n"/>
      <c r="F18" s="182" t="n"/>
      <c r="G18" s="186" t="inlineStr">
        <is>
          <t>O</t>
        </is>
      </c>
      <c r="H18" s="182" t="n"/>
      <c r="I18" s="182" t="n"/>
      <c r="J18" s="182" t="n"/>
      <c r="K18" s="186" t="n"/>
      <c r="L18" s="186" t="n"/>
      <c r="M18" s="182" t="n"/>
      <c r="N18" s="182" t="n"/>
      <c r="O18" s="182" t="n"/>
      <c r="P18" s="182" t="n"/>
      <c r="Q18" s="182" t="n"/>
      <c r="R18" s="182" t="n"/>
      <c r="S18" s="182" t="n"/>
      <c r="T18" s="183" t="n"/>
    </row>
    <row r="19" ht="13.5" customHeight="1">
      <c r="A19" s="184" t="n"/>
      <c r="B19" s="178" t="inlineStr">
        <is>
          <t>archived data</t>
        </is>
      </c>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t="13.5" customHeight="1">
      <c r="A20" s="184" t="n"/>
      <c r="B20" s="178" t="n"/>
      <c r="C20" s="179" t="n"/>
      <c r="D20" s="188" t="inlineStr">
        <is>
          <t>Archived contracts exist in storage</t>
        </is>
      </c>
      <c r="E20" s="189" t="n"/>
      <c r="F20" s="182" t="n"/>
      <c r="G20" s="182" t="n"/>
      <c r="H20" s="182" t="n"/>
      <c r="I20" s="186" t="inlineStr">
        <is>
          <t>O</t>
        </is>
      </c>
      <c r="J20" s="182" t="n"/>
      <c r="K20" s="182" t="n"/>
      <c r="L20" s="186" t="n"/>
      <c r="M20" s="182" t="n"/>
      <c r="N20" s="186" t="n"/>
      <c r="O20" s="182" t="n"/>
      <c r="P20" s="182" t="n"/>
      <c r="Q20" s="182" t="n"/>
      <c r="R20" s="182" t="n"/>
      <c r="S20" s="182" t="n"/>
      <c r="T20" s="183" t="n"/>
    </row>
    <row r="21" ht="13.5" customHeight="1">
      <c r="A21" s="184" t="n"/>
      <c r="B21" s="178" t="inlineStr">
        <is>
          <t>error source</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Query builder / repository throws</t>
        </is>
      </c>
      <c r="E22" s="189" t="n"/>
      <c r="F22" s="186" t="n"/>
      <c r="G22" s="182" t="n"/>
      <c r="H22" s="186" t="inlineStr">
        <is>
          <t>O</t>
        </is>
      </c>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contract summary list</t>
        </is>
      </c>
      <c r="E38" s="200" t="n"/>
      <c r="F38" s="186" t="inlineStr">
        <is>
          <t>O</t>
        </is>
      </c>
      <c r="G38" s="182" t="n"/>
      <c r="H38" s="182" t="n"/>
      <c r="I38" s="186" t="inlineStr">
        <is>
          <t>O</t>
        </is>
      </c>
      <c r="J38" s="186" t="inlineStr">
        <is>
          <t>O</t>
        </is>
      </c>
      <c r="K38" s="182" t="n"/>
      <c r="L38" s="182" t="n"/>
      <c r="M38" s="186" t="n"/>
      <c r="N38" s="182" t="n"/>
      <c r="O38" s="186" t="n"/>
      <c r="P38" s="182" t="n"/>
      <c r="Q38" s="182" t="n"/>
      <c r="R38" s="182" t="n"/>
      <c r="S38" s="182" t="n"/>
      <c r="T38" s="183" t="n"/>
    </row>
    <row r="39" ht="13.5" customHeight="1">
      <c r="A39" s="197" t="n"/>
      <c r="B39" s="201" t="n"/>
      <c r="C39" s="202" t="n"/>
      <c r="D39" s="203" t="inlineStr">
        <is>
          <t>Return empty array</t>
        </is>
      </c>
      <c r="E39" s="200" t="n"/>
      <c r="F39" s="182" t="n"/>
      <c r="G39" s="186" t="inlineStr">
        <is>
          <t>O</t>
        </is>
      </c>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repository failure</t>
        </is>
      </c>
      <c r="E41" s="200" t="n"/>
      <c r="F41" s="182" t="n"/>
      <c r="G41" s="182" t="n"/>
      <c r="H41" s="186" t="inlineStr">
        <is>
          <t>O</t>
        </is>
      </c>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Filter out ARCHIVED status contracts</t>
        </is>
      </c>
      <c r="E43" s="200" t="n"/>
      <c r="F43" s="186" t="n"/>
      <c r="G43" s="182" t="n"/>
      <c r="H43" s="182" t="n"/>
      <c r="I43" s="186" t="inlineStr">
        <is>
          <t>O</t>
        </is>
      </c>
      <c r="J43" s="182" t="n"/>
      <c r="K43" s="182" t="n"/>
      <c r="L43" s="182" t="n"/>
      <c r="M43" s="182" t="n"/>
      <c r="N43" s="182" t="n"/>
      <c r="O43" s="182" t="n"/>
      <c r="P43" s="182" t="n"/>
      <c r="Q43" s="182" t="n"/>
      <c r="R43" s="182" t="n"/>
      <c r="S43" s="182" t="n"/>
      <c r="T43" s="183" t="n"/>
    </row>
    <row r="44" ht="13.5" customHeight="1">
      <c r="A44" s="197" t="n"/>
      <c r="B44" s="208" t="n"/>
      <c r="C44" s="202" t="n"/>
      <c r="D44" s="203" t="inlineStr">
        <is>
          <t>Map summary fields for list response</t>
        </is>
      </c>
      <c r="E44" s="200" t="n"/>
      <c r="F44" s="186" t="inlineStr">
        <is>
          <t>O</t>
        </is>
      </c>
      <c r="G44" s="186" t="n"/>
      <c r="H44" s="182" t="n"/>
      <c r="I44" s="186" t="inlineStr">
        <is>
          <t>O</t>
        </is>
      </c>
      <c r="J44" s="186" t="inlineStr">
        <is>
          <t>O</t>
        </is>
      </c>
      <c r="K44" s="182" t="n"/>
      <c r="L44" s="182" t="n"/>
      <c r="M44" s="182" t="n"/>
      <c r="N44" s="182" t="n"/>
      <c r="O44" s="182" t="n"/>
      <c r="P44" s="182" t="n"/>
      <c r="Q44" s="182" t="n"/>
      <c r="R44" s="182" t="n"/>
      <c r="S44" s="182" t="n"/>
      <c r="T44" s="183" t="n"/>
    </row>
    <row r="45" ht="13.5" customHeight="1">
      <c r="A45" s="197" t="n"/>
      <c r="B45" s="208" t="n"/>
      <c r="C45" s="202" t="n"/>
      <c r="D45" s="203" t="inlineStr">
        <is>
          <t>Query by current user id across participant roles</t>
        </is>
      </c>
      <c r="E45" s="200" t="n"/>
      <c r="F45" s="186" t="inlineStr">
        <is>
          <t>O</t>
        </is>
      </c>
      <c r="G45" s="186" t="inlineStr">
        <is>
          <t>O</t>
        </is>
      </c>
      <c r="H45" s="186" t="inlineStr">
        <is>
          <t>O</t>
        </is>
      </c>
      <c r="I45" s="186" t="inlineStr">
        <is>
          <t>O</t>
        </is>
      </c>
      <c r="J45" s="186" t="inlineStr">
        <is>
          <t>O</t>
        </is>
      </c>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inlineStr">
        <is>
          <t>N</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List'!E12</f>
        <v/>
      </c>
      <c r="D2" s="131" t="n"/>
      <c r="E2" s="133" t="n"/>
      <c r="F2" s="134" t="inlineStr">
        <is>
          <t>Function Name</t>
        </is>
      </c>
      <c r="G2" s="135" t="n"/>
      <c r="H2" s="135" t="n"/>
      <c r="I2" s="135" t="n"/>
      <c r="J2" s="135" t="n"/>
      <c r="K2" s="135" t="n"/>
      <c r="L2" s="136">
        <f>'Function List'!D12</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findOneForUser enforces contract visibility, hydrates the read model, self-heals stale content hashes, and propagates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inlineStr">
        <is>
          <t>O</t>
        </is>
      </c>
      <c r="K12" s="186" t="n"/>
      <c r="L12" s="186" t="n"/>
      <c r="M12" s="186" t="n"/>
      <c r="N12" s="186" t="n"/>
      <c r="O12" s="186" t="n"/>
      <c r="P12" s="186" t="n"/>
      <c r="Q12" s="186" t="n"/>
      <c r="R12" s="186" t="n"/>
      <c r="S12" s="186" t="n"/>
      <c r="T12" s="187" t="n"/>
    </row>
    <row r="13" ht="13.5" customHeight="1">
      <c r="A13" s="184" t="n"/>
      <c r="B13" s="178" t="inlineStr">
        <is>
          <t>contract id</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Loadable contract id is provided</t>
        </is>
      </c>
      <c r="E14" s="189" t="n"/>
      <c r="F14" s="186" t="inlineStr">
        <is>
          <t>O</t>
        </is>
      </c>
      <c r="G14" s="186" t="inlineStr">
        <is>
          <t>O</t>
        </is>
      </c>
      <c r="H14" s="186" t="inlineStr">
        <is>
          <t>O</t>
        </is>
      </c>
      <c r="I14" s="186" t="inlineStr">
        <is>
          <t>O</t>
        </is>
      </c>
      <c r="J14" s="182" t="n"/>
      <c r="K14" s="182" t="n"/>
      <c r="L14" s="182" t="n"/>
      <c r="M14" s="182" t="n"/>
      <c r="N14" s="182" t="n"/>
      <c r="O14" s="186" t="n"/>
      <c r="P14" s="186" t="n"/>
      <c r="Q14" s="182" t="n"/>
      <c r="R14" s="182" t="n"/>
      <c r="S14" s="182" t="n"/>
      <c r="T14" s="183" t="n"/>
    </row>
    <row r="15" ht="13.5" customHeight="1">
      <c r="A15" s="184" t="n"/>
      <c r="B15" s="178" t="inlineStr">
        <is>
          <t>viewer role</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User is a contract party</t>
        </is>
      </c>
      <c r="E16" s="189" t="n"/>
      <c r="F16" s="186" t="inlineStr">
        <is>
          <t>O</t>
        </is>
      </c>
      <c r="G16" s="182" t="n"/>
      <c r="H16" s="182" t="n"/>
      <c r="I16" s="186" t="inlineStr">
        <is>
          <t>O</t>
        </is>
      </c>
      <c r="J16" s="186" t="n"/>
      <c r="K16" s="182" t="n"/>
      <c r="L16" s="182" t="n"/>
      <c r="M16" s="182" t="n"/>
      <c r="N16" s="182" t="n"/>
      <c r="O16" s="182" t="n"/>
      <c r="P16" s="182" t="n"/>
      <c r="Q16" s="182" t="n"/>
      <c r="R16" s="182" t="n"/>
      <c r="S16" s="182" t="n"/>
      <c r="T16" s="183" t="n"/>
    </row>
    <row r="17" ht="13.5" customHeight="1">
      <c r="A17" s="184" t="n"/>
      <c r="B17" s="178" t="n"/>
      <c r="C17" s="179" t="n"/>
      <c r="D17" s="188" t="inlineStr">
        <is>
          <t>User is accepted supervising staff</t>
        </is>
      </c>
      <c r="E17" s="189" t="n"/>
      <c r="F17" s="182" t="n"/>
      <c r="G17" s="186" t="inlineStr">
        <is>
          <t>O</t>
        </is>
      </c>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User is outside the contract parties</t>
        </is>
      </c>
      <c r="E18" s="189" t="n"/>
      <c r="F18" s="182" t="n"/>
      <c r="G18" s="182" t="n"/>
      <c r="H18" s="186" t="inlineStr">
        <is>
          <t>O</t>
        </is>
      </c>
      <c r="I18" s="182" t="n"/>
      <c r="J18" s="182" t="n"/>
      <c r="K18" s="186" t="n"/>
      <c r="L18" s="186" t="n"/>
      <c r="M18" s="182" t="n"/>
      <c r="N18" s="182" t="n"/>
      <c r="O18" s="182" t="n"/>
      <c r="P18" s="182" t="n"/>
      <c r="Q18" s="182" t="n"/>
      <c r="R18" s="182" t="n"/>
      <c r="S18" s="182" t="n"/>
      <c r="T18" s="183" t="n"/>
    </row>
    <row r="19" ht="13.5" customHeight="1">
      <c r="A19" s="184" t="n"/>
      <c r="B19" s="178" t="inlineStr">
        <is>
          <t>content hash</t>
        </is>
      </c>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t="13.5" customHeight="1">
      <c r="A20" s="184" t="n"/>
      <c r="B20" s="178" t="n"/>
      <c r="C20" s="179" t="n"/>
      <c r="D20" s="188" t="inlineStr">
        <is>
          <t>Stored contentHash is stale</t>
        </is>
      </c>
      <c r="E20" s="189" t="n"/>
      <c r="F20" s="182" t="n"/>
      <c r="G20" s="182" t="n"/>
      <c r="H20" s="182" t="n"/>
      <c r="I20" s="186" t="inlineStr">
        <is>
          <t>O</t>
        </is>
      </c>
      <c r="J20" s="182" t="n"/>
      <c r="K20" s="182" t="n"/>
      <c r="L20" s="186" t="n"/>
      <c r="M20" s="182" t="n"/>
      <c r="N20" s="186" t="n"/>
      <c r="O20" s="182" t="n"/>
      <c r="P20" s="182" t="n"/>
      <c r="Q20" s="182" t="n"/>
      <c r="R20" s="182" t="n"/>
      <c r="S20" s="182" t="n"/>
      <c r="T20" s="183" t="n"/>
    </row>
    <row r="21" ht="13.5" customHeight="1">
      <c r="A21" s="184" t="n"/>
      <c r="B21" s="178" t="inlineStr">
        <is>
          <t>error source</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Read model / repository throws lookup error</t>
        </is>
      </c>
      <c r="E22" s="189" t="n"/>
      <c r="F22" s="186" t="n"/>
      <c r="G22" s="182" t="n"/>
      <c r="H22" s="182" t="n"/>
      <c r="I22" s="182" t="n"/>
      <c r="J22" s="186" t="inlineStr">
        <is>
          <t>O</t>
        </is>
      </c>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hydrated contract detail</t>
        </is>
      </c>
      <c r="E38" s="200" t="n"/>
      <c r="F38" s="186" t="inlineStr">
        <is>
          <t>O</t>
        </is>
      </c>
      <c r="G38" s="186" t="inlineStr">
        <is>
          <t>O</t>
        </is>
      </c>
      <c r="H38" s="182" t="n"/>
      <c r="I38" s="186" t="inlineStr">
        <is>
          <t>O</t>
        </is>
      </c>
      <c r="J38" s="182" t="n"/>
      <c r="K38" s="182" t="n"/>
      <c r="L38" s="182" t="n"/>
      <c r="M38" s="186" t="n"/>
      <c r="N38" s="182" t="n"/>
      <c r="O38" s="186" t="n"/>
      <c r="P38" s="182" t="n"/>
      <c r="Q38" s="182" t="n"/>
      <c r="R38" s="182" t="n"/>
      <c r="S38" s="182" t="n"/>
      <c r="T38" s="183" t="n"/>
    </row>
    <row r="39" ht="13.5" customHeight="1">
      <c r="A39" s="197" t="n"/>
      <c r="B39" s="201" t="n"/>
      <c r="C39" s="202" t="n"/>
      <c r="D39" s="203" t="inlineStr">
        <is>
          <t>Include requiredSignerCount and signedCount</t>
        </is>
      </c>
      <c r="E39" s="200" t="n"/>
      <c r="F39" s="186" t="inlineStr">
        <is>
          <t>O</t>
        </is>
      </c>
      <c r="G39" s="186" t="inlineStr">
        <is>
          <t>O</t>
        </is>
      </c>
      <c r="H39" s="186" t="n"/>
      <c r="I39" s="186" t="inlineStr">
        <is>
          <t>O</t>
        </is>
      </c>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Reject unauthorized viewer</t>
        </is>
      </c>
      <c r="E41" s="200" t="n"/>
      <c r="F41" s="182" t="n"/>
      <c r="G41" s="182" t="n"/>
      <c r="H41" s="186" t="inlineStr">
        <is>
          <t>O</t>
        </is>
      </c>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Self-heal stale contentHash before response</t>
        </is>
      </c>
      <c r="E43" s="200" t="n"/>
      <c r="F43" s="186" t="n"/>
      <c r="G43" s="182" t="n"/>
      <c r="H43" s="182" t="n"/>
      <c r="I43" s="186" t="inlineStr">
        <is>
          <t>O</t>
        </is>
      </c>
      <c r="J43" s="182" t="n"/>
      <c r="K43" s="182" t="n"/>
      <c r="L43" s="182" t="n"/>
      <c r="M43" s="182" t="n"/>
      <c r="N43" s="182" t="n"/>
      <c r="O43" s="182" t="n"/>
      <c r="P43" s="182" t="n"/>
      <c r="Q43" s="182" t="n"/>
      <c r="R43" s="182" t="n"/>
      <c r="S43" s="182" t="n"/>
      <c r="T43" s="183" t="n"/>
    </row>
    <row r="44" ht="13.5" customHeight="1">
      <c r="A44" s="197" t="n"/>
      <c r="B44" s="208" t="n"/>
      <c r="C44" s="202" t="n"/>
      <c r="D44" s="203" t="inlineStr">
        <is>
          <t>Assert viewer permission before return</t>
        </is>
      </c>
      <c r="E44" s="200" t="n"/>
      <c r="F44" s="186" t="inlineStr">
        <is>
          <t>O</t>
        </is>
      </c>
      <c r="G44" s="186" t="inlineStr">
        <is>
          <t>O</t>
        </is>
      </c>
      <c r="H44" s="186" t="inlineStr">
        <is>
          <t>O</t>
        </is>
      </c>
      <c r="I44" s="186" t="inlineStr">
        <is>
          <t>O</t>
        </is>
      </c>
      <c r="J44" s="182" t="n"/>
      <c r="K44" s="182" t="n"/>
      <c r="L44" s="182" t="n"/>
      <c r="M44" s="182" t="n"/>
      <c r="N44" s="182" t="n"/>
      <c r="O44" s="182" t="n"/>
      <c r="P44" s="182" t="n"/>
      <c r="Q44" s="182" t="n"/>
      <c r="R44" s="182" t="n"/>
      <c r="S44" s="182" t="n"/>
      <c r="T44" s="183" t="n"/>
    </row>
    <row r="45" ht="13.5" customHeight="1">
      <c r="A45" s="197" t="n"/>
      <c r="B45" s="208" t="n"/>
      <c r="C45" s="202" t="n"/>
      <c r="D45" s="203" t="inlineStr">
        <is>
          <t>Propagate lookup failure</t>
        </is>
      </c>
      <c r="E45" s="200" t="n"/>
      <c r="F45" s="182" t="n"/>
      <c r="G45" s="182" t="n"/>
      <c r="H45" s="186" t="n"/>
      <c r="I45" s="182" t="n"/>
      <c r="J45" s="186" t="inlineStr">
        <is>
          <t>O</t>
        </is>
      </c>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inlineStr">
        <is>
          <t>N</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List'!E13</f>
        <v/>
      </c>
      <c r="D2" s="131" t="n"/>
      <c r="E2" s="133" t="n"/>
      <c r="F2" s="134" t="inlineStr">
        <is>
          <t>Function Name</t>
        </is>
      </c>
      <c r="G2" s="135" t="n"/>
      <c r="H2" s="135" t="n"/>
      <c r="I2" s="135" t="n"/>
      <c r="J2" s="135" t="n"/>
      <c r="K2" s="135" t="n"/>
      <c r="L2" s="136">
        <f>'Function List'!D13</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body-based initialization forwards dto values and creates a SENT contract with frozen snapshot, contentHash, and spec lock when the source spec is eligible.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n"/>
      <c r="K12" s="186" t="n"/>
      <c r="L12" s="186" t="n"/>
      <c r="M12" s="186" t="n"/>
      <c r="N12" s="186" t="n"/>
      <c r="O12" s="186" t="n"/>
      <c r="P12" s="186" t="n"/>
      <c r="Q12" s="186" t="n"/>
      <c r="R12" s="186" t="n"/>
      <c r="S12" s="186" t="n"/>
      <c r="T12" s="187" t="n"/>
    </row>
    <row r="13" ht="13.5" customHeight="1">
      <c r="A13" s="184" t="n"/>
      <c r="B13" s="178" t="inlineStr">
        <is>
          <t>user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Current user role is BROKER</t>
        </is>
      </c>
      <c r="E14" s="189" t="n"/>
      <c r="F14" s="186" t="inlineStr">
        <is>
          <t>O</t>
        </is>
      </c>
      <c r="G14" s="186" t="inlineStr">
        <is>
          <t>O</t>
        </is>
      </c>
      <c r="H14" s="186" t="inlineStr">
        <is>
          <t>O</t>
        </is>
      </c>
      <c r="I14" s="186" t="inlineStr">
        <is>
          <t>O</t>
        </is>
      </c>
      <c r="J14" s="182" t="n"/>
      <c r="K14" s="182" t="n"/>
      <c r="L14" s="182" t="n"/>
      <c r="M14" s="182" t="n"/>
      <c r="N14" s="182" t="n"/>
      <c r="O14" s="186" t="n"/>
      <c r="P14" s="186" t="n"/>
      <c r="Q14" s="182" t="n"/>
      <c r="R14" s="182" t="n"/>
      <c r="S14" s="182" t="n"/>
      <c r="T14" s="183" t="n"/>
    </row>
    <row r="15" ht="13.5" customHeight="1">
      <c r="A15" s="184" t="n"/>
      <c r="B15" s="178" t="inlineStr">
        <is>
          <t>dto.specId</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specId is present in request body</t>
        </is>
      </c>
      <c r="E16" s="189" t="n"/>
      <c r="F16" s="186" t="inlineStr">
        <is>
          <t>O</t>
        </is>
      </c>
      <c r="G16" s="186" t="inlineStr">
        <is>
          <t>O</t>
        </is>
      </c>
      <c r="H16" s="186" t="inlineStr">
        <is>
          <t>O</t>
        </is>
      </c>
      <c r="I16" s="186" t="inlineStr">
        <is>
          <t>O</t>
        </is>
      </c>
      <c r="J16" s="186" t="n"/>
      <c r="K16" s="182" t="n"/>
      <c r="L16" s="182" t="n"/>
      <c r="M16" s="182" t="n"/>
      <c r="N16" s="182" t="n"/>
      <c r="O16" s="182" t="n"/>
      <c r="P16" s="182" t="n"/>
      <c r="Q16" s="182" t="n"/>
      <c r="R16" s="182" t="n"/>
      <c r="S16" s="182" t="n"/>
      <c r="T16" s="183" t="n"/>
    </row>
    <row r="17" ht="13.5" customHeight="1">
      <c r="A17" s="184" t="n"/>
      <c r="B17" s="178" t="inlineStr">
        <is>
          <t>dto.freelancerId</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freelancerId is provided explicitly</t>
        </is>
      </c>
      <c r="E18" s="189" t="n"/>
      <c r="F18" s="186" t="inlineStr">
        <is>
          <t>O</t>
        </is>
      </c>
      <c r="G18" s="182" t="n"/>
      <c r="H18" s="182" t="n"/>
      <c r="I18" s="182" t="n"/>
      <c r="J18" s="182" t="n"/>
      <c r="K18" s="186" t="n"/>
      <c r="L18" s="186" t="n"/>
      <c r="M18" s="182" t="n"/>
      <c r="N18" s="182" t="n"/>
      <c r="O18" s="182" t="n"/>
      <c r="P18" s="182" t="n"/>
      <c r="Q18" s="182" t="n"/>
      <c r="R18" s="182" t="n"/>
      <c r="S18" s="182" t="n"/>
      <c r="T18" s="183" t="n"/>
    </row>
    <row r="19" ht="13.5" customHeight="1">
      <c r="A19" s="184" t="n"/>
      <c r="B19" s="178" t="n"/>
      <c r="C19" s="179" t="n"/>
      <c r="D19" s="188" t="inlineStr">
        <is>
          <t>freelancerId is omitted</t>
        </is>
      </c>
      <c r="E19" s="189" t="n"/>
      <c r="F19" s="182" t="n"/>
      <c r="G19" s="186" t="inlineStr">
        <is>
          <t>O</t>
        </is>
      </c>
      <c r="H19" s="186" t="inlineStr">
        <is>
          <t>O</t>
        </is>
      </c>
      <c r="I19" s="186" t="inlineStr">
        <is>
          <t>O</t>
        </is>
      </c>
      <c r="J19" s="182" t="n"/>
      <c r="K19" s="186" t="n"/>
      <c r="L19" s="182" t="n"/>
      <c r="M19" s="186" t="n"/>
      <c r="N19" s="182" t="n"/>
      <c r="O19" s="182" t="n"/>
      <c r="P19" s="182" t="n"/>
      <c r="Q19" s="182" t="n"/>
      <c r="R19" s="182" t="n"/>
      <c r="S19" s="182" t="n"/>
      <c r="T19" s="183" t="n"/>
    </row>
    <row r="20" ht="13.5" customHeight="1">
      <c r="A20" s="184" t="n"/>
      <c r="B20" s="178" t="inlineStr">
        <is>
          <t>spec state</t>
        </is>
      </c>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t="13.5" customHeight="1">
      <c r="A21" s="184" t="n"/>
      <c r="B21" s="178" t="n"/>
      <c r="C21" s="179" t="n"/>
      <c r="D21" s="188" t="inlineStr">
        <is>
          <t>Spec is unlocked</t>
        </is>
      </c>
      <c r="E21" s="189" t="n"/>
      <c r="F21" s="182" t="n"/>
      <c r="G21" s="182" t="n"/>
      <c r="H21" s="186" t="inlineStr">
        <is>
          <t>O</t>
        </is>
      </c>
      <c r="I21" s="182" t="n"/>
      <c r="J21" s="182" t="n"/>
      <c r="K21" s="182" t="n"/>
      <c r="L21" s="182" t="n"/>
      <c r="M21" s="182" t="n"/>
      <c r="N21" s="182" t="n"/>
      <c r="O21" s="182" t="n"/>
      <c r="P21" s="182" t="n"/>
      <c r="Q21" s="182" t="n"/>
      <c r="R21" s="182" t="n"/>
      <c r="S21" s="182" t="n"/>
      <c r="T21" s="183" t="n"/>
    </row>
    <row r="22" ht="13.5" customHeight="1">
      <c r="A22" s="184" t="n"/>
      <c r="B22" s="178" t="inlineStr">
        <is>
          <t>spec eligibility</t>
        </is>
      </c>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t="13.5" customHeight="1">
      <c r="A23" s="184" t="n"/>
      <c r="B23" s="178" t="n"/>
      <c r="C23" s="179" t="n"/>
      <c r="D23" s="188" t="inlineStr">
        <is>
          <t>Spec is eligible for contract init</t>
        </is>
      </c>
      <c r="E23" s="189" t="n"/>
      <c r="F23" s="182" t="n"/>
      <c r="G23" s="186" t="n"/>
      <c r="H23" s="186" t="inlineStr">
        <is>
          <t>O</t>
        </is>
      </c>
      <c r="I23" s="186" t="n"/>
      <c r="J23" s="182" t="n"/>
      <c r="K23" s="182" t="n"/>
      <c r="L23" s="182" t="n"/>
      <c r="M23" s="182" t="n"/>
      <c r="N23" s="182" t="n"/>
      <c r="O23" s="182" t="n"/>
      <c r="P23" s="182" t="n"/>
      <c r="Q23" s="182" t="n"/>
      <c r="R23" s="182" t="n"/>
      <c r="S23" s="182" t="n"/>
      <c r="T23" s="183" t="n"/>
    </row>
    <row r="24" ht="13.5" customHeight="1">
      <c r="A24" s="184" t="n"/>
      <c r="B24" s="178" t="inlineStr">
        <is>
          <t>freelancer</t>
        </is>
      </c>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t="13.5" customHeight="1">
      <c r="A25" s="184" t="n"/>
      <c r="B25" s="178" t="n"/>
      <c r="C25" s="179" t="n"/>
      <c r="D25" s="188" t="inlineStr">
        <is>
          <t>Accepted freelancer is resolved for the request</t>
        </is>
      </c>
      <c r="E25" s="189" t="n"/>
      <c r="F25" s="182" t="n"/>
      <c r="G25" s="182" t="n"/>
      <c r="H25" s="186" t="inlineStr">
        <is>
          <t>O</t>
        </is>
      </c>
      <c r="I25" s="182" t="n"/>
      <c r="J25" s="186" t="n"/>
      <c r="K25" s="182" t="n"/>
      <c r="L25" s="182" t="n"/>
      <c r="M25" s="182" t="n"/>
      <c r="N25" s="182" t="n"/>
      <c r="O25" s="182" t="n"/>
      <c r="P25" s="182" t="n"/>
      <c r="Q25" s="182" t="n"/>
      <c r="R25" s="182" t="n"/>
      <c r="S25" s="182" t="n"/>
      <c r="T25" s="183" t="n"/>
    </row>
    <row r="26" ht="13.5" customHeight="1">
      <c r="A26" s="184" t="n"/>
      <c r="B26" s="178" t="inlineStr">
        <is>
          <t>snapshot</t>
        </is>
      </c>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t="13.5" customHeight="1">
      <c r="A27" s="184" t="n"/>
      <c r="B27" s="178" t="n"/>
      <c r="C27" s="179" t="n"/>
      <c r="D27" s="188" t="inlineStr">
        <is>
          <t>Milestones are frozen into snapshot</t>
        </is>
      </c>
      <c r="E27" s="189" t="n"/>
      <c r="F27" s="182" t="n"/>
      <c r="G27" s="182" t="n"/>
      <c r="H27" s="186" t="inlineStr">
        <is>
          <t>O</t>
        </is>
      </c>
      <c r="I27" s="182" t="n"/>
      <c r="J27" s="182" t="n"/>
      <c r="K27" s="182" t="n"/>
      <c r="L27" s="186" t="n"/>
      <c r="M27" s="182" t="n"/>
      <c r="N27" s="182" t="n"/>
      <c r="O27" s="182" t="n"/>
      <c r="P27" s="182" t="n"/>
      <c r="Q27" s="182" t="n"/>
      <c r="R27" s="182" t="n"/>
      <c r="S27" s="182" t="n"/>
      <c r="T27" s="183" t="n"/>
    </row>
    <row r="28" ht="13.5" customHeight="1">
      <c r="A28" s="184" t="n"/>
      <c r="B28" s="178" t="inlineStr">
        <is>
          <t>contract terms</t>
        </is>
      </c>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t="13.5" customHeight="1">
      <c r="A29" s="184" t="n"/>
      <c r="B29" s="178" t="n"/>
      <c r="C29" s="179" t="n"/>
      <c r="D29" s="188" t="inlineStr">
        <is>
          <t>Terms are derived from frozen snapshot</t>
        </is>
      </c>
      <c r="E29" s="189" t="n"/>
      <c r="F29" s="182" t="n"/>
      <c r="G29" s="182" t="n"/>
      <c r="H29" s="186" t="inlineStr">
        <is>
          <t>O</t>
        </is>
      </c>
      <c r="I29" s="182" t="n"/>
      <c r="J29" s="182" t="n"/>
      <c r="K29" s="182" t="n"/>
      <c r="L29" s="186" t="n"/>
      <c r="M29" s="182" t="n"/>
      <c r="N29" s="182" t="n"/>
      <c r="O29" s="182" t="n"/>
      <c r="P29" s="186" t="n"/>
      <c r="Q29" s="182" t="n"/>
      <c r="R29" s="182" t="n"/>
      <c r="S29" s="182" t="n"/>
      <c r="T29" s="183" t="n"/>
    </row>
    <row r="30" ht="13.5" customHeight="1">
      <c r="A30" s="184" t="n"/>
      <c r="B30" s="178" t="inlineStr">
        <is>
          <t>Exception source</t>
        </is>
      </c>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t="13.5" customHeight="1">
      <c r="A31" s="184" t="n"/>
      <c r="B31" s="178" t="n"/>
      <c r="C31" s="179" t="n"/>
      <c r="D31" s="188" t="inlineStr">
        <is>
          <t>Initialization fails in service</t>
        </is>
      </c>
      <c r="E31" s="189" t="n"/>
      <c r="F31" s="186" t="n"/>
      <c r="G31" s="182" t="n"/>
      <c r="H31" s="182" t="n"/>
      <c r="I31" s="186" t="inlineStr">
        <is>
          <t>O</t>
        </is>
      </c>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Initialize with specId and freelancerId</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Initialize with specId only</t>
        </is>
      </c>
      <c r="E39" s="200" t="n"/>
      <c r="F39" s="182" t="n"/>
      <c r="G39" s="186" t="inlineStr">
        <is>
          <t>O</t>
        </is>
      </c>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initialization error</t>
        </is>
      </c>
      <c r="E41" s="200" t="n"/>
      <c r="F41" s="182" t="n"/>
      <c r="G41" s="182" t="n"/>
      <c r="H41" s="182" t="n"/>
      <c r="I41" s="186" t="inlineStr">
        <is>
          <t>O</t>
        </is>
      </c>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Create SENT contract with frozen snapshot and contentHash</t>
        </is>
      </c>
      <c r="E43" s="200" t="n"/>
      <c r="F43" s="186" t="n"/>
      <c r="G43" s="182" t="n"/>
      <c r="H43" s="186" t="inlineStr">
        <is>
          <t>O</t>
        </is>
      </c>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Lock spec to saved contract id</t>
        </is>
      </c>
      <c r="E44" s="200" t="n"/>
      <c r="F44" s="182" t="n"/>
      <c r="G44" s="186" t="n"/>
      <c r="H44" s="186" t="inlineStr">
        <is>
          <t>O</t>
        </is>
      </c>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Emit initialized contract update and participant notice</t>
        </is>
      </c>
      <c r="E45" s="200" t="n"/>
      <c r="F45" s="182" t="n"/>
      <c r="G45" s="182" t="n"/>
      <c r="H45" s="186" t="inlineStr">
        <is>
          <t>O</t>
        </is>
      </c>
      <c r="I45" s="182" t="n"/>
      <c r="J45" s="182" t="n"/>
      <c r="K45" s="182" t="n"/>
      <c r="L45" s="182" t="n"/>
      <c r="M45" s="182" t="n"/>
      <c r="N45" s="182" t="n"/>
      <c r="O45" s="182" t="n"/>
      <c r="P45" s="182" t="n"/>
      <c r="Q45" s="182" t="n"/>
      <c r="R45" s="182" t="n"/>
      <c r="S45" s="182" t="n"/>
      <c r="T45" s="183" t="n"/>
    </row>
    <row r="46" ht="13.5" customHeight="1">
      <c r="A46" s="197" t="n"/>
      <c r="B46" s="208" t="n"/>
      <c r="C46" s="202" t="n"/>
      <c r="D46" s="203" t="inlineStr">
        <is>
          <t>Service receives dto.specId + optional freelancerId</t>
        </is>
      </c>
      <c r="E46" s="200" t="n"/>
      <c r="F46" s="186" t="inlineStr">
        <is>
          <t>O</t>
        </is>
      </c>
      <c r="G46" s="186" t="inlineStr">
        <is>
          <t>O</t>
        </is>
      </c>
      <c r="H46" s="182" t="n"/>
      <c r="I46" s="186" t="inlineStr">
        <is>
          <t>O</t>
        </is>
      </c>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List'!E14</f>
        <v/>
      </c>
      <c r="D2" s="131" t="n"/>
      <c r="E2" s="133" t="n"/>
      <c r="F2" s="134" t="inlineStr">
        <is>
          <t>Function Name</t>
        </is>
      </c>
      <c r="G2" s="135" t="n"/>
      <c r="H2" s="135" t="n"/>
      <c r="I2" s="135" t="n"/>
      <c r="J2" s="135" t="n"/>
      <c r="K2" s="135" t="n"/>
      <c r="L2" s="136">
        <f>'Function List'!D14</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103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path-based initialization reuses initializeProjectAndContract rules for spec existence, lock/duplicate state, broker access, freelancer readiness, and controller error propagation.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inlineStr">
        <is>
          <t>O</t>
        </is>
      </c>
      <c r="K12" s="186" t="inlineStr">
        <is>
          <t>O</t>
        </is>
      </c>
      <c r="L12" s="186" t="n"/>
      <c r="M12" s="186" t="n"/>
      <c r="N12" s="186" t="n"/>
      <c r="O12" s="186" t="n"/>
      <c r="P12" s="186" t="n"/>
      <c r="Q12" s="186" t="n"/>
      <c r="R12" s="186" t="n"/>
      <c r="S12" s="186" t="n"/>
      <c r="T12" s="187" t="n"/>
    </row>
    <row r="13" ht="13.5" customHeight="1">
      <c r="A13" s="184" t="n"/>
      <c r="B13" s="178" t="inlineStr">
        <is>
          <t>specId</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specId path param is supplied</t>
        </is>
      </c>
      <c r="E14" s="189" t="n"/>
      <c r="F14" s="186" t="inlineStr">
        <is>
          <t>O</t>
        </is>
      </c>
      <c r="G14" s="186" t="inlineStr">
        <is>
          <t>O</t>
        </is>
      </c>
      <c r="H14" s="186" t="inlineStr">
        <is>
          <t>O</t>
        </is>
      </c>
      <c r="I14" s="186" t="inlineStr">
        <is>
          <t>O</t>
        </is>
      </c>
      <c r="J14" s="186" t="inlineStr">
        <is>
          <t>O</t>
        </is>
      </c>
      <c r="K14" s="186" t="inlineStr">
        <is>
          <t>O</t>
        </is>
      </c>
      <c r="L14" s="182" t="n"/>
      <c r="M14" s="182" t="n"/>
      <c r="N14" s="182" t="n"/>
      <c r="O14" s="186" t="n"/>
      <c r="P14" s="186" t="n"/>
      <c r="Q14" s="182" t="n"/>
      <c r="R14" s="182" t="n"/>
      <c r="S14" s="182" t="n"/>
      <c r="T14" s="183" t="n"/>
    </row>
    <row r="15" ht="13.5" customHeight="1">
      <c r="A15" s="184" t="n"/>
      <c r="B15" s="178" t="inlineStr">
        <is>
          <t>spec lookup</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Spec exists</t>
        </is>
      </c>
      <c r="E16" s="189" t="n"/>
      <c r="F16" s="186" t="inlineStr">
        <is>
          <t>O</t>
        </is>
      </c>
      <c r="G16" s="182" t="n"/>
      <c r="H16" s="186" t="inlineStr">
        <is>
          <t>O</t>
        </is>
      </c>
      <c r="I16" s="186" t="inlineStr">
        <is>
          <t>O</t>
        </is>
      </c>
      <c r="J16" s="186" t="inlineStr">
        <is>
          <t>O</t>
        </is>
      </c>
      <c r="K16" s="182" t="n"/>
      <c r="L16" s="182" t="n"/>
      <c r="M16" s="182" t="n"/>
      <c r="N16" s="182" t="n"/>
      <c r="O16" s="182" t="n"/>
      <c r="P16" s="182" t="n"/>
      <c r="Q16" s="182" t="n"/>
      <c r="R16" s="182" t="n"/>
      <c r="S16" s="182" t="n"/>
      <c r="T16" s="183" t="n"/>
    </row>
    <row r="17" ht="13.5" customHeight="1">
      <c r="A17" s="184" t="n"/>
      <c r="B17" s="178" t="inlineStr">
        <is>
          <t>spec lock</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Spec is unlocked</t>
        </is>
      </c>
      <c r="E18" s="189" t="n"/>
      <c r="F18" s="186" t="inlineStr">
        <is>
          <t>O</t>
        </is>
      </c>
      <c r="G18" s="186" t="inlineStr">
        <is>
          <t>O</t>
        </is>
      </c>
      <c r="H18" s="182" t="n"/>
      <c r="I18" s="186" t="inlineStr">
        <is>
          <t>O</t>
        </is>
      </c>
      <c r="J18" s="186" t="inlineStr">
        <is>
          <t>O</t>
        </is>
      </c>
      <c r="K18" s="186" t="n"/>
      <c r="L18" s="186" t="n"/>
      <c r="M18" s="182" t="n"/>
      <c r="N18" s="182" t="n"/>
      <c r="O18" s="182" t="n"/>
      <c r="P18" s="182" t="n"/>
      <c r="Q18" s="182" t="n"/>
      <c r="R18" s="182" t="n"/>
      <c r="S18" s="182" t="n"/>
      <c r="T18" s="183" t="n"/>
    </row>
    <row r="19" ht="13.5" customHeight="1">
      <c r="A19" s="184" t="n"/>
      <c r="B19" s="178" t="inlineStr">
        <is>
          <t>active contract</t>
        </is>
      </c>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t="13.5" customHeight="1">
      <c r="A20" s="184" t="n"/>
      <c r="B20" s="178" t="n"/>
      <c r="C20" s="179" t="n"/>
      <c r="D20" s="188" t="inlineStr">
        <is>
          <t>No active contract exists for the spec</t>
        </is>
      </c>
      <c r="E20" s="189" t="n"/>
      <c r="F20" s="186" t="inlineStr">
        <is>
          <t>O</t>
        </is>
      </c>
      <c r="G20" s="186" t="inlineStr">
        <is>
          <t>O</t>
        </is>
      </c>
      <c r="H20" s="182" t="n"/>
      <c r="I20" s="186" t="inlineStr">
        <is>
          <t>O</t>
        </is>
      </c>
      <c r="J20" s="186" t="inlineStr">
        <is>
          <t>O</t>
        </is>
      </c>
      <c r="K20" s="182" t="n"/>
      <c r="L20" s="186" t="n"/>
      <c r="M20" s="182" t="n"/>
      <c r="N20" s="186" t="n"/>
      <c r="O20" s="182" t="n"/>
      <c r="P20" s="182" t="n"/>
      <c r="Q20" s="182" t="n"/>
      <c r="R20" s="182" t="n"/>
      <c r="S20" s="182" t="n"/>
      <c r="T20" s="183" t="n"/>
    </row>
    <row r="21" ht="13.5" customHeight="1">
      <c r="A21" s="184" t="n"/>
      <c r="B21" s="178" t="inlineStr">
        <is>
          <t>broker auth</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Caller is the request broker</t>
        </is>
      </c>
      <c r="E22" s="189" t="n"/>
      <c r="F22" s="186" t="inlineStr">
        <is>
          <t>O</t>
        </is>
      </c>
      <c r="G22" s="186" t="inlineStr">
        <is>
          <t>O</t>
        </is>
      </c>
      <c r="H22" s="186" t="inlineStr">
        <is>
          <t>O</t>
        </is>
      </c>
      <c r="I22" s="182" t="n"/>
      <c r="J22" s="186" t="inlineStr">
        <is>
          <t>O</t>
        </is>
      </c>
      <c r="K22" s="182" t="n"/>
      <c r="L22" s="182" t="n"/>
      <c r="M22" s="186" t="n"/>
      <c r="N22" s="186" t="n"/>
      <c r="O22" s="182" t="n"/>
      <c r="P22" s="182" t="n"/>
      <c r="Q22" s="182" t="n"/>
      <c r="R22" s="182" t="n"/>
      <c r="S22" s="182" t="n"/>
      <c r="T22" s="183" t="n"/>
    </row>
    <row r="23" ht="13.5" customHeight="1">
      <c r="A23" s="184" t="n"/>
      <c r="B23" s="178" t="inlineStr">
        <is>
          <t>freelancer resolution</t>
        </is>
      </c>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t="13.5" customHeight="1">
      <c r="A24" s="184" t="n"/>
      <c r="B24" s="178" t="n"/>
      <c r="C24" s="179" t="n"/>
      <c r="D24" s="188" t="inlineStr">
        <is>
          <t>Accepted freelancer exists for phased flow</t>
        </is>
      </c>
      <c r="E24" s="189" t="n"/>
      <c r="F24" s="186" t="inlineStr">
        <is>
          <t>O</t>
        </is>
      </c>
      <c r="G24" s="186" t="inlineStr">
        <is>
          <t>O</t>
        </is>
      </c>
      <c r="H24" s="186" t="inlineStr">
        <is>
          <t>O</t>
        </is>
      </c>
      <c r="I24" s="186" t="inlineStr">
        <is>
          <t>O</t>
        </is>
      </c>
      <c r="J24" s="182" t="n"/>
      <c r="K24" s="182" t="n"/>
      <c r="L24" s="182" t="n"/>
      <c r="M24" s="182" t="n"/>
      <c r="N24" s="182" t="n"/>
      <c r="O24" s="182" t="n"/>
      <c r="P24" s="182" t="n"/>
      <c r="Q24" s="182" t="n"/>
      <c r="R24" s="182" t="n"/>
      <c r="S24" s="182" t="n"/>
      <c r="T24" s="183" t="n"/>
    </row>
    <row r="25" ht="13.5" customHeight="1">
      <c r="A25" s="184" t="n"/>
      <c r="B25" s="178" t="inlineStr">
        <is>
          <t>error source</t>
        </is>
      </c>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t="13.5" customHeight="1">
      <c r="A26" s="184" t="n"/>
      <c r="B26" s="178" t="n"/>
      <c r="C26" s="179" t="n"/>
      <c r="D26" s="188" t="inlineStr">
        <is>
          <t>Initialization flow throws service error</t>
        </is>
      </c>
      <c r="E26" s="189" t="n"/>
      <c r="F26" s="182" t="n"/>
      <c r="G26" s="182" t="n"/>
      <c r="H26" s="182" t="n"/>
      <c r="I26" s="182" t="n"/>
      <c r="J26" s="182" t="n"/>
      <c r="K26" s="186" t="inlineStr">
        <is>
          <t>O</t>
        </is>
      </c>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initialized contract</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Use path specId when calling service</t>
        </is>
      </c>
      <c r="E39" s="200" t="n"/>
      <c r="F39" s="186" t="inlineStr">
        <is>
          <t>O</t>
        </is>
      </c>
      <c r="G39" s="186" t="inlineStr">
        <is>
          <t>O</t>
        </is>
      </c>
      <c r="H39" s="186" t="inlineStr">
        <is>
          <t>O</t>
        </is>
      </c>
      <c r="I39" s="186" t="inlineStr">
        <is>
          <t>O</t>
        </is>
      </c>
      <c r="J39" s="186" t="inlineStr">
        <is>
          <t>O</t>
        </is>
      </c>
      <c r="K39" s="186" t="inlineStr">
        <is>
          <t>O</t>
        </is>
      </c>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Reject invalid precondition and stop initialization</t>
        </is>
      </c>
      <c r="E41" s="200" t="n"/>
      <c r="F41" s="182" t="n"/>
      <c r="G41" s="186" t="inlineStr">
        <is>
          <t>O</t>
        </is>
      </c>
      <c r="H41" s="186" t="inlineStr">
        <is>
          <t>O</t>
        </is>
      </c>
      <c r="I41" s="186" t="inlineStr">
        <is>
          <t>O</t>
        </is>
      </c>
      <c r="J41" s="186" t="inlineStr">
        <is>
          <t>O</t>
        </is>
      </c>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Create SENT contract and shell project on success</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Propagate initialization failure</t>
        </is>
      </c>
      <c r="E44" s="200" t="n"/>
      <c r="F44" s="182" t="n"/>
      <c r="G44" s="186" t="n"/>
      <c r="H44" s="182" t="n"/>
      <c r="I44" s="182" t="n"/>
      <c r="J44" s="182" t="n"/>
      <c r="K44" s="186" t="inlineStr">
        <is>
          <t>O</t>
        </is>
      </c>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inlineStr">
        <is>
          <t>A</t>
        </is>
      </c>
      <c r="J50" s="215" t="inlineStr">
        <is>
          <t>A</t>
        </is>
      </c>
      <c r="K50" s="215" t="inlineStr">
        <is>
          <t>A</t>
        </is>
      </c>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n"/>
      <c r="H51" s="220" t="n"/>
      <c r="I51" s="220" t="n"/>
      <c r="J51" s="220" t="n"/>
      <c r="K51" s="220" t="inlineStr">
        <is>
          <t>P</t>
        </is>
      </c>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v>46111</v>
      </c>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List'!E15</f>
        <v/>
      </c>
      <c r="D2" s="131" t="n"/>
      <c r="E2" s="133" t="n"/>
      <c r="F2" s="134" t="inlineStr">
        <is>
          <t>Function Name</t>
        </is>
      </c>
      <c r="G2" s="135" t="n"/>
      <c r="H2" s="135" t="n"/>
      <c r="I2" s="135" t="n"/>
      <c r="J2" s="135" t="n"/>
      <c r="K2" s="135" t="n"/>
      <c r="L2" s="136">
        <f>'Function List'!D15</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133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service-level signContract rules for content hash validation, signer access, SENT-only signing, duplicate protection, legacy snapshot hydration, pending/full-sign outcomes, and degraded archive persistence.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inlineStr">
        <is>
          <t>UTCID07</t>
        </is>
      </c>
      <c r="M9" s="174" t="inlineStr">
        <is>
          <t>UTCID08</t>
        </is>
      </c>
      <c r="N9" s="174" t="inlineStr">
        <is>
          <t>UTCID09</t>
        </is>
      </c>
      <c r="O9" s="174" t="inlineStr">
        <is>
          <t>UTCID10</t>
        </is>
      </c>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inlineStr">
        <is>
          <t>O</t>
        </is>
      </c>
      <c r="K12" s="186" t="inlineStr">
        <is>
          <t>O</t>
        </is>
      </c>
      <c r="L12" s="186" t="inlineStr">
        <is>
          <t>O</t>
        </is>
      </c>
      <c r="M12" s="186" t="inlineStr">
        <is>
          <t>O</t>
        </is>
      </c>
      <c r="N12" s="186" t="inlineStr">
        <is>
          <t>O</t>
        </is>
      </c>
      <c r="O12" s="186" t="inlineStr">
        <is>
          <t>O</t>
        </is>
      </c>
      <c r="P12" s="186" t="n"/>
      <c r="Q12" s="186" t="n"/>
      <c r="R12" s="186" t="n"/>
      <c r="S12" s="186" t="n"/>
      <c r="T12" s="187" t="n"/>
    </row>
    <row r="13" ht="13.5" customHeight="1">
      <c r="A13" s="184" t="n"/>
      <c r="B13" s="178" t="inlineStr">
        <is>
          <t>contract context</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Contract is loadable</t>
        </is>
      </c>
      <c r="E14" s="189" t="n"/>
      <c r="F14" s="186" t="n"/>
      <c r="G14" s="186" t="inlineStr">
        <is>
          <t>O</t>
        </is>
      </c>
      <c r="H14" s="186" t="inlineStr">
        <is>
          <t>O</t>
        </is>
      </c>
      <c r="I14" s="186" t="inlineStr">
        <is>
          <t>O</t>
        </is>
      </c>
      <c r="J14" s="186" t="inlineStr">
        <is>
          <t>O</t>
        </is>
      </c>
      <c r="K14" s="186" t="inlineStr">
        <is>
          <t>O</t>
        </is>
      </c>
      <c r="L14" s="186" t="inlineStr">
        <is>
          <t>O</t>
        </is>
      </c>
      <c r="M14" s="186" t="inlineStr">
        <is>
          <t>O</t>
        </is>
      </c>
      <c r="N14" s="186" t="inlineStr">
        <is>
          <t>O</t>
        </is>
      </c>
      <c r="O14" s="186" t="inlineStr">
        <is>
          <t>O</t>
        </is>
      </c>
      <c r="P14" s="186" t="n"/>
      <c r="Q14" s="182" t="n"/>
      <c r="R14" s="182" t="n"/>
      <c r="S14" s="182" t="n"/>
      <c r="T14" s="183" t="n"/>
    </row>
    <row r="15" ht="13.5" customHeight="1">
      <c r="A15" s="184" t="n"/>
      <c r="B15" s="178" t="inlineStr">
        <is>
          <t>project context</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Project context is loadable</t>
        </is>
      </c>
      <c r="E16" s="189" t="n"/>
      <c r="F16" s="182" t="n"/>
      <c r="G16" s="186" t="inlineStr">
        <is>
          <t>O</t>
        </is>
      </c>
      <c r="H16" s="186" t="inlineStr">
        <is>
          <t>O</t>
        </is>
      </c>
      <c r="I16" s="186" t="inlineStr">
        <is>
          <t>O</t>
        </is>
      </c>
      <c r="J16" s="186" t="inlineStr">
        <is>
          <t>O</t>
        </is>
      </c>
      <c r="K16" s="186" t="inlineStr">
        <is>
          <t>O</t>
        </is>
      </c>
      <c r="L16" s="186" t="inlineStr">
        <is>
          <t>O</t>
        </is>
      </c>
      <c r="M16" s="186" t="inlineStr">
        <is>
          <t>O</t>
        </is>
      </c>
      <c r="N16" s="186" t="inlineStr">
        <is>
          <t>O</t>
        </is>
      </c>
      <c r="O16" s="186" t="inlineStr">
        <is>
          <t>O</t>
        </is>
      </c>
      <c r="P16" s="182" t="n"/>
      <c r="Q16" s="182" t="n"/>
      <c r="R16" s="182" t="n"/>
      <c r="S16" s="182" t="n"/>
      <c r="T16" s="183" t="n"/>
    </row>
    <row r="17" ht="13.5" customHeight="1">
      <c r="A17" s="184" t="n"/>
      <c r="B17" s="178" t="inlineStr">
        <is>
          <t>contentHash</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contentHash is blank</t>
        </is>
      </c>
      <c r="E18" s="189" t="n"/>
      <c r="F18" s="186" t="inlineStr">
        <is>
          <t>O</t>
        </is>
      </c>
      <c r="G18" s="182" t="n"/>
      <c r="H18" s="182" t="n"/>
      <c r="I18" s="182" t="n"/>
      <c r="J18" s="182" t="n"/>
      <c r="K18" s="186" t="n"/>
      <c r="L18" s="186" t="n"/>
      <c r="M18" s="182" t="n"/>
      <c r="N18" s="182" t="n"/>
      <c r="O18" s="182" t="n"/>
      <c r="P18" s="182" t="n"/>
      <c r="Q18" s="182" t="n"/>
      <c r="R18" s="182" t="n"/>
      <c r="S18" s="182" t="n"/>
      <c r="T18" s="183" t="n"/>
    </row>
    <row r="19" ht="13.5" customHeight="1">
      <c r="A19" s="184" t="n"/>
      <c r="B19" s="178" t="n"/>
      <c r="C19" s="179" t="n"/>
      <c r="D19" s="188" t="inlineStr">
        <is>
          <t>contentHash is whitespace-only</t>
        </is>
      </c>
      <c r="E19" s="189" t="n"/>
      <c r="F19" s="186" t="inlineStr">
        <is>
          <t>O</t>
        </is>
      </c>
      <c r="G19" s="182" t="n"/>
      <c r="H19" s="182" t="n"/>
      <c r="I19" s="182" t="n"/>
      <c r="J19" s="182" t="n"/>
      <c r="K19" s="186" t="n"/>
      <c r="L19" s="182" t="n"/>
      <c r="M19" s="186" t="n"/>
      <c r="N19" s="182" t="n"/>
      <c r="O19" s="182" t="n"/>
      <c r="P19" s="182" t="n"/>
      <c r="Q19" s="182" t="n"/>
      <c r="R19" s="182" t="n"/>
      <c r="S19" s="182" t="n"/>
      <c r="T19" s="183" t="n"/>
    </row>
    <row r="20" ht="13.5" customHeight="1">
      <c r="A20" s="184" t="n"/>
      <c r="B20" s="178" t="n"/>
      <c r="C20" s="179" t="n"/>
      <c r="D20" s="188" t="inlineStr">
        <is>
          <t>Matches latest signable content</t>
        </is>
      </c>
      <c r="E20" s="189" t="n"/>
      <c r="F20" s="182" t="n"/>
      <c r="G20" s="186" t="inlineStr">
        <is>
          <t>O</t>
        </is>
      </c>
      <c r="H20" s="186" t="inlineStr">
        <is>
          <t>O</t>
        </is>
      </c>
      <c r="I20" s="182" t="n"/>
      <c r="J20" s="186" t="inlineStr">
        <is>
          <t>O</t>
        </is>
      </c>
      <c r="K20" s="186" t="inlineStr">
        <is>
          <t>O</t>
        </is>
      </c>
      <c r="L20" s="186" t="inlineStr">
        <is>
          <t>O</t>
        </is>
      </c>
      <c r="M20" s="186" t="inlineStr">
        <is>
          <t>O</t>
        </is>
      </c>
      <c r="N20" s="186" t="inlineStr">
        <is>
          <t>O</t>
        </is>
      </c>
      <c r="O20" s="186" t="inlineStr">
        <is>
          <t>O</t>
        </is>
      </c>
      <c r="P20" s="182" t="n"/>
      <c r="Q20" s="182" t="n"/>
      <c r="R20" s="182" t="n"/>
      <c r="S20" s="182" t="n"/>
      <c r="T20" s="183" t="n"/>
    </row>
    <row r="21" ht="13.5" customHeight="1">
      <c r="A21" s="184" t="n"/>
      <c r="B21" s="178" t="inlineStr">
        <is>
          <t>signer access</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User is a required contract party</t>
        </is>
      </c>
      <c r="E22" s="189" t="n"/>
      <c r="F22" s="186" t="n"/>
      <c r="G22" s="182" t="n"/>
      <c r="H22" s="186" t="inlineStr">
        <is>
          <t>O</t>
        </is>
      </c>
      <c r="I22" s="186" t="inlineStr">
        <is>
          <t>O</t>
        </is>
      </c>
      <c r="J22" s="186" t="inlineStr">
        <is>
          <t>O</t>
        </is>
      </c>
      <c r="K22" s="186" t="inlineStr">
        <is>
          <t>O</t>
        </is>
      </c>
      <c r="L22" s="186" t="inlineStr">
        <is>
          <t>O</t>
        </is>
      </c>
      <c r="M22" s="186" t="inlineStr">
        <is>
          <t>O</t>
        </is>
      </c>
      <c r="N22" s="186" t="inlineStr">
        <is>
          <t>O</t>
        </is>
      </c>
      <c r="O22" s="186" t="inlineStr">
        <is>
          <t>O</t>
        </is>
      </c>
      <c r="P22" s="182" t="n"/>
      <c r="Q22" s="182" t="n"/>
      <c r="R22" s="182" t="n"/>
      <c r="S22" s="182" t="n"/>
      <c r="T22" s="183" t="n"/>
    </row>
    <row r="23" ht="13.5" customHeight="1">
      <c r="A23" s="184" t="n"/>
      <c r="B23" s="178" t="inlineStr">
        <is>
          <t>contract status</t>
        </is>
      </c>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t="13.5" customHeight="1">
      <c r="A24" s="184" t="n"/>
      <c r="B24" s="178" t="n"/>
      <c r="C24" s="179" t="n"/>
      <c r="D24" s="188" t="inlineStr">
        <is>
          <t>Contract status = SENT</t>
        </is>
      </c>
      <c r="E24" s="189" t="n"/>
      <c r="F24" s="182" t="n"/>
      <c r="G24" s="182" t="n"/>
      <c r="H24" s="186" t="n"/>
      <c r="I24" s="186" t="inlineStr">
        <is>
          <t>O</t>
        </is>
      </c>
      <c r="J24" s="186" t="inlineStr">
        <is>
          <t>O</t>
        </is>
      </c>
      <c r="K24" s="186" t="inlineStr">
        <is>
          <t>O</t>
        </is>
      </c>
      <c r="L24" s="186" t="inlineStr">
        <is>
          <t>O</t>
        </is>
      </c>
      <c r="M24" s="186" t="inlineStr">
        <is>
          <t>O</t>
        </is>
      </c>
      <c r="N24" s="186" t="inlineStr">
        <is>
          <t>O</t>
        </is>
      </c>
      <c r="O24" s="186" t="inlineStr">
        <is>
          <t>O</t>
        </is>
      </c>
      <c r="P24" s="182" t="n"/>
      <c r="Q24" s="182" t="n"/>
      <c r="R24" s="182" t="n"/>
      <c r="S24" s="182" t="n"/>
      <c r="T24" s="183" t="n"/>
    </row>
    <row r="25" ht="13.5" customHeight="1">
      <c r="A25" s="184" t="n"/>
      <c r="B25" s="178" t="inlineStr">
        <is>
          <t>legacy data</t>
        </is>
      </c>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t="13.5" customHeight="1">
      <c r="A26" s="184" t="n"/>
      <c r="B26" s="178" t="n"/>
      <c r="C26" s="179" t="n"/>
      <c r="D26" s="188" t="inlineStr">
        <is>
          <t>commercialContext or snapshot is missing</t>
        </is>
      </c>
      <c r="E26" s="189" t="n"/>
      <c r="F26" s="182" t="n"/>
      <c r="G26" s="182" t="n"/>
      <c r="H26" s="182" t="n"/>
      <c r="I26" s="182" t="n"/>
      <c r="J26" s="182" t="n"/>
      <c r="K26" s="186" t="n"/>
      <c r="L26" s="182" t="n"/>
      <c r="M26" s="186" t="inlineStr">
        <is>
          <t>O</t>
        </is>
      </c>
      <c r="N26" s="182" t="n"/>
      <c r="O26" s="182" t="n"/>
      <c r="P26" s="182" t="n"/>
      <c r="Q26" s="182" t="n"/>
      <c r="R26" s="182" t="n"/>
      <c r="S26" s="182" t="n"/>
      <c r="T26" s="183" t="n"/>
    </row>
    <row r="27" ht="13.5" customHeight="1">
      <c r="A27" s="184" t="n"/>
      <c r="B27" s="178" t="inlineStr">
        <is>
          <t>existing sign</t>
        </is>
      </c>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t="13.5" customHeight="1">
      <c r="A28" s="184" t="n"/>
      <c r="B28" s="178" t="n"/>
      <c r="C28" s="179" t="n"/>
      <c r="D28" s="188" t="inlineStr">
        <is>
          <t>Digital signature already exists</t>
        </is>
      </c>
      <c r="E28" s="189" t="n"/>
      <c r="F28" s="182" t="n"/>
      <c r="G28" s="182" t="n"/>
      <c r="H28" s="182" t="n"/>
      <c r="I28" s="182" t="n"/>
      <c r="J28" s="186" t="inlineStr">
        <is>
          <t>O</t>
        </is>
      </c>
      <c r="K28" s="186" t="n"/>
      <c r="L28" s="182" t="n"/>
      <c r="M28" s="182" t="n"/>
      <c r="N28" s="182" t="n"/>
      <c r="O28" s="186" t="n"/>
      <c r="P28" s="182" t="n"/>
      <c r="Q28" s="182" t="n"/>
      <c r="R28" s="182" t="n"/>
      <c r="S28" s="182" t="n"/>
      <c r="T28" s="183" t="n"/>
    </row>
    <row r="29" ht="13.5" customHeight="1">
      <c r="A29" s="184" t="n"/>
      <c r="B29" s="178" t="inlineStr">
        <is>
          <t>save result</t>
        </is>
      </c>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t="13.5" customHeight="1">
      <c r="A30" s="184" t="n"/>
      <c r="B30" s="178" t="n"/>
      <c r="C30" s="179" t="n"/>
      <c r="D30" s="188" t="inlineStr">
        <is>
          <t>save(DigitalSignatureEntity) raises 23505</t>
        </is>
      </c>
      <c r="E30" s="189" t="n"/>
      <c r="F30" s="182" t="n"/>
      <c r="G30" s="182" t="n"/>
      <c r="H30" s="182" t="n"/>
      <c r="I30" s="182" t="n"/>
      <c r="J30" s="182" t="n"/>
      <c r="K30" s="186" t="inlineStr">
        <is>
          <t>O</t>
        </is>
      </c>
      <c r="L30" s="182" t="n"/>
      <c r="M30" s="182" t="n"/>
      <c r="N30" s="182" t="n"/>
      <c r="O30" s="182" t="n"/>
      <c r="P30" s="182" t="n"/>
      <c r="Q30" s="182" t="n"/>
      <c r="R30" s="182" t="n"/>
      <c r="S30" s="182" t="n"/>
      <c r="T30" s="183" t="n"/>
    </row>
    <row r="31" ht="13.5" customHeight="1">
      <c r="A31" s="184" t="n"/>
      <c r="B31" s="178" t="inlineStr">
        <is>
          <t>remaining signers</t>
        </is>
      </c>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t="13.5" customHeight="1">
      <c r="A32" s="184" t="n"/>
      <c r="B32" s="178" t="n"/>
      <c r="C32" s="179" t="n"/>
      <c r="D32" s="188" t="inlineStr">
        <is>
          <t>Required signers still missing after save</t>
        </is>
      </c>
      <c r="E32" s="189" t="n"/>
      <c r="F32" s="182" t="n"/>
      <c r="G32" s="186" t="n"/>
      <c r="H32" s="182" t="n"/>
      <c r="I32" s="182" t="n"/>
      <c r="J32" s="182" t="n"/>
      <c r="K32" s="182" t="n"/>
      <c r="L32" s="186" t="inlineStr">
        <is>
          <t>O</t>
        </is>
      </c>
      <c r="M32" s="186" t="inlineStr">
        <is>
          <t>O</t>
        </is>
      </c>
      <c r="N32" s="182" t="n"/>
      <c r="O32" s="182" t="n"/>
      <c r="P32" s="182" t="n"/>
      <c r="Q32" s="182" t="n"/>
      <c r="R32" s="182" t="n"/>
      <c r="S32" s="182" t="n"/>
      <c r="T32" s="183" t="n"/>
    </row>
    <row r="33" ht="13.5" customHeight="1">
      <c r="A33" s="184" t="n"/>
      <c r="B33" s="178" t="inlineStr">
        <is>
          <t>archive persist</t>
        </is>
      </c>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t="13.5" customHeight="1">
      <c r="A34" s="184" t="n"/>
      <c r="B34" s="178" t="n"/>
      <c r="C34" s="179" t="n"/>
      <c r="D34" s="188" t="inlineStr">
        <is>
          <t>Archive persistence unavailable</t>
        </is>
      </c>
      <c r="E34" s="189" t="n"/>
      <c r="F34" s="182" t="n"/>
      <c r="G34" s="182" t="n"/>
      <c r="H34" s="182" t="n"/>
      <c r="I34" s="182" t="n"/>
      <c r="J34" s="186" t="n"/>
      <c r="K34" s="182" t="n"/>
      <c r="L34" s="182" t="n"/>
      <c r="M34" s="182" t="n"/>
      <c r="N34" s="182" t="n"/>
      <c r="O34" s="186" t="inlineStr">
        <is>
          <t>O</t>
        </is>
      </c>
      <c r="P34" s="182" t="n"/>
      <c r="Q34" s="182" t="n"/>
      <c r="R34" s="182" t="n"/>
      <c r="S34" s="182" t="n"/>
      <c r="T34" s="183" t="n"/>
    </row>
    <row r="35" ht="13.5" customHeight="1">
      <c r="A35" s="184" t="n"/>
      <c r="B35" s="178" t="inlineStr">
        <is>
          <t>final signer</t>
        </is>
      </c>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t="13.5" customHeight="1">
      <c r="A36" s="184" t="n"/>
      <c r="B36" s="178" t="n"/>
      <c r="C36" s="179" t="n"/>
      <c r="D36" s="188" t="inlineStr">
        <is>
          <t>Current signer completes all required signatures</t>
        </is>
      </c>
      <c r="E36" s="189" t="n"/>
      <c r="F36" s="182" t="n"/>
      <c r="G36" s="182" t="n"/>
      <c r="H36" s="182" t="n"/>
      <c r="I36" s="182" t="n"/>
      <c r="J36" s="182" t="n"/>
      <c r="K36" s="182" t="n"/>
      <c r="L36" s="186" t="n"/>
      <c r="M36" s="182" t="n"/>
      <c r="N36" s="186" t="inlineStr">
        <is>
          <t>O</t>
        </is>
      </c>
      <c r="O36" s="186" t="inlineStr">
        <is>
          <t>O</t>
        </is>
      </c>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Pending Signatures</t>
        </is>
      </c>
      <c r="E38" s="200" t="n"/>
      <c r="F38" s="186" t="n"/>
      <c r="G38" s="182" t="n"/>
      <c r="H38" s="182" t="n"/>
      <c r="I38" s="182" t="n"/>
      <c r="J38" s="182" t="n"/>
      <c r="K38" s="182" t="n"/>
      <c r="L38" s="186" t="inlineStr">
        <is>
          <t>O</t>
        </is>
      </c>
      <c r="M38" s="186" t="inlineStr">
        <is>
          <t>O</t>
        </is>
      </c>
      <c r="N38" s="182" t="n"/>
      <c r="O38" s="186" t="n"/>
      <c r="P38" s="182" t="n"/>
      <c r="Q38" s="182" t="n"/>
      <c r="R38" s="182" t="n"/>
      <c r="S38" s="182" t="n"/>
      <c r="T38" s="183" t="n"/>
    </row>
    <row r="39" ht="13.5" customHeight="1">
      <c r="A39" s="197" t="n"/>
      <c r="B39" s="201" t="n"/>
      <c r="C39" s="202" t="n"/>
      <c r="D39" s="203" t="inlineStr">
        <is>
          <t>Return Signed</t>
        </is>
      </c>
      <c r="E39" s="200" t="n"/>
      <c r="F39" s="182" t="n"/>
      <c r="G39" s="186" t="n"/>
      <c r="H39" s="186" t="n"/>
      <c r="I39" s="186" t="n"/>
      <c r="J39" s="186" t="n"/>
      <c r="K39" s="182" t="n"/>
      <c r="L39" s="186" t="n"/>
      <c r="M39" s="182" t="n"/>
      <c r="N39" s="186" t="inlineStr">
        <is>
          <t>O</t>
        </is>
      </c>
      <c r="O39" s="186" t="inlineStr">
        <is>
          <t>O</t>
        </is>
      </c>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Throw validation / conflict / duplicate-sign error</t>
        </is>
      </c>
      <c r="E41" s="200" t="n"/>
      <c r="F41" s="186" t="inlineStr">
        <is>
          <t>O</t>
        </is>
      </c>
      <c r="G41" s="186" t="inlineStr">
        <is>
          <t>O</t>
        </is>
      </c>
      <c r="H41" s="186" t="inlineStr">
        <is>
          <t>O</t>
        </is>
      </c>
      <c r="I41" s="186" t="inlineStr">
        <is>
          <t>O</t>
        </is>
      </c>
      <c r="J41" s="186" t="inlineStr">
        <is>
          <t>O</t>
        </is>
      </c>
      <c r="K41" s="186" t="inlineStr">
        <is>
          <t>O</t>
        </is>
      </c>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Do not open transaction for blank contentHash</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Hydrate legacy snapshot before hash comparison</t>
        </is>
      </c>
      <c r="E44" s="200" t="n"/>
      <c r="F44" s="182" t="n"/>
      <c r="G44" s="186" t="n"/>
      <c r="H44" s="182" t="n"/>
      <c r="I44" s="182" t="n"/>
      <c r="J44" s="182" t="n"/>
      <c r="K44" s="182" t="n"/>
      <c r="L44" s="182" t="n"/>
      <c r="M44" s="186" t="inlineStr">
        <is>
          <t>O</t>
        </is>
      </c>
      <c r="N44" s="182" t="n"/>
      <c r="O44" s="182" t="n"/>
      <c r="P44" s="182" t="n"/>
      <c r="Q44" s="182" t="n"/>
      <c r="R44" s="182" t="n"/>
      <c r="S44" s="182" t="n"/>
      <c r="T44" s="183" t="n"/>
    </row>
    <row r="45" ht="13.5" customHeight="1">
      <c r="A45" s="197" t="n"/>
      <c r="B45" s="208" t="n"/>
      <c r="C45" s="202" t="n"/>
      <c r="D45" s="203" t="inlineStr">
        <is>
          <t>Save audit-only digital signature record</t>
        </is>
      </c>
      <c r="E45" s="200" t="n"/>
      <c r="F45" s="182" t="n"/>
      <c r="G45" s="182" t="n"/>
      <c r="H45" s="186" t="n"/>
      <c r="I45" s="182" t="n"/>
      <c r="J45" s="182" t="n"/>
      <c r="K45" s="182" t="n"/>
      <c r="L45" s="186" t="inlineStr">
        <is>
          <t>O</t>
        </is>
      </c>
      <c r="M45" s="186" t="inlineStr">
        <is>
          <t>O</t>
        </is>
      </c>
      <c r="N45" s="186" t="inlineStr">
        <is>
          <t>O</t>
        </is>
      </c>
      <c r="O45" s="186" t="inlineStr">
        <is>
          <t>O</t>
        </is>
      </c>
      <c r="P45" s="182" t="n"/>
      <c r="Q45" s="182" t="n"/>
      <c r="R45" s="182" t="n"/>
      <c r="S45" s="182" t="n"/>
      <c r="T45" s="183" t="n"/>
    </row>
    <row r="46" ht="13.5" customHeight="1">
      <c r="A46" s="197" t="n"/>
      <c r="B46" s="208" t="n"/>
      <c r="C46" s="202" t="n"/>
      <c r="D46" s="203" t="inlineStr">
        <is>
          <t>Capture signer IP and user-agent metadata</t>
        </is>
      </c>
      <c r="E46" s="200" t="n"/>
      <c r="F46" s="182" t="n"/>
      <c r="G46" s="182" t="n"/>
      <c r="H46" s="182" t="n"/>
      <c r="I46" s="186" t="n"/>
      <c r="J46" s="182" t="n"/>
      <c r="K46" s="182" t="n"/>
      <c r="L46" s="182" t="n"/>
      <c r="M46" s="186" t="inlineStr">
        <is>
          <t>O</t>
        </is>
      </c>
      <c r="N46" s="186" t="inlineStr">
        <is>
          <t>O</t>
        </is>
      </c>
      <c r="O46" s="186" t="inlineStr">
        <is>
          <t>O</t>
        </is>
      </c>
      <c r="P46" s="182" t="n"/>
      <c r="Q46" s="182" t="n"/>
      <c r="R46" s="182" t="n"/>
      <c r="S46" s="182" t="n"/>
      <c r="T46" s="183" t="n"/>
    </row>
    <row r="47" ht="13.5" customHeight="1">
      <c r="A47" s="197" t="n"/>
      <c r="B47" s="208" t="n"/>
      <c r="C47" s="210" t="n"/>
      <c r="D47" s="203" t="inlineStr">
        <is>
          <t>Keep contract unsigned while signers remain</t>
        </is>
      </c>
      <c r="E47" s="211" t="n"/>
      <c r="F47" s="186" t="n"/>
      <c r="G47" s="182" t="n"/>
      <c r="H47" s="182" t="n"/>
      <c r="I47" s="182" t="n"/>
      <c r="J47" s="186" t="n"/>
      <c r="K47" s="182" t="n"/>
      <c r="L47" s="186" t="inlineStr">
        <is>
          <t>O</t>
        </is>
      </c>
      <c r="M47" s="186" t="inlineStr">
        <is>
          <t>O</t>
        </is>
      </c>
      <c r="N47" s="182" t="n"/>
      <c r="O47" s="182" t="n"/>
      <c r="P47" s="182" t="n"/>
      <c r="Q47" s="182" t="n"/>
      <c r="R47" s="182" t="n"/>
      <c r="S47" s="182" t="n"/>
      <c r="T47" s="183" t="n"/>
    </row>
    <row r="48" ht="13.5" customHeight="1">
      <c r="A48" s="197" t="n"/>
      <c r="B48" s="208" t="n"/>
      <c r="C48" s="210" t="n"/>
      <c r="D48" s="203" t="inlineStr">
        <is>
          <t>Write SIGNED status, audit log, and full-sign notice</t>
        </is>
      </c>
      <c r="E48" s="211" t="n"/>
      <c r="F48" s="182" t="n"/>
      <c r="G48" s="186" t="n"/>
      <c r="H48" s="182" t="n"/>
      <c r="I48" s="182" t="n"/>
      <c r="J48" s="182" t="n"/>
      <c r="K48" s="186" t="n"/>
      <c r="L48" s="182" t="n"/>
      <c r="M48" s="182" t="n"/>
      <c r="N48" s="186" t="inlineStr">
        <is>
          <t>O</t>
        </is>
      </c>
      <c r="O48" s="182" t="n"/>
      <c r="P48" s="182" t="n"/>
      <c r="Q48" s="182" t="n"/>
      <c r="R48" s="182" t="n"/>
      <c r="S48" s="182" t="n"/>
      <c r="T48" s="183" t="n"/>
    </row>
    <row r="49" ht="13.5" customHeight="1">
      <c r="A49" s="197" t="n"/>
      <c r="B49" s="208" t="n"/>
      <c r="C49" s="210" t="n"/>
      <c r="D49" s="203" t="inlineStr">
        <is>
          <t>Still return Signed when archive persist is skipped</t>
        </is>
      </c>
      <c r="E49" s="211" t="n"/>
      <c r="F49" s="182" t="n"/>
      <c r="G49" s="182" t="n"/>
      <c r="H49" s="186" t="n"/>
      <c r="I49" s="182" t="n"/>
      <c r="J49" s="182" t="n"/>
      <c r="K49" s="182" t="n"/>
      <c r="L49" s="186" t="n"/>
      <c r="M49" s="182" t="n"/>
      <c r="N49" s="182" t="n"/>
      <c r="O49" s="186" t="inlineStr">
        <is>
          <t>O</t>
        </is>
      </c>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A</t>
        </is>
      </c>
      <c r="G50" s="215" t="inlineStr">
        <is>
          <t>A</t>
        </is>
      </c>
      <c r="H50" s="215" t="inlineStr">
        <is>
          <t>A</t>
        </is>
      </c>
      <c r="I50" s="215" t="inlineStr">
        <is>
          <t>A</t>
        </is>
      </c>
      <c r="J50" s="215" t="inlineStr">
        <is>
          <t>A</t>
        </is>
      </c>
      <c r="K50" s="215" t="inlineStr">
        <is>
          <t>A</t>
        </is>
      </c>
      <c r="L50" s="215" t="inlineStr">
        <is>
          <t>N</t>
        </is>
      </c>
      <c r="M50" s="215" t="inlineStr">
        <is>
          <t>N</t>
        </is>
      </c>
      <c r="N50" s="215" t="inlineStr">
        <is>
          <t>N</t>
        </is>
      </c>
      <c r="O50" s="215" t="inlineStr">
        <is>
          <t>A</t>
        </is>
      </c>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inlineStr">
        <is>
          <t>P</t>
        </is>
      </c>
      <c r="L51" s="220" t="inlineStr">
        <is>
          <t>P</t>
        </is>
      </c>
      <c r="M51" s="220" t="inlineStr">
        <is>
          <t>P</t>
        </is>
      </c>
      <c r="N51" s="220" t="inlineStr">
        <is>
          <t>P</t>
        </is>
      </c>
      <c r="O51" s="220" t="inlineStr">
        <is>
          <t>P</t>
        </is>
      </c>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v>46111</v>
      </c>
      <c r="L52" s="224" t="n">
        <v>46111</v>
      </c>
      <c r="M52" s="224" t="n">
        <v>46111</v>
      </c>
      <c r="N52" s="224" t="n">
        <v>46111</v>
      </c>
      <c r="O52" s="224" t="n">
        <v>46111</v>
      </c>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List'!E16</f>
        <v/>
      </c>
      <c r="D2" s="131" t="n"/>
      <c r="E2" s="133" t="n"/>
      <c r="F2" s="134" t="inlineStr">
        <is>
          <t>Function Name</t>
        </is>
      </c>
      <c r="G2" s="135" t="n"/>
      <c r="H2" s="135" t="n"/>
      <c r="I2" s="135" t="n"/>
      <c r="J2" s="135" t="n"/>
      <c r="K2" s="135" t="n"/>
      <c r="L2" s="136">
        <f>'Function List'!D16</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67</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updateDraft forwards dto values and enforces DRAFT-only edits, no-signature guardrails, legal-signature reset, and contentHash recomputation.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inlineStr">
        <is>
          <t>O</t>
        </is>
      </c>
      <c r="K12" s="186" t="n"/>
      <c r="L12" s="186" t="n"/>
      <c r="M12" s="186" t="n"/>
      <c r="N12" s="186" t="n"/>
      <c r="O12" s="186" t="n"/>
      <c r="P12" s="186" t="n"/>
      <c r="Q12" s="186" t="n"/>
      <c r="R12" s="186" t="n"/>
      <c r="S12" s="186" t="n"/>
      <c r="T12" s="187" t="n"/>
    </row>
    <row r="13" ht="13.5" customHeight="1">
      <c r="A13" s="184" t="n"/>
      <c r="B13" s="178" t="inlineStr">
        <is>
          <t>user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Current user role is BROKER</t>
        </is>
      </c>
      <c r="E14" s="189" t="n"/>
      <c r="F14" s="186" t="inlineStr">
        <is>
          <t>O</t>
        </is>
      </c>
      <c r="G14" s="186" t="inlineStr">
        <is>
          <t>O</t>
        </is>
      </c>
      <c r="H14" s="186" t="inlineStr">
        <is>
          <t>O</t>
        </is>
      </c>
      <c r="I14" s="186" t="inlineStr">
        <is>
          <t>O</t>
        </is>
      </c>
      <c r="J14" s="186" t="inlineStr">
        <is>
          <t>O</t>
        </is>
      </c>
      <c r="K14" s="182" t="n"/>
      <c r="L14" s="182" t="n"/>
      <c r="M14" s="182" t="n"/>
      <c r="N14" s="182" t="n"/>
      <c r="O14" s="186" t="n"/>
      <c r="P14" s="186" t="n"/>
      <c r="Q14" s="182" t="n"/>
      <c r="R14" s="182" t="n"/>
      <c r="S14" s="182" t="n"/>
      <c r="T14" s="183" t="n"/>
    </row>
    <row r="15" ht="13.5" customHeight="1">
      <c r="A15" s="184" t="n"/>
      <c r="B15" s="178" t="inlineStr">
        <is>
          <t>contractId</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Draft contract id is supplied</t>
        </is>
      </c>
      <c r="E16" s="189" t="n"/>
      <c r="F16" s="186" t="inlineStr">
        <is>
          <t>O</t>
        </is>
      </c>
      <c r="G16" s="186" t="inlineStr">
        <is>
          <t>O</t>
        </is>
      </c>
      <c r="H16" s="186" t="inlineStr">
        <is>
          <t>O</t>
        </is>
      </c>
      <c r="I16" s="186" t="inlineStr">
        <is>
          <t>O</t>
        </is>
      </c>
      <c r="J16" s="186" t="inlineStr">
        <is>
          <t>O</t>
        </is>
      </c>
      <c r="K16" s="182" t="n"/>
      <c r="L16" s="182" t="n"/>
      <c r="M16" s="182" t="n"/>
      <c r="N16" s="182" t="n"/>
      <c r="O16" s="182" t="n"/>
      <c r="P16" s="182" t="n"/>
      <c r="Q16" s="182" t="n"/>
      <c r="R16" s="182" t="n"/>
      <c r="S16" s="182" t="n"/>
      <c r="T16" s="183" t="n"/>
    </row>
    <row r="17" ht="13.5" customHeight="1">
      <c r="A17" s="184" t="n"/>
      <c r="B17" s="178" t="inlineStr">
        <is>
          <t>draft dto</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title patch is provided</t>
        </is>
      </c>
      <c r="E18" s="189" t="n"/>
      <c r="F18" s="186" t="inlineStr">
        <is>
          <t>O</t>
        </is>
      </c>
      <c r="G18" s="186" t="inlineStr">
        <is>
          <t>O</t>
        </is>
      </c>
      <c r="H18" s="182" t="n"/>
      <c r="I18" s="182" t="n"/>
      <c r="J18" s="186" t="inlineStr">
        <is>
          <t>O</t>
        </is>
      </c>
      <c r="K18" s="186" t="n"/>
      <c r="L18" s="186" t="n"/>
      <c r="M18" s="182" t="n"/>
      <c r="N18" s="182" t="n"/>
      <c r="O18" s="182" t="n"/>
      <c r="P18" s="182" t="n"/>
      <c r="Q18" s="182" t="n"/>
      <c r="R18" s="182" t="n"/>
      <c r="S18" s="182" t="n"/>
      <c r="T18" s="183" t="n"/>
    </row>
    <row r="19" ht="13.5" customHeight="1">
      <c r="A19" s="184" t="n"/>
      <c r="B19" s="178" t="n"/>
      <c r="C19" s="179" t="n"/>
      <c r="D19" s="188" t="inlineStr">
        <is>
          <t>currency patch is provided</t>
        </is>
      </c>
      <c r="E19" s="189" t="n"/>
      <c r="F19" s="186" t="inlineStr">
        <is>
          <t>O</t>
        </is>
      </c>
      <c r="G19" s="186" t="inlineStr">
        <is>
          <t>O</t>
        </is>
      </c>
      <c r="H19" s="182" t="n"/>
      <c r="I19" s="182" t="n"/>
      <c r="J19" s="186" t="inlineStr">
        <is>
          <t>O</t>
        </is>
      </c>
      <c r="K19" s="186" t="n"/>
      <c r="L19" s="182" t="n"/>
      <c r="M19" s="186" t="n"/>
      <c r="N19" s="182" t="n"/>
      <c r="O19" s="182" t="n"/>
      <c r="P19" s="182" t="n"/>
      <c r="Q19" s="182" t="n"/>
      <c r="R19" s="182" t="n"/>
      <c r="S19" s="182" t="n"/>
      <c r="T19" s="183" t="n"/>
    </row>
    <row r="20" ht="13.5" customHeight="1">
      <c r="A20" s="184" t="n"/>
      <c r="B20" s="178" t="n"/>
      <c r="C20" s="179" t="n"/>
      <c r="D20" s="188" t="inlineStr">
        <is>
          <t>milestoneSnapshot patch is provided</t>
        </is>
      </c>
      <c r="E20" s="189" t="n"/>
      <c r="F20" s="186" t="inlineStr">
        <is>
          <t>O</t>
        </is>
      </c>
      <c r="G20" s="186" t="inlineStr">
        <is>
          <t>O</t>
        </is>
      </c>
      <c r="H20" s="182" t="n"/>
      <c r="I20" s="182" t="n"/>
      <c r="J20" s="186" t="inlineStr">
        <is>
          <t>O</t>
        </is>
      </c>
      <c r="K20" s="182" t="n"/>
      <c r="L20" s="186" t="n"/>
      <c r="M20" s="182" t="n"/>
      <c r="N20" s="186" t="n"/>
      <c r="O20" s="182" t="n"/>
      <c r="P20" s="182" t="n"/>
      <c r="Q20" s="182" t="n"/>
      <c r="R20" s="182" t="n"/>
      <c r="S20" s="182" t="n"/>
      <c r="T20" s="183" t="n"/>
    </row>
    <row r="21" ht="13.5" customHeight="1">
      <c r="A21" s="184" t="n"/>
      <c r="B21" s="178" t="inlineStr">
        <is>
          <t>status</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Contract status is DRAFT</t>
        </is>
      </c>
      <c r="E22" s="189" t="n"/>
      <c r="F22" s="186" t="inlineStr">
        <is>
          <t>O</t>
        </is>
      </c>
      <c r="G22" s="186" t="inlineStr">
        <is>
          <t>O</t>
        </is>
      </c>
      <c r="H22" s="182" t="n"/>
      <c r="I22" s="186" t="inlineStr">
        <is>
          <t>O</t>
        </is>
      </c>
      <c r="J22" s="186" t="inlineStr">
        <is>
          <t>O</t>
        </is>
      </c>
      <c r="K22" s="182" t="n"/>
      <c r="L22" s="182" t="n"/>
      <c r="M22" s="186" t="n"/>
      <c r="N22" s="186" t="n"/>
      <c r="O22" s="182" t="n"/>
      <c r="P22" s="182" t="n"/>
      <c r="Q22" s="182" t="n"/>
      <c r="R22" s="182" t="n"/>
      <c r="S22" s="182" t="n"/>
      <c r="T22" s="183" t="n"/>
    </row>
    <row r="23" ht="13.5" customHeight="1">
      <c r="A23" s="184" t="n"/>
      <c r="B23" s="178" t="inlineStr">
        <is>
          <t>signatures</t>
        </is>
      </c>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t="13.5" customHeight="1">
      <c r="A24" s="184" t="n"/>
      <c r="B24" s="178" t="n"/>
      <c r="C24" s="179" t="n"/>
      <c r="D24" s="188" t="inlineStr">
        <is>
          <t>No digital signatures exist yet</t>
        </is>
      </c>
      <c r="E24" s="189" t="n"/>
      <c r="F24" s="182" t="n"/>
      <c r="G24" s="186" t="inlineStr">
        <is>
          <t>O</t>
        </is>
      </c>
      <c r="H24" s="186" t="n"/>
      <c r="I24" s="182" t="n"/>
      <c r="J24" s="182" t="n"/>
      <c r="K24" s="182" t="n"/>
      <c r="L24" s="182" t="n"/>
      <c r="M24" s="182" t="n"/>
      <c r="N24" s="182" t="n"/>
      <c r="O24" s="182" t="n"/>
      <c r="P24" s="182" t="n"/>
      <c r="Q24" s="182" t="n"/>
      <c r="R24" s="182" t="n"/>
      <c r="S24" s="182" t="n"/>
      <c r="T24" s="183" t="n"/>
    </row>
    <row r="25" ht="13.5" customHeight="1">
      <c r="A25" s="184" t="n"/>
      <c r="B25" s="178" t="inlineStr">
        <is>
          <t>guardrail</t>
        </is>
      </c>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t="13.5" customHeight="1">
      <c r="A26" s="184" t="n"/>
      <c r="B26" s="178" t="n"/>
      <c r="C26" s="179" t="n"/>
      <c r="D26" s="188" t="inlineStr">
        <is>
          <t>Contract is not editable</t>
        </is>
      </c>
      <c r="E26" s="189" t="n"/>
      <c r="F26" s="182" t="n"/>
      <c r="G26" s="182" t="n"/>
      <c r="H26" s="186" t="inlineStr">
        <is>
          <t>O</t>
        </is>
      </c>
      <c r="I26" s="182" t="n"/>
      <c r="J26" s="182" t="n"/>
      <c r="K26" s="186" t="n"/>
      <c r="L26" s="182" t="n"/>
      <c r="M26" s="182" t="n"/>
      <c r="N26" s="182" t="n"/>
      <c r="O26" s="182" t="n"/>
      <c r="P26" s="182" t="n"/>
      <c r="Q26" s="182" t="n"/>
      <c r="R26" s="182" t="n"/>
      <c r="S26" s="182" t="n"/>
      <c r="T26" s="183" t="n"/>
    </row>
    <row r="27" ht="13.5" customHeight="1">
      <c r="A27" s="184" t="n"/>
      <c r="B27" s="178" t="n"/>
      <c r="C27" s="179" t="n"/>
      <c r="D27" s="188" t="inlineStr">
        <is>
          <t>Signing already started on the draft</t>
        </is>
      </c>
      <c r="E27" s="189" t="n"/>
      <c r="F27" s="182" t="n"/>
      <c r="G27" s="182" t="n"/>
      <c r="H27" s="182" t="n"/>
      <c r="I27" s="186" t="inlineStr">
        <is>
          <t>O</t>
        </is>
      </c>
      <c r="J27" s="182" t="n"/>
      <c r="K27" s="182" t="n"/>
      <c r="L27" s="186" t="n"/>
      <c r="M27" s="182" t="n"/>
      <c r="N27" s="182" t="n"/>
      <c r="O27" s="182" t="n"/>
      <c r="P27" s="182" t="n"/>
      <c r="Q27" s="182" t="n"/>
      <c r="R27" s="182" t="n"/>
      <c r="S27" s="182" t="n"/>
      <c r="T27" s="183" t="n"/>
    </row>
    <row r="28" ht="13.5" customHeight="1">
      <c r="A28" s="184" t="n"/>
      <c r="B28" s="178" t="inlineStr">
        <is>
          <t>Exception source</t>
        </is>
      </c>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t="13.5" customHeight="1">
      <c r="A29" s="184" t="n"/>
      <c r="B29" s="178" t="n"/>
      <c r="C29" s="179" t="n"/>
      <c r="D29" s="188" t="inlineStr">
        <is>
          <t>Update fails in service / controller</t>
        </is>
      </c>
      <c r="E29" s="189" t="n"/>
      <c r="F29" s="182" t="n"/>
      <c r="G29" s="182" t="n"/>
      <c r="H29" s="182" t="n"/>
      <c r="I29" s="182" t="n"/>
      <c r="J29" s="186" t="inlineStr">
        <is>
          <t>O</t>
        </is>
      </c>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updated draft</t>
        </is>
      </c>
      <c r="E38" s="200" t="n"/>
      <c r="F38" s="186" t="inlineStr">
        <is>
          <t>O</t>
        </is>
      </c>
      <c r="G38" s="186" t="inlineStr">
        <is>
          <t>O</t>
        </is>
      </c>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Reject non-editable draft update</t>
        </is>
      </c>
      <c r="E39" s="200" t="n"/>
      <c r="F39" s="182" t="n"/>
      <c r="G39" s="186" t="n"/>
      <c r="H39" s="186" t="inlineStr">
        <is>
          <t>O</t>
        </is>
      </c>
      <c r="I39" s="186" t="inlineStr">
        <is>
          <t>O</t>
        </is>
      </c>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draft update error</t>
        </is>
      </c>
      <c r="E41" s="200" t="n"/>
      <c r="F41" s="182" t="n"/>
      <c r="G41" s="182" t="n"/>
      <c r="H41" s="182" t="n"/>
      <c r="I41" s="186" t="n"/>
      <c r="J41" s="186" t="inlineStr">
        <is>
          <t>O</t>
        </is>
      </c>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Service receives user, id, and dto</t>
        </is>
      </c>
      <c r="E43" s="200" t="n"/>
      <c r="F43" s="186" t="inlineStr">
        <is>
          <t>O</t>
        </is>
      </c>
      <c r="G43" s="182" t="n"/>
      <c r="H43" s="182" t="n"/>
      <c r="I43" s="182" t="n"/>
      <c r="J43" s="186" t="inlineStr">
        <is>
          <t>O</t>
        </is>
      </c>
      <c r="K43" s="182" t="n"/>
      <c r="L43" s="182" t="n"/>
      <c r="M43" s="182" t="n"/>
      <c r="N43" s="182" t="n"/>
      <c r="O43" s="182" t="n"/>
      <c r="P43" s="182" t="n"/>
      <c r="Q43" s="182" t="n"/>
      <c r="R43" s="182" t="n"/>
      <c r="S43" s="182" t="n"/>
      <c r="T43" s="183" t="n"/>
    </row>
    <row r="44" ht="13.5" customHeight="1">
      <c r="A44" s="197" t="n"/>
      <c r="B44" s="208" t="n"/>
      <c r="C44" s="202" t="n"/>
      <c r="D44" s="203" t="inlineStr">
        <is>
          <t>Rebuild terms, commercialContext, and contentHash</t>
        </is>
      </c>
      <c r="E44" s="200" t="n"/>
      <c r="F44" s="182" t="n"/>
      <c r="G44" s="186"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Reset signature provider / legal progress</t>
        </is>
      </c>
      <c r="E45" s="200" t="n"/>
      <c r="F45" s="182" t="n"/>
      <c r="G45" s="186" t="inlineStr">
        <is>
          <t>O</t>
        </is>
      </c>
      <c r="H45" s="186" t="n"/>
      <c r="I45" s="182" t="n"/>
      <c r="J45" s="182" t="n"/>
      <c r="K45" s="182" t="n"/>
      <c r="L45" s="182" t="n"/>
      <c r="M45" s="182" t="n"/>
      <c r="N45" s="182" t="n"/>
      <c r="O45" s="182" t="n"/>
      <c r="P45" s="182" t="n"/>
      <c r="Q45" s="182" t="n"/>
      <c r="R45" s="182" t="n"/>
      <c r="S45" s="182" t="n"/>
      <c r="T45" s="183" t="n"/>
    </row>
    <row r="46" ht="13.5" customHeight="1">
      <c r="A46" s="197" t="n"/>
      <c r="B46" s="208" t="n"/>
      <c r="C46" s="202" t="n"/>
      <c r="D46" s="203" t="inlineStr">
        <is>
          <t>Update shell project currency and totalBudget</t>
        </is>
      </c>
      <c r="E46" s="200" t="n"/>
      <c r="F46" s="182" t="n"/>
      <c r="G46" s="186" t="inlineStr">
        <is>
          <t>O</t>
        </is>
      </c>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List'!E17</f>
        <v/>
      </c>
      <c r="D2" s="131" t="n"/>
      <c r="E2" s="133" t="n"/>
      <c r="F2" s="134" t="inlineStr">
        <is>
          <t>Function Name</t>
        </is>
      </c>
      <c r="G2" s="135" t="n"/>
      <c r="H2" s="135" t="n"/>
      <c r="I2" s="135" t="n"/>
      <c r="J2" s="135" t="n"/>
      <c r="K2" s="135" t="n"/>
      <c r="L2" s="136">
        <f>'Function List'!D17</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53</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sendDraft only sends editable DRAFT contracts, recomputes terms/contentHash, and moves the contract into SENT for all required signers.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n"/>
      <c r="K12" s="186" t="n"/>
      <c r="L12" s="186" t="n"/>
      <c r="M12" s="186" t="n"/>
      <c r="N12" s="186" t="n"/>
      <c r="O12" s="186" t="n"/>
      <c r="P12" s="186" t="n"/>
      <c r="Q12" s="186" t="n"/>
      <c r="R12" s="186" t="n"/>
      <c r="S12" s="186" t="n"/>
      <c r="T12" s="187" t="n"/>
    </row>
    <row r="13" ht="13.5" customHeight="1">
      <c r="A13" s="184" t="n"/>
      <c r="B13" s="178" t="inlineStr">
        <is>
          <t>user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Current user role is BROKER</t>
        </is>
      </c>
      <c r="E14" s="189" t="n"/>
      <c r="F14" s="186" t="inlineStr">
        <is>
          <t>O</t>
        </is>
      </c>
      <c r="G14" s="186" t="inlineStr">
        <is>
          <t>O</t>
        </is>
      </c>
      <c r="H14" s="186" t="inlineStr">
        <is>
          <t>O</t>
        </is>
      </c>
      <c r="I14" s="186" t="inlineStr">
        <is>
          <t>O</t>
        </is>
      </c>
      <c r="J14" s="182" t="n"/>
      <c r="K14" s="182" t="n"/>
      <c r="L14" s="182" t="n"/>
      <c r="M14" s="182" t="n"/>
      <c r="N14" s="182" t="n"/>
      <c r="O14" s="186" t="n"/>
      <c r="P14" s="186" t="n"/>
      <c r="Q14" s="182" t="n"/>
      <c r="R14" s="182" t="n"/>
      <c r="S14" s="182" t="n"/>
      <c r="T14" s="183" t="n"/>
    </row>
    <row r="15" ht="13.5" customHeight="1">
      <c r="A15" s="184" t="n"/>
      <c r="B15" s="178" t="inlineStr">
        <is>
          <t>contractId</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Draft contract id is supplied</t>
        </is>
      </c>
      <c r="E16" s="189" t="n"/>
      <c r="F16" s="186" t="inlineStr">
        <is>
          <t>O</t>
        </is>
      </c>
      <c r="G16" s="186" t="inlineStr">
        <is>
          <t>O</t>
        </is>
      </c>
      <c r="H16" s="186" t="inlineStr">
        <is>
          <t>O</t>
        </is>
      </c>
      <c r="I16" s="186" t="inlineStr">
        <is>
          <t>O</t>
        </is>
      </c>
      <c r="J16" s="186" t="n"/>
      <c r="K16" s="182" t="n"/>
      <c r="L16" s="182" t="n"/>
      <c r="M16" s="182" t="n"/>
      <c r="N16" s="182" t="n"/>
      <c r="O16" s="182" t="n"/>
      <c r="P16" s="182" t="n"/>
      <c r="Q16" s="182" t="n"/>
      <c r="R16" s="182" t="n"/>
      <c r="S16" s="182" t="n"/>
      <c r="T16" s="183" t="n"/>
    </row>
    <row r="17" ht="13.5" customHeight="1">
      <c r="A17" s="184" t="n"/>
      <c r="B17" s="178" t="inlineStr">
        <is>
          <t>status</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Contract status is DRAFT</t>
        </is>
      </c>
      <c r="E18" s="189" t="n"/>
      <c r="F18" s="186" t="inlineStr">
        <is>
          <t>O</t>
        </is>
      </c>
      <c r="G18" s="186" t="inlineStr">
        <is>
          <t>O</t>
        </is>
      </c>
      <c r="H18" s="182" t="n"/>
      <c r="I18" s="186" t="inlineStr">
        <is>
          <t>O</t>
        </is>
      </c>
      <c r="J18" s="182" t="n"/>
      <c r="K18" s="186" t="n"/>
      <c r="L18" s="186" t="n"/>
      <c r="M18" s="182" t="n"/>
      <c r="N18" s="182" t="n"/>
      <c r="O18" s="182" t="n"/>
      <c r="P18" s="182" t="n"/>
      <c r="Q18" s="182" t="n"/>
      <c r="R18" s="182" t="n"/>
      <c r="S18" s="182" t="n"/>
      <c r="T18" s="183" t="n"/>
    </row>
    <row r="19" ht="13.5" customHeight="1">
      <c r="A19" s="184" t="n"/>
      <c r="B19" s="178" t="inlineStr">
        <is>
          <t>signatures</t>
        </is>
      </c>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t="13.5" customHeight="1">
      <c r="A20" s="184" t="n"/>
      <c r="B20" s="178" t="n"/>
      <c r="C20" s="179" t="n"/>
      <c r="D20" s="188" t="inlineStr">
        <is>
          <t>No signatures exist before sending</t>
        </is>
      </c>
      <c r="E20" s="189" t="n"/>
      <c r="F20" s="182" t="n"/>
      <c r="G20" s="186" t="inlineStr">
        <is>
          <t>O</t>
        </is>
      </c>
      <c r="H20" s="182" t="n"/>
      <c r="I20" s="182" t="n"/>
      <c r="J20" s="182" t="n"/>
      <c r="K20" s="182" t="n"/>
      <c r="L20" s="186" t="n"/>
      <c r="M20" s="182" t="n"/>
      <c r="N20" s="186" t="n"/>
      <c r="O20" s="182" t="n"/>
      <c r="P20" s="182" t="n"/>
      <c r="Q20" s="182" t="n"/>
      <c r="R20" s="182" t="n"/>
      <c r="S20" s="182" t="n"/>
      <c r="T20" s="183" t="n"/>
    </row>
    <row r="21" ht="13.5" customHeight="1">
      <c r="A21" s="184" t="n"/>
      <c r="B21" s="178" t="inlineStr">
        <is>
          <t>terms</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Snapshot / commercialContext are valid for signing</t>
        </is>
      </c>
      <c r="E22" s="189" t="n"/>
      <c r="F22" s="186" t="n"/>
      <c r="G22" s="186" t="inlineStr">
        <is>
          <t>O</t>
        </is>
      </c>
      <c r="H22" s="182" t="n"/>
      <c r="I22" s="182" t="n"/>
      <c r="J22" s="182" t="n"/>
      <c r="K22" s="182" t="n"/>
      <c r="L22" s="182" t="n"/>
      <c r="M22" s="186" t="n"/>
      <c r="N22" s="186" t="n"/>
      <c r="O22" s="182" t="n"/>
      <c r="P22" s="182" t="n"/>
      <c r="Q22" s="182" t="n"/>
      <c r="R22" s="182" t="n"/>
      <c r="S22" s="182" t="n"/>
      <c r="T22" s="183" t="n"/>
    </row>
    <row r="23" ht="13.5" customHeight="1">
      <c r="A23" s="184" t="n"/>
      <c r="B23" s="178" t="inlineStr">
        <is>
          <t>guardrail</t>
        </is>
      </c>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t="13.5" customHeight="1">
      <c r="A24" s="184" t="n"/>
      <c r="B24" s="178" t="n"/>
      <c r="C24" s="179" t="n"/>
      <c r="D24" s="188" t="inlineStr">
        <is>
          <t>Contract is not DRAFT anymore</t>
        </is>
      </c>
      <c r="E24" s="189" t="n"/>
      <c r="F24" s="182" t="n"/>
      <c r="G24" s="182" t="n"/>
      <c r="H24" s="186" t="inlineStr">
        <is>
          <t>O</t>
        </is>
      </c>
      <c r="I24" s="182" t="n"/>
      <c r="J24" s="182" t="n"/>
      <c r="K24" s="182" t="n"/>
      <c r="L24" s="182" t="n"/>
      <c r="M24" s="182" t="n"/>
      <c r="N24" s="182" t="n"/>
      <c r="O24" s="182" t="n"/>
      <c r="P24" s="182" t="n"/>
      <c r="Q24" s="182" t="n"/>
      <c r="R24" s="182" t="n"/>
      <c r="S24" s="182" t="n"/>
      <c r="T24" s="183" t="n"/>
    </row>
    <row r="25" ht="13.5" customHeight="1">
      <c r="A25" s="184" t="n"/>
      <c r="B25" s="178" t="inlineStr">
        <is>
          <t>Exception source</t>
        </is>
      </c>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t="13.5" customHeight="1">
      <c r="A26" s="184" t="n"/>
      <c r="B26" s="178" t="n"/>
      <c r="C26" s="179" t="n"/>
      <c r="D26" s="188" t="inlineStr">
        <is>
          <t>Send draft fails in service / controller</t>
        </is>
      </c>
      <c r="E26" s="189" t="n"/>
      <c r="F26" s="182" t="n"/>
      <c r="G26" s="182" t="n"/>
      <c r="H26" s="182" t="n"/>
      <c r="I26" s="186" t="inlineStr">
        <is>
          <t>O</t>
        </is>
      </c>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sent draft result</t>
        </is>
      </c>
      <c r="E38" s="200" t="n"/>
      <c r="F38" s="186" t="inlineStr">
        <is>
          <t>O</t>
        </is>
      </c>
      <c r="G38" s="186" t="inlineStr">
        <is>
          <t>O</t>
        </is>
      </c>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Reject non-DRAFT contract send</t>
        </is>
      </c>
      <c r="E39" s="200" t="n"/>
      <c r="F39" s="182" t="n"/>
      <c r="G39" s="186" t="n"/>
      <c r="H39" s="186" t="inlineStr">
        <is>
          <t>O</t>
        </is>
      </c>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send draft error</t>
        </is>
      </c>
      <c r="E41" s="200" t="n"/>
      <c r="F41" s="182" t="n"/>
      <c r="G41" s="182" t="n"/>
      <c r="H41" s="182" t="n"/>
      <c r="I41" s="186" t="inlineStr">
        <is>
          <t>O</t>
        </is>
      </c>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Recompute terms and contentHash, then set status SENT</t>
        </is>
      </c>
      <c r="E43" s="200" t="n"/>
      <c r="F43" s="186" t="n"/>
      <c r="G43" s="186" t="inlineStr">
        <is>
          <t>O</t>
        </is>
      </c>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Emit sent-for-signing update + participant notice</t>
        </is>
      </c>
      <c r="E44" s="200" t="n"/>
      <c r="F44" s="182" t="n"/>
      <c r="G44" s="186"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Service receives user and id</t>
        </is>
      </c>
      <c r="E45" s="200" t="n"/>
      <c r="F45" s="186" t="inlineStr">
        <is>
          <t>O</t>
        </is>
      </c>
      <c r="G45" s="182" t="n"/>
      <c r="H45" s="186" t="n"/>
      <c r="I45" s="186"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List'!E18</f>
        <v/>
      </c>
      <c r="D2" s="131" t="n"/>
      <c r="E2" s="133" t="n"/>
      <c r="F2" s="134" t="inlineStr">
        <is>
          <t>Function Name</t>
        </is>
      </c>
      <c r="G2" s="135" t="n"/>
      <c r="H2" s="135" t="n"/>
      <c r="I2" s="135" t="n"/>
      <c r="J2" s="135" t="n"/>
      <c r="K2" s="135" t="n"/>
      <c r="L2" s="136">
        <f>'Function List'!D18</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55</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discardDraft archives a pre-sign contract, cancels the shell project, unlocks the linked spec, and propagates discard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n"/>
      <c r="K12" s="186" t="n"/>
      <c r="L12" s="186" t="n"/>
      <c r="M12" s="186" t="n"/>
      <c r="N12" s="186" t="n"/>
      <c r="O12" s="186" t="n"/>
      <c r="P12" s="186" t="n"/>
      <c r="Q12" s="186" t="n"/>
      <c r="R12" s="186" t="n"/>
      <c r="S12" s="186" t="n"/>
      <c r="T12" s="187" t="n"/>
    </row>
    <row r="13" ht="13.5" customHeight="1">
      <c r="A13" s="184" t="n"/>
      <c r="B13" s="178" t="inlineStr">
        <is>
          <t>user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Current user role is BROKER</t>
        </is>
      </c>
      <c r="E14" s="189" t="n"/>
      <c r="F14" s="186" t="inlineStr">
        <is>
          <t>O</t>
        </is>
      </c>
      <c r="G14" s="186" t="inlineStr">
        <is>
          <t>O</t>
        </is>
      </c>
      <c r="H14" s="186" t="inlineStr">
        <is>
          <t>O</t>
        </is>
      </c>
      <c r="I14" s="186" t="inlineStr">
        <is>
          <t>O</t>
        </is>
      </c>
      <c r="J14" s="182" t="n"/>
      <c r="K14" s="182" t="n"/>
      <c r="L14" s="182" t="n"/>
      <c r="M14" s="182" t="n"/>
      <c r="N14" s="182" t="n"/>
      <c r="O14" s="186" t="n"/>
      <c r="P14" s="186" t="n"/>
      <c r="Q14" s="182" t="n"/>
      <c r="R14" s="182" t="n"/>
      <c r="S14" s="182" t="n"/>
      <c r="T14" s="183" t="n"/>
    </row>
    <row r="15" ht="13.5" customHeight="1">
      <c r="A15" s="184" t="n"/>
      <c r="B15" s="178" t="inlineStr">
        <is>
          <t>contractId</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Pre-sign contract id is supplied</t>
        </is>
      </c>
      <c r="E16" s="189" t="n"/>
      <c r="F16" s="186" t="inlineStr">
        <is>
          <t>O</t>
        </is>
      </c>
      <c r="G16" s="186" t="inlineStr">
        <is>
          <t>O</t>
        </is>
      </c>
      <c r="H16" s="186" t="inlineStr">
        <is>
          <t>O</t>
        </is>
      </c>
      <c r="I16" s="186" t="inlineStr">
        <is>
          <t>O</t>
        </is>
      </c>
      <c r="J16" s="186" t="n"/>
      <c r="K16" s="182" t="n"/>
      <c r="L16" s="182" t="n"/>
      <c r="M16" s="182" t="n"/>
      <c r="N16" s="182" t="n"/>
      <c r="O16" s="182" t="n"/>
      <c r="P16" s="182" t="n"/>
      <c r="Q16" s="182" t="n"/>
      <c r="R16" s="182" t="n"/>
      <c r="S16" s="182" t="n"/>
      <c r="T16" s="183" t="n"/>
    </row>
    <row r="17" ht="13.5" customHeight="1">
      <c r="A17" s="184" t="n"/>
      <c r="B17" s="178" t="inlineStr">
        <is>
          <t>status</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Contract status is DRAFT</t>
        </is>
      </c>
      <c r="E18" s="189" t="n"/>
      <c r="F18" s="182" t="n"/>
      <c r="G18" s="186" t="inlineStr">
        <is>
          <t>O</t>
        </is>
      </c>
      <c r="H18" s="186" t="inlineStr">
        <is>
          <t>O</t>
        </is>
      </c>
      <c r="I18" s="182" t="n"/>
      <c r="J18" s="182" t="n"/>
      <c r="K18" s="186" t="n"/>
      <c r="L18" s="186" t="n"/>
      <c r="M18" s="182" t="n"/>
      <c r="N18" s="182" t="n"/>
      <c r="O18" s="182" t="n"/>
      <c r="P18" s="182" t="n"/>
      <c r="Q18" s="182" t="n"/>
      <c r="R18" s="182" t="n"/>
      <c r="S18" s="182" t="n"/>
      <c r="T18" s="183" t="n"/>
    </row>
    <row r="19" ht="13.5" customHeight="1">
      <c r="A19" s="184" t="n"/>
      <c r="B19" s="178" t="n"/>
      <c r="C19" s="179" t="n"/>
      <c r="D19" s="188" t="inlineStr">
        <is>
          <t>Contract is SENT with zero signatures</t>
        </is>
      </c>
      <c r="E19" s="189" t="n"/>
      <c r="F19" s="182" t="n"/>
      <c r="G19" s="186" t="inlineStr">
        <is>
          <t>O</t>
        </is>
      </c>
      <c r="H19" s="186" t="inlineStr">
        <is>
          <t>O</t>
        </is>
      </c>
      <c r="I19" s="182" t="n"/>
      <c r="J19" s="182" t="n"/>
      <c r="K19" s="186" t="n"/>
      <c r="L19" s="182" t="n"/>
      <c r="M19" s="186" t="n"/>
      <c r="N19" s="182" t="n"/>
      <c r="O19" s="182" t="n"/>
      <c r="P19" s="182" t="n"/>
      <c r="Q19" s="182" t="n"/>
      <c r="R19" s="182" t="n"/>
      <c r="S19" s="182" t="n"/>
      <c r="T19" s="183" t="n"/>
    </row>
    <row r="20" ht="13.5" customHeight="1">
      <c r="A20" s="184" t="n"/>
      <c r="B20" s="178" t="inlineStr">
        <is>
          <t>project shell</t>
        </is>
      </c>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t="13.5" customHeight="1">
      <c r="A21" s="184" t="n"/>
      <c r="B21" s="178" t="n"/>
      <c r="C21" s="179" t="n"/>
      <c r="D21" s="188" t="inlineStr">
        <is>
          <t>Linked project can be canceled</t>
        </is>
      </c>
      <c r="E21" s="189" t="n"/>
      <c r="F21" s="182" t="n"/>
      <c r="G21" s="186" t="inlineStr">
        <is>
          <t>O</t>
        </is>
      </c>
      <c r="H21" s="186" t="inlineStr">
        <is>
          <t>O</t>
        </is>
      </c>
      <c r="I21" s="182" t="n"/>
      <c r="J21" s="182" t="n"/>
      <c r="K21" s="182" t="n"/>
      <c r="L21" s="182" t="n"/>
      <c r="M21" s="182" t="n"/>
      <c r="N21" s="182" t="n"/>
      <c r="O21" s="182" t="n"/>
      <c r="P21" s="182" t="n"/>
      <c r="Q21" s="182" t="n"/>
      <c r="R21" s="182" t="n"/>
      <c r="S21" s="182" t="n"/>
      <c r="T21" s="183" t="n"/>
    </row>
    <row r="22" ht="13.5" customHeight="1">
      <c r="A22" s="184" t="n"/>
      <c r="B22" s="178" t="inlineStr">
        <is>
          <t>spec lock</t>
        </is>
      </c>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t="13.5" customHeight="1">
      <c r="A23" s="184" t="n"/>
      <c r="B23" s="178" t="n"/>
      <c r="C23" s="179" t="n"/>
      <c r="D23" s="188" t="inlineStr">
        <is>
          <t>sourceSpec lock matches this contract</t>
        </is>
      </c>
      <c r="E23" s="189" t="n"/>
      <c r="F23" s="182" t="n"/>
      <c r="G23" s="186" t="n"/>
      <c r="H23" s="186" t="inlineStr">
        <is>
          <t>O</t>
        </is>
      </c>
      <c r="I23" s="186" t="n"/>
      <c r="J23" s="182" t="n"/>
      <c r="K23" s="182" t="n"/>
      <c r="L23" s="182" t="n"/>
      <c r="M23" s="182" t="n"/>
      <c r="N23" s="182" t="n"/>
      <c r="O23" s="182" t="n"/>
      <c r="P23" s="182" t="n"/>
      <c r="Q23" s="182" t="n"/>
      <c r="R23" s="182" t="n"/>
      <c r="S23" s="182" t="n"/>
      <c r="T23" s="183" t="n"/>
    </row>
    <row r="24" ht="13.5" customHeight="1">
      <c r="A24" s="184" t="n"/>
      <c r="B24" s="178" t="inlineStr">
        <is>
          <t>Exception source</t>
        </is>
      </c>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t="13.5" customHeight="1">
      <c r="A25" s="184" t="n"/>
      <c r="B25" s="178" t="n"/>
      <c r="C25" s="179" t="n"/>
      <c r="D25" s="188" t="inlineStr">
        <is>
          <t>Discard fails in service / controller</t>
        </is>
      </c>
      <c r="E25" s="189" t="n"/>
      <c r="F25" s="182" t="n"/>
      <c r="G25" s="182" t="n"/>
      <c r="H25" s="182" t="n"/>
      <c r="I25" s="186" t="inlineStr">
        <is>
          <t>O</t>
        </is>
      </c>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archived draft result</t>
        </is>
      </c>
      <c r="E38" s="200" t="n"/>
      <c r="F38" s="186" t="inlineStr">
        <is>
          <t>O</t>
        </is>
      </c>
      <c r="G38" s="186" t="inlineStr">
        <is>
          <t>O</t>
        </is>
      </c>
      <c r="H38" s="186" t="inlineStr">
        <is>
          <t>O</t>
        </is>
      </c>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Propagate discard error</t>
        </is>
      </c>
      <c r="E39" s="200" t="n"/>
      <c r="F39" s="182" t="n"/>
      <c r="G39" s="186" t="n"/>
      <c r="H39" s="186" t="n"/>
      <c r="I39" s="186" t="inlineStr">
        <is>
          <t>O</t>
        </is>
      </c>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Set contract status ARCHIVED and reset legal progress</t>
        </is>
      </c>
      <c r="E43" s="200" t="n"/>
      <c r="F43" s="186" t="n"/>
      <c r="G43" s="186" t="inlineStr">
        <is>
          <t>O</t>
        </is>
      </c>
      <c r="H43" s="186" t="inlineStr">
        <is>
          <t>O</t>
        </is>
      </c>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Cancel shell project</t>
        </is>
      </c>
      <c r="E44" s="200" t="n"/>
      <c r="F44" s="182" t="n"/>
      <c r="G44" s="186" t="inlineStr">
        <is>
          <t>O</t>
        </is>
      </c>
      <c r="H44" s="186" t="inlineStr">
        <is>
          <t>O</t>
        </is>
      </c>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Unlock source spec when lock matches contract id</t>
        </is>
      </c>
      <c r="E45" s="200" t="n"/>
      <c r="F45" s="182" t="n"/>
      <c r="G45" s="182" t="n"/>
      <c r="H45" s="186" t="inlineStr">
        <is>
          <t>O</t>
        </is>
      </c>
      <c r="I45" s="182" t="n"/>
      <c r="J45" s="182" t="n"/>
      <c r="K45" s="182" t="n"/>
      <c r="L45" s="182" t="n"/>
      <c r="M45" s="182" t="n"/>
      <c r="N45" s="182" t="n"/>
      <c r="O45" s="182" t="n"/>
      <c r="P45" s="182" t="n"/>
      <c r="Q45" s="182" t="n"/>
      <c r="R45" s="182" t="n"/>
      <c r="S45" s="182" t="n"/>
      <c r="T45" s="183" t="n"/>
    </row>
    <row r="46" ht="13.5" customHeight="1">
      <c r="A46" s="197" t="n"/>
      <c r="B46" s="208" t="n"/>
      <c r="C46" s="202" t="n"/>
      <c r="D46" s="203" t="inlineStr">
        <is>
          <t>Service receives user and id</t>
        </is>
      </c>
      <c r="E46" s="200" t="n"/>
      <c r="F46" s="186" t="inlineStr">
        <is>
          <t>O</t>
        </is>
      </c>
      <c r="G46" s="182" t="n"/>
      <c r="H46" s="182" t="n"/>
      <c r="I46" s="186" t="inlineStr">
        <is>
          <t>O</t>
        </is>
      </c>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List'!E19</f>
        <v/>
      </c>
      <c r="D2" s="131" t="n"/>
      <c r="E2" s="133" t="n"/>
      <c r="F2" s="134" t="inlineStr">
        <is>
          <t>Function Name</t>
        </is>
      </c>
      <c r="G2" s="135" t="n"/>
      <c r="H2" s="135" t="n"/>
      <c r="I2" s="135" t="n"/>
      <c r="J2" s="135" t="n"/>
      <c r="K2" s="135" t="n"/>
      <c r="L2" s="136">
        <f>'Function List'!D19</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112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activateProject clones runtime milestones from the frozen contract snapshot, creates escrows, updates project/contract status, and fails fast on stale runtime data.</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n"/>
      <c r="K12" s="186" t="n"/>
      <c r="L12" s="186" t="n"/>
      <c r="M12" s="186" t="n"/>
      <c r="N12" s="186" t="n"/>
      <c r="O12" s="186" t="n"/>
      <c r="P12" s="186" t="n"/>
      <c r="Q12" s="186" t="n"/>
      <c r="R12" s="186" t="n"/>
      <c r="S12" s="186" t="n"/>
      <c r="T12" s="187" t="n"/>
    </row>
    <row r="13" ht="13.5" customHeight="1">
      <c r="A13" s="184" t="n"/>
      <c r="B13" s="178" t="inlineStr">
        <is>
          <t>access rule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Current user is a contract party</t>
        </is>
      </c>
      <c r="E14" s="189" t="n"/>
      <c r="F14" s="186" t="inlineStr">
        <is>
          <t>O</t>
        </is>
      </c>
      <c r="G14" s="186" t="inlineStr">
        <is>
          <t>O</t>
        </is>
      </c>
      <c r="H14" s="186" t="inlineStr">
        <is>
          <t>O</t>
        </is>
      </c>
      <c r="I14" s="186" t="inlineStr">
        <is>
          <t>O</t>
        </is>
      </c>
      <c r="J14" s="182" t="n"/>
      <c r="K14" s="182" t="n"/>
      <c r="L14" s="182" t="n"/>
      <c r="M14" s="182" t="n"/>
      <c r="N14" s="182" t="n"/>
      <c r="O14" s="186" t="n"/>
      <c r="P14" s="186" t="n"/>
      <c r="Q14" s="182" t="n"/>
      <c r="R14" s="182" t="n"/>
      <c r="S14" s="182" t="n"/>
      <c r="T14" s="183" t="n"/>
    </row>
    <row r="15" ht="13.5" customHeight="1">
      <c r="A15" s="184" t="n"/>
      <c r="B15" s="178" t="inlineStr">
        <is>
          <t>contractId</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Signed contract id is supplied</t>
        </is>
      </c>
      <c r="E16" s="189" t="n"/>
      <c r="F16" s="186" t="inlineStr">
        <is>
          <t>O</t>
        </is>
      </c>
      <c r="G16" s="186" t="inlineStr">
        <is>
          <t>O</t>
        </is>
      </c>
      <c r="H16" s="186" t="inlineStr">
        <is>
          <t>O</t>
        </is>
      </c>
      <c r="I16" s="186" t="inlineStr">
        <is>
          <t>O</t>
        </is>
      </c>
      <c r="J16" s="186" t="n"/>
      <c r="K16" s="182" t="n"/>
      <c r="L16" s="182" t="n"/>
      <c r="M16" s="182" t="n"/>
      <c r="N16" s="182" t="n"/>
      <c r="O16" s="182" t="n"/>
      <c r="P16" s="182" t="n"/>
      <c r="Q16" s="182" t="n"/>
      <c r="R16" s="182" t="n"/>
      <c r="S16" s="182" t="n"/>
      <c r="T16" s="183" t="n"/>
    </row>
    <row r="17" ht="13.5" customHeight="1">
      <c r="A17" s="184" t="n"/>
      <c r="B17" s="178" t="inlineStr">
        <is>
          <t>contract state</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Contract is SIGNED + legally verified</t>
        </is>
      </c>
      <c r="E18" s="189" t="n"/>
      <c r="F18" s="182" t="n"/>
      <c r="G18" s="186" t="inlineStr">
        <is>
          <t>O</t>
        </is>
      </c>
      <c r="H18" s="186" t="inlineStr">
        <is>
          <t>O</t>
        </is>
      </c>
      <c r="I18" s="182" t="n"/>
      <c r="J18" s="182" t="n"/>
      <c r="K18" s="186" t="n"/>
      <c r="L18" s="186" t="n"/>
      <c r="M18" s="182" t="n"/>
      <c r="N18" s="182" t="n"/>
      <c r="O18" s="182" t="n"/>
      <c r="P18" s="182" t="n"/>
      <c r="Q18" s="182" t="n"/>
      <c r="R18" s="182" t="n"/>
      <c r="S18" s="182" t="n"/>
      <c r="T18" s="183" t="n"/>
    </row>
    <row r="19" ht="13.5" customHeight="1">
      <c r="A19" s="184" t="n"/>
      <c r="B19" s="178" t="inlineStr">
        <is>
          <t>signatures</t>
        </is>
      </c>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t="13.5" customHeight="1">
      <c r="A20" s="184" t="n"/>
      <c r="B20" s="178" t="n"/>
      <c r="C20" s="179" t="n"/>
      <c r="D20" s="188" t="inlineStr">
        <is>
          <t>All required parties have signed</t>
        </is>
      </c>
      <c r="E20" s="189" t="n"/>
      <c r="F20" s="182" t="n"/>
      <c r="G20" s="186" t="inlineStr">
        <is>
          <t>O</t>
        </is>
      </c>
      <c r="H20" s="186" t="inlineStr">
        <is>
          <t>O</t>
        </is>
      </c>
      <c r="I20" s="182" t="n"/>
      <c r="J20" s="182" t="n"/>
      <c r="K20" s="182" t="n"/>
      <c r="L20" s="186" t="n"/>
      <c r="M20" s="182" t="n"/>
      <c r="N20" s="186" t="n"/>
      <c r="O20" s="182" t="n"/>
      <c r="P20" s="182" t="n"/>
      <c r="Q20" s="182" t="n"/>
      <c r="R20" s="182" t="n"/>
      <c r="S20" s="182" t="n"/>
      <c r="T20" s="183" t="n"/>
    </row>
    <row r="21" ht="13.5" customHeight="1">
      <c r="A21" s="184" t="n"/>
      <c r="B21" s="178" t="inlineStr">
        <is>
          <t>runtime data</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No existing milestones or they match snapshot</t>
        </is>
      </c>
      <c r="E22" s="189" t="n"/>
      <c r="F22" s="186" t="n"/>
      <c r="G22" s="186" t="inlineStr">
        <is>
          <t>O</t>
        </is>
      </c>
      <c r="H22" s="182" t="n"/>
      <c r="I22" s="182" t="n"/>
      <c r="J22" s="182" t="n"/>
      <c r="K22" s="182" t="n"/>
      <c r="L22" s="182" t="n"/>
      <c r="M22" s="186" t="n"/>
      <c r="N22" s="186" t="n"/>
      <c r="O22" s="182" t="n"/>
      <c r="P22" s="182" t="n"/>
      <c r="Q22" s="182" t="n"/>
      <c r="R22" s="182" t="n"/>
      <c r="S22" s="182" t="n"/>
      <c r="T22" s="183" t="n"/>
    </row>
    <row r="23" ht="13.5" customHeight="1">
      <c r="A23" s="184" t="n"/>
      <c r="B23" s="178" t="n"/>
      <c r="C23" s="179" t="n"/>
      <c r="D23" s="188" t="inlineStr">
        <is>
          <t>Existing project milestones are stale vs snapshot</t>
        </is>
      </c>
      <c r="E23" s="189" t="n"/>
      <c r="F23" s="182" t="n"/>
      <c r="G23" s="186" t="n"/>
      <c r="H23" s="186" t="inlineStr">
        <is>
          <t>O</t>
        </is>
      </c>
      <c r="I23" s="186" t="n"/>
      <c r="J23" s="182" t="n"/>
      <c r="K23" s="182" t="n"/>
      <c r="L23" s="182" t="n"/>
      <c r="M23" s="182" t="n"/>
      <c r="N23" s="182" t="n"/>
      <c r="O23" s="182" t="n"/>
      <c r="P23" s="182" t="n"/>
      <c r="Q23" s="182" t="n"/>
      <c r="R23" s="182" t="n"/>
      <c r="S23" s="182" t="n"/>
      <c r="T23" s="183" t="n"/>
    </row>
    <row r="24" ht="13.5" customHeight="1">
      <c r="A24" s="184" t="n"/>
      <c r="B24" s="178" t="inlineStr">
        <is>
          <t>Exception source</t>
        </is>
      </c>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t="13.5" customHeight="1">
      <c r="A25" s="184" t="n"/>
      <c r="B25" s="178" t="n"/>
      <c r="C25" s="179" t="n"/>
      <c r="D25" s="188" t="inlineStr">
        <is>
          <t>Activation fails in service / controller</t>
        </is>
      </c>
      <c r="E25" s="189" t="n"/>
      <c r="F25" s="182" t="n"/>
      <c r="G25" s="182" t="n"/>
      <c r="H25" s="182" t="n"/>
      <c r="I25" s="186" t="inlineStr">
        <is>
          <t>O</t>
        </is>
      </c>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 activated project result</t>
        </is>
      </c>
      <c r="E38" s="200" t="n"/>
      <c r="F38" s="186" t="inlineStr">
        <is>
          <t>O</t>
        </is>
      </c>
      <c r="G38" s="186" t="inlineStr">
        <is>
          <t>O</t>
        </is>
      </c>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Fail fast on stale milestone mismatch</t>
        </is>
      </c>
      <c r="E39" s="200" t="n"/>
      <c r="F39" s="182" t="n"/>
      <c r="G39" s="186" t="n"/>
      <c r="H39" s="186" t="inlineStr">
        <is>
          <t>O</t>
        </is>
      </c>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activation error</t>
        </is>
      </c>
      <c r="E41" s="200" t="n"/>
      <c r="F41" s="182" t="n"/>
      <c r="G41" s="182" t="n"/>
      <c r="H41" s="182" t="n"/>
      <c r="I41" s="186" t="inlineStr">
        <is>
          <t>O</t>
        </is>
      </c>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Clone runtime milestones + create escrows from snapshot</t>
        </is>
      </c>
      <c r="E43" s="200" t="n"/>
      <c r="F43" s="186" t="n"/>
      <c r="G43" s="186" t="inlineStr">
        <is>
          <t>O</t>
        </is>
      </c>
      <c r="H43" s="182" t="n"/>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Set project IN_PROGRESS + contract ACTIVATED</t>
        </is>
      </c>
      <c r="E44" s="200" t="n"/>
      <c r="F44" s="182" t="n"/>
      <c r="G44" s="186"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Service receives user and contractId</t>
        </is>
      </c>
      <c r="E45" s="200" t="n"/>
      <c r="F45" s="186" t="inlineStr">
        <is>
          <t>O</t>
        </is>
      </c>
      <c r="G45" s="182" t="n"/>
      <c r="H45" s="186" t="n"/>
      <c r="I45" s="186"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A</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List'!E20</f>
        <v/>
      </c>
      <c r="D2" s="131" t="n"/>
      <c r="E2" s="133" t="n"/>
      <c r="F2" s="134" t="inlineStr">
        <is>
          <t>Function Name</t>
        </is>
      </c>
      <c r="G2" s="135" t="n"/>
      <c r="H2" s="135" t="n"/>
      <c r="I2" s="135" t="n"/>
      <c r="J2" s="135" t="n"/>
      <c r="K2" s="135" t="n"/>
      <c r="L2" s="136">
        <f>'Function List'!D20</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24</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Verify pdf download prefers archived artifacts, falls back to dynamic rendering when needed, writes attachment headers, and avoids partial response writes on failure.</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n"/>
      <c r="K12" s="186" t="n"/>
      <c r="L12" s="186" t="n"/>
      <c r="M12" s="186" t="n"/>
      <c r="N12" s="186" t="n"/>
      <c r="O12" s="186" t="n"/>
      <c r="P12" s="186" t="n"/>
      <c r="Q12" s="186" t="n"/>
      <c r="R12" s="186" t="n"/>
      <c r="S12" s="186" t="n"/>
      <c r="T12" s="187" t="n"/>
    </row>
    <row r="13" ht="13.5" customHeight="1">
      <c r="A13" s="184" t="n"/>
      <c r="B13" s="178" t="inlineStr">
        <is>
          <t>contractId</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Contract id is supplied</t>
        </is>
      </c>
      <c r="E14" s="189" t="n"/>
      <c r="F14" s="186" t="inlineStr">
        <is>
          <t>O</t>
        </is>
      </c>
      <c r="G14" s="186" t="inlineStr">
        <is>
          <t>O</t>
        </is>
      </c>
      <c r="H14" s="186" t="inlineStr">
        <is>
          <t>O</t>
        </is>
      </c>
      <c r="I14" s="186" t="inlineStr">
        <is>
          <t>O</t>
        </is>
      </c>
      <c r="J14" s="182" t="n"/>
      <c r="K14" s="182" t="n"/>
      <c r="L14" s="182" t="n"/>
      <c r="M14" s="182" t="n"/>
      <c r="N14" s="182" t="n"/>
      <c r="O14" s="186" t="n"/>
      <c r="P14" s="186" t="n"/>
      <c r="Q14" s="182" t="n"/>
      <c r="R14" s="182" t="n"/>
      <c r="S14" s="182" t="n"/>
      <c r="T14" s="183" t="n"/>
    </row>
    <row r="15" ht="13.5" customHeight="1">
      <c r="A15" s="184" t="n"/>
      <c r="B15" s="178" t="inlineStr">
        <is>
          <t>response</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Response object supports set + end</t>
        </is>
      </c>
      <c r="E16" s="189" t="n"/>
      <c r="F16" s="186" t="inlineStr">
        <is>
          <t>O</t>
        </is>
      </c>
      <c r="G16" s="182" t="n"/>
      <c r="H16" s="182" t="n"/>
      <c r="I16" s="186" t="inlineStr">
        <is>
          <t>O</t>
        </is>
      </c>
      <c r="J16" s="186" t="n"/>
      <c r="K16" s="182" t="n"/>
      <c r="L16" s="182" t="n"/>
      <c r="M16" s="182" t="n"/>
      <c r="N16" s="182" t="n"/>
      <c r="O16" s="182" t="n"/>
      <c r="P16" s="182" t="n"/>
      <c r="Q16" s="182" t="n"/>
      <c r="R16" s="182" t="n"/>
      <c r="S16" s="182" t="n"/>
      <c r="T16" s="183" t="n"/>
    </row>
    <row r="17" ht="13.5" customHeight="1">
      <c r="A17" s="184" t="n"/>
      <c r="B17" s="178" t="inlineStr">
        <is>
          <t>archive pdf</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Archived artifact exists</t>
        </is>
      </c>
      <c r="E18" s="189" t="n"/>
      <c r="F18" s="182" t="n"/>
      <c r="G18" s="186" t="inlineStr">
        <is>
          <t>O</t>
        </is>
      </c>
      <c r="H18" s="182" t="n"/>
      <c r="I18" s="182" t="n"/>
      <c r="J18" s="182" t="n"/>
      <c r="K18" s="186" t="n"/>
      <c r="L18" s="186" t="n"/>
      <c r="M18" s="182" t="n"/>
      <c r="N18" s="182" t="n"/>
      <c r="O18" s="182" t="n"/>
      <c r="P18" s="182" t="n"/>
      <c r="Q18" s="182" t="n"/>
      <c r="R18" s="182" t="n"/>
      <c r="S18" s="182" t="n"/>
      <c r="T18" s="183" t="n"/>
    </row>
    <row r="19" ht="13.5" customHeight="1">
      <c r="A19" s="184" t="n"/>
      <c r="B19" s="178" t="n"/>
      <c r="C19" s="179" t="n"/>
      <c r="D19" s="188" t="inlineStr">
        <is>
          <t>Archived artifact is downloadable</t>
        </is>
      </c>
      <c r="E19" s="189" t="n"/>
      <c r="F19" s="182" t="n"/>
      <c r="G19" s="186" t="inlineStr">
        <is>
          <t>O</t>
        </is>
      </c>
      <c r="H19" s="182" t="n"/>
      <c r="I19" s="182" t="n"/>
      <c r="J19" s="182" t="n"/>
      <c r="K19" s="186" t="n"/>
      <c r="L19" s="182" t="n"/>
      <c r="M19" s="186" t="n"/>
      <c r="N19" s="182" t="n"/>
      <c r="O19" s="182" t="n"/>
      <c r="P19" s="182" t="n"/>
      <c r="Q19" s="182" t="n"/>
      <c r="R19" s="182" t="n"/>
      <c r="S19" s="182" t="n"/>
      <c r="T19" s="183" t="n"/>
    </row>
    <row r="20" ht="27" customHeight="1">
      <c r="A20" s="184" t="n"/>
      <c r="B20" s="178" t="n"/>
      <c r="C20" s="179" t="n"/>
      <c r="D20" s="188" t="inlineStr">
        <is>
          <t>Archive artifact is missing so dynamic rendering is required</t>
        </is>
      </c>
      <c r="E20" s="189" t="n"/>
      <c r="F20" s="182" t="n"/>
      <c r="G20" s="182" t="n"/>
      <c r="H20" s="186" t="inlineStr">
        <is>
          <t>O</t>
        </is>
      </c>
      <c r="I20" s="182" t="n"/>
      <c r="J20" s="182" t="n"/>
      <c r="K20" s="182" t="n"/>
      <c r="L20" s="186" t="n"/>
      <c r="M20" s="182" t="n"/>
      <c r="N20" s="186" t="n"/>
      <c r="O20" s="182" t="n"/>
      <c r="P20" s="182" t="n"/>
      <c r="Q20" s="182" t="n"/>
      <c r="R20" s="182" t="n"/>
      <c r="S20" s="182" t="n"/>
      <c r="T20" s="183" t="n"/>
    </row>
    <row r="21" ht="13.5" customHeight="1">
      <c r="A21" s="184" t="n"/>
      <c r="B21" s="178" t="inlineStr">
        <is>
          <t>Exception source</t>
        </is>
      </c>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t="13.5" customHeight="1">
      <c r="A22" s="184" t="n"/>
      <c r="B22" s="178" t="n"/>
      <c r="C22" s="179" t="n"/>
      <c r="D22" s="188" t="inlineStr">
        <is>
          <t>PDF generation fails before response write</t>
        </is>
      </c>
      <c r="E22" s="189" t="n"/>
      <c r="F22" s="186" t="n"/>
      <c r="G22" s="182" t="n"/>
      <c r="H22" s="182" t="n"/>
      <c r="I22" s="186" t="inlineStr">
        <is>
          <t>O</t>
        </is>
      </c>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Set PDF attachment headers and end response buffer</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Return archived PDF buffer</t>
        </is>
      </c>
      <c r="E39" s="200" t="n"/>
      <c r="F39" s="182" t="n"/>
      <c r="G39" s="186" t="inlineStr">
        <is>
          <t>O</t>
        </is>
      </c>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Propagate pdf generation error</t>
        </is>
      </c>
      <c r="E41" s="200" t="n"/>
      <c r="F41" s="182" t="n"/>
      <c r="G41" s="182" t="n"/>
      <c r="H41" s="182" t="n"/>
      <c r="I41" s="186" t="inlineStr">
        <is>
          <t>O</t>
        </is>
      </c>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Fallback to dynamic PDF rendering</t>
        </is>
      </c>
      <c r="E43" s="200" t="n"/>
      <c r="F43" s="186" t="n"/>
      <c r="G43" s="182" t="n"/>
      <c r="H43" s="186" t="inlineStr">
        <is>
          <t>O</t>
        </is>
      </c>
      <c r="I43" s="182" t="n"/>
      <c r="J43" s="182" t="n"/>
      <c r="K43" s="182" t="n"/>
      <c r="L43" s="182" t="n"/>
      <c r="M43" s="182" t="n"/>
      <c r="N43" s="182" t="n"/>
      <c r="O43" s="182" t="n"/>
      <c r="P43" s="182" t="n"/>
      <c r="Q43" s="182" t="n"/>
      <c r="R43" s="182" t="n"/>
      <c r="S43" s="182" t="n"/>
      <c r="T43" s="183" t="n"/>
    </row>
    <row r="44" ht="13.5" customHeight="1">
      <c r="A44" s="197" t="n"/>
      <c r="B44" s="208" t="n"/>
      <c r="C44" s="202" t="n"/>
      <c r="D44" s="203" t="inlineStr">
        <is>
          <t>Do not write response when service fails</t>
        </is>
      </c>
      <c r="E44" s="200" t="n"/>
      <c r="F44" s="182" t="n"/>
      <c r="G44" s="186" t="n"/>
      <c r="H44" s="182" t="n"/>
      <c r="I44" s="186" t="inlineStr">
        <is>
          <t>O</t>
        </is>
      </c>
      <c r="J44" s="182" t="n"/>
      <c r="K44" s="182" t="n"/>
      <c r="L44" s="182" t="n"/>
      <c r="M44" s="182" t="n"/>
      <c r="N44" s="182" t="n"/>
      <c r="O44" s="182" t="n"/>
      <c r="P44" s="182" t="n"/>
      <c r="Q44" s="182" t="n"/>
      <c r="R44" s="182" t="n"/>
      <c r="S44" s="182" t="n"/>
      <c r="T44" s="183" t="n"/>
    </row>
    <row r="45" ht="13.5" customHeight="1">
      <c r="A45" s="197" t="n"/>
      <c r="B45" s="208" t="n"/>
      <c r="C45" s="202" t="n"/>
      <c r="D45" s="203" t="inlineStr">
        <is>
          <t>Service receives user and contractId</t>
        </is>
      </c>
      <c r="E45" s="200" t="n"/>
      <c r="F45" s="186" t="inlineStr">
        <is>
          <t>O</t>
        </is>
      </c>
      <c r="G45" s="182" t="n"/>
      <c r="H45" s="186" t="n"/>
      <c r="I45" s="186"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List'!E21</f>
        <v/>
      </c>
      <c r="D2" s="131" t="n"/>
      <c r="E2" s="133" t="n"/>
      <c r="F2" s="134" t="inlineStr">
        <is>
          <t>Function Name</t>
        </is>
      </c>
      <c r="G2" s="135" t="n"/>
      <c r="H2" s="135" t="n"/>
      <c r="I2" s="135" t="n"/>
      <c r="J2" s="135" t="n"/>
      <c r="K2" s="135" t="n"/>
      <c r="L2" s="136">
        <f>'Function List'!D21</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25</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/payment-methods with executed evidence for masked bank output, vaulted PayPal email fallback, empty-list handling, and unsupported-role rejection before service execution.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n"/>
      <c r="K12" s="186" t="n"/>
      <c r="L12" s="186" t="n"/>
      <c r="M12" s="186" t="n"/>
      <c r="N12" s="186" t="n"/>
      <c r="O12" s="186" t="n"/>
      <c r="P12" s="186" t="n"/>
      <c r="Q12" s="186" t="n"/>
      <c r="R12" s="186" t="n"/>
      <c r="S12" s="186" t="n"/>
      <c r="T12" s="187" t="n"/>
    </row>
    <row r="13" ht="13.5" customHeight="1">
      <c r="A13" s="184" t="n"/>
      <c r="B13" s="178" t="inlineStr">
        <is>
          <t>account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Role is supported for payment-method management</t>
        </is>
      </c>
      <c r="E14" s="189" t="n"/>
      <c r="F14" s="186" t="inlineStr">
        <is>
          <t>O</t>
        </is>
      </c>
      <c r="G14" s="186" t="inlineStr">
        <is>
          <t>O</t>
        </is>
      </c>
      <c r="H14" s="186" t="inlineStr">
        <is>
          <t>O</t>
        </is>
      </c>
      <c r="I14" s="186" t="n"/>
      <c r="J14" s="182" t="n"/>
      <c r="K14" s="182" t="n"/>
      <c r="L14" s="182" t="n"/>
      <c r="M14" s="182" t="n"/>
      <c r="N14" s="182" t="n"/>
      <c r="O14" s="186" t="n"/>
      <c r="P14" s="186" t="n"/>
      <c r="Q14" s="182" t="n"/>
      <c r="R14" s="182" t="n"/>
      <c r="S14" s="182" t="n"/>
      <c r="T14" s="183" t="n"/>
    </row>
    <row r="15" ht="13.5" customHeight="1">
      <c r="A15" s="184" t="n"/>
      <c r="B15" s="178" t="n"/>
      <c r="C15" s="179" t="n"/>
      <c r="D15" s="188" t="inlineStr">
        <is>
          <t>Role is unsupported for payment-method management</t>
        </is>
      </c>
      <c r="E15" s="189" t="n"/>
      <c r="F15" s="182" t="n"/>
      <c r="G15" s="186" t="n"/>
      <c r="H15" s="186" t="n"/>
      <c r="I15" s="186" t="inlineStr">
        <is>
          <t>O</t>
        </is>
      </c>
      <c r="J15" s="182" t="n"/>
      <c r="K15" s="182" t="n"/>
      <c r="L15" s="182" t="n"/>
      <c r="M15" s="182" t="n"/>
      <c r="N15" s="182" t="n"/>
      <c r="O15" s="182" t="n"/>
      <c r="P15" s="182" t="n"/>
      <c r="Q15" s="182" t="n"/>
      <c r="R15" s="182" t="n"/>
      <c r="S15" s="182" t="n"/>
      <c r="T15" s="183" t="n"/>
    </row>
    <row r="16" ht="13.5" customHeight="1">
      <c r="A16" s="184" t="n"/>
      <c r="B16" s="178" t="inlineStr">
        <is>
          <t>saved methods</t>
        </is>
      </c>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t="13.5" customHeight="1">
      <c r="A17" s="184" t="n"/>
      <c r="B17" s="178" t="n"/>
      <c r="C17" s="179" t="n"/>
      <c r="D17" s="188" t="inlineStr">
        <is>
          <t>User has a saved bank account method</t>
        </is>
      </c>
      <c r="E17" s="189" t="n"/>
      <c r="F17" s="186" t="inlineStr">
        <is>
          <t>O</t>
        </is>
      </c>
      <c r="G17" s="182" t="n"/>
      <c r="H17" s="182" t="n"/>
      <c r="I17" s="182" t="n"/>
      <c r="J17" s="182" t="n"/>
      <c r="K17" s="186" t="n"/>
      <c r="L17" s="182" t="n"/>
      <c r="M17" s="182" t="n"/>
      <c r="N17" s="182" t="n"/>
      <c r="O17" s="182" t="n"/>
      <c r="P17" s="182" t="n"/>
      <c r="Q17" s="182" t="n"/>
      <c r="R17" s="182" t="n"/>
      <c r="S17" s="182" t="n"/>
      <c r="T17" s="183" t="n"/>
    </row>
    <row r="18" ht="27" customHeight="1">
      <c r="A18" s="184" t="n"/>
      <c r="B18" s="178" t="n"/>
      <c r="C18" s="179" t="n"/>
      <c r="D18" s="188" t="inlineStr">
        <is>
          <t>User has a vaulted PayPal method with metadata email only</t>
        </is>
      </c>
      <c r="E18" s="189" t="n"/>
      <c r="F18" s="182" t="n"/>
      <c r="G18" s="186" t="inlineStr">
        <is>
          <t>O</t>
        </is>
      </c>
      <c r="H18" s="182" t="n"/>
      <c r="I18" s="182" t="n"/>
      <c r="J18" s="182" t="n"/>
      <c r="K18" s="186" t="n"/>
      <c r="L18" s="186" t="n"/>
      <c r="M18" s="182" t="n"/>
      <c r="N18" s="182" t="n"/>
      <c r="O18" s="182" t="n"/>
      <c r="P18" s="182" t="n"/>
      <c r="Q18" s="182" t="n"/>
      <c r="R18" s="182" t="n"/>
      <c r="S18" s="182" t="n"/>
      <c r="T18" s="183" t="n"/>
    </row>
    <row r="19" ht="13.5" customHeight="1">
      <c r="A19" s="184" t="n"/>
      <c r="B19" s="178" t="n"/>
      <c r="C19" s="179" t="n"/>
      <c r="D19" s="188" t="inlineStr">
        <is>
          <t>User has no saved payment methods</t>
        </is>
      </c>
      <c r="E19" s="189" t="n"/>
      <c r="F19" s="182" t="n"/>
      <c r="G19" s="182" t="n"/>
      <c r="H19" s="186" t="inlineStr">
        <is>
          <t>O</t>
        </is>
      </c>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saved payment method list</t>
        </is>
      </c>
      <c r="E38" s="200" t="n"/>
      <c r="F38" s="186" t="inlineStr">
        <is>
          <t>O</t>
        </is>
      </c>
      <c r="G38" s="186" t="inlineStr">
        <is>
          <t>O</t>
        </is>
      </c>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returns empty array</t>
        </is>
      </c>
      <c r="E39" s="200" t="n"/>
      <c r="F39" s="182" t="n"/>
      <c r="G39" s="186" t="n"/>
      <c r="H39" s="186" t="inlineStr">
        <is>
          <t>O</t>
        </is>
      </c>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27" customHeight="1">
      <c r="A41" s="197" t="n"/>
      <c r="B41" s="204" t="n"/>
      <c r="C41" s="205" t="n"/>
      <c r="D41" s="207" t="inlineStr">
        <is>
          <t>ForbiddenException: unsupported role cannot list payment methods</t>
        </is>
      </c>
      <c r="E41" s="200" t="n"/>
      <c r="F41" s="182" t="n"/>
      <c r="G41" s="182" t="n"/>
      <c r="H41" s="182" t="n"/>
      <c r="I41" s="186" t="inlineStr">
        <is>
          <t>O</t>
        </is>
      </c>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masks bank account numbers in the response payload</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t="27" customHeight="1">
      <c r="A44" s="197" t="n"/>
      <c r="B44" s="208" t="n"/>
      <c r="C44" s="202" t="n"/>
      <c r="D44" s="203" t="inlineStr">
        <is>
          <t>falls back to vaulted payer email when paypalEmail is empty</t>
        </is>
      </c>
      <c r="E44" s="200" t="n"/>
      <c r="F44" s="182" t="n"/>
      <c r="G44" s="186"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calls listForUser with authenticated user.id</t>
        </is>
      </c>
      <c r="E45" s="200" t="n"/>
      <c r="F45" s="186" t="inlineStr">
        <is>
          <t>O</t>
        </is>
      </c>
      <c r="G45" s="186" t="inlineStr">
        <is>
          <t>O</t>
        </is>
      </c>
      <c r="H45" s="186" t="inlineStr">
        <is>
          <t>O</t>
        </is>
      </c>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B</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List'!E22</f>
        <v/>
      </c>
      <c r="D2" s="131" t="n"/>
      <c r="E2" s="133" t="n"/>
      <c r="F2" s="134" t="inlineStr">
        <is>
          <t>Function Name</t>
        </is>
      </c>
      <c r="G2" s="135" t="n"/>
      <c r="H2" s="135" t="n"/>
      <c r="I2" s="135" t="n"/>
      <c r="J2" s="135" t="n"/>
      <c r="K2" s="135" t="n"/>
      <c r="L2" s="136">
        <f>'Function List'!D22</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41</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POST /payment-methods with executed evidence for first-method default promotion, card creation, invalid card expiry, incomplete bank payload rejection, and unsupported-role blocking.</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inlineStr">
        <is>
          <t>O</t>
        </is>
      </c>
      <c r="J12" s="186" t="inlineStr">
        <is>
          <t>O</t>
        </is>
      </c>
      <c r="K12" s="186" t="n"/>
      <c r="L12" s="186" t="n"/>
      <c r="M12" s="186" t="n"/>
      <c r="N12" s="186" t="n"/>
      <c r="O12" s="186" t="n"/>
      <c r="P12" s="186" t="n"/>
      <c r="Q12" s="186" t="n"/>
      <c r="R12" s="186" t="n"/>
      <c r="S12" s="186" t="n"/>
      <c r="T12" s="187" t="n"/>
    </row>
    <row r="13" ht="13.5" customHeight="1">
      <c r="A13" s="184" t="n"/>
      <c r="B13" s="178" t="inlineStr">
        <is>
          <t>account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Role is supported for payment-method management</t>
        </is>
      </c>
      <c r="E14" s="189" t="n"/>
      <c r="F14" s="186" t="inlineStr">
        <is>
          <t>O</t>
        </is>
      </c>
      <c r="G14" s="186" t="inlineStr">
        <is>
          <t>O</t>
        </is>
      </c>
      <c r="H14" s="186" t="inlineStr">
        <is>
          <t>O</t>
        </is>
      </c>
      <c r="I14" s="186" t="inlineStr">
        <is>
          <t>O</t>
        </is>
      </c>
      <c r="J14" s="182" t="n"/>
      <c r="K14" s="182" t="n"/>
      <c r="L14" s="182" t="n"/>
      <c r="M14" s="182" t="n"/>
      <c r="N14" s="182" t="n"/>
      <c r="O14" s="186" t="n"/>
      <c r="P14" s="186" t="n"/>
      <c r="Q14" s="182" t="n"/>
      <c r="R14" s="182" t="n"/>
      <c r="S14" s="182" t="n"/>
      <c r="T14" s="183" t="n"/>
    </row>
    <row r="15" ht="13.5" customHeight="1">
      <c r="A15" s="184" t="n"/>
      <c r="B15" s="178" t="n"/>
      <c r="C15" s="179" t="n"/>
      <c r="D15" s="188" t="inlineStr">
        <is>
          <t>Role is unsupported for payment-method management</t>
        </is>
      </c>
      <c r="E15" s="189" t="n"/>
      <c r="F15" s="182" t="n"/>
      <c r="G15" s="186" t="n"/>
      <c r="H15" s="186" t="n"/>
      <c r="I15" s="182" t="n"/>
      <c r="J15" s="186" t="inlineStr">
        <is>
          <t>O</t>
        </is>
      </c>
      <c r="K15" s="182" t="n"/>
      <c r="L15" s="182" t="n"/>
      <c r="M15" s="182" t="n"/>
      <c r="N15" s="182" t="n"/>
      <c r="O15" s="182" t="n"/>
      <c r="P15" s="182" t="n"/>
      <c r="Q15" s="182" t="n"/>
      <c r="R15" s="182" t="n"/>
      <c r="S15" s="182" t="n"/>
      <c r="T15" s="183" t="n"/>
    </row>
    <row r="16" ht="13.5" customHeight="1">
      <c r="A16" s="184" t="n"/>
      <c r="B16" s="178" t="inlineStr">
        <is>
          <t>payment type</t>
        </is>
      </c>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t="13.5" customHeight="1">
      <c r="A17" s="184" t="n"/>
      <c r="B17" s="178" t="n"/>
      <c r="C17" s="179" t="n"/>
      <c r="D17" s="188" t="inlineStr">
        <is>
          <t>Payload type is PAYPAL_ACCOUNT</t>
        </is>
      </c>
      <c r="E17" s="189" t="n"/>
      <c r="F17" s="186" t="inlineStr">
        <is>
          <t>O</t>
        </is>
      </c>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Payload type is CARD_ACCOUNT</t>
        </is>
      </c>
      <c r="E18" s="189" t="n"/>
      <c r="F18" s="182" t="n"/>
      <c r="G18" s="186" t="inlineStr">
        <is>
          <t>O</t>
        </is>
      </c>
      <c r="H18" s="186" t="inlineStr">
        <is>
          <t>O</t>
        </is>
      </c>
      <c r="I18" s="182" t="n"/>
      <c r="J18" s="182" t="n"/>
      <c r="K18" s="186" t="n"/>
      <c r="L18" s="186" t="n"/>
      <c r="M18" s="182" t="n"/>
      <c r="N18" s="182" t="n"/>
      <c r="O18" s="182" t="n"/>
      <c r="P18" s="182" t="n"/>
      <c r="Q18" s="182" t="n"/>
      <c r="R18" s="182" t="n"/>
      <c r="S18" s="182" t="n"/>
      <c r="T18" s="183" t="n"/>
    </row>
    <row r="19" ht="27" customHeight="1">
      <c r="A19" s="184" t="n"/>
      <c r="B19" s="178" t="n"/>
      <c r="C19" s="179" t="n"/>
      <c r="D19" s="188" t="inlineStr">
        <is>
          <t>Payload type is BANK_ACCOUNT with incomplete required fields</t>
        </is>
      </c>
      <c r="E19" s="189" t="n"/>
      <c r="F19" s="182" t="n"/>
      <c r="G19" s="182" t="n"/>
      <c r="H19" s="182" t="n"/>
      <c r="I19" s="186" t="inlineStr">
        <is>
          <t>O</t>
        </is>
      </c>
      <c r="J19" s="182" t="n"/>
      <c r="K19" s="186" t="n"/>
      <c r="L19" s="182" t="n"/>
      <c r="M19" s="186" t="n"/>
      <c r="N19" s="182" t="n"/>
      <c r="O19" s="182" t="n"/>
      <c r="P19" s="182" t="n"/>
      <c r="Q19" s="182" t="n"/>
      <c r="R19" s="182" t="n"/>
      <c r="S19" s="182" t="n"/>
      <c r="T19" s="183" t="n"/>
    </row>
    <row r="20" ht="13.5" customHeight="1">
      <c r="A20" s="184" t="n"/>
      <c r="B20" s="178" t="inlineStr">
        <is>
          <t>default rule</t>
        </is>
      </c>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t="13.5" customHeight="1">
      <c r="A21" s="184" t="n"/>
      <c r="B21" s="178" t="n"/>
      <c r="C21" s="179" t="n"/>
      <c r="D21" s="188" t="inlineStr">
        <is>
          <t>This is the first saved method for the user</t>
        </is>
      </c>
      <c r="E21" s="189" t="n"/>
      <c r="F21" s="186" t="inlineStr">
        <is>
          <t>O</t>
        </is>
      </c>
      <c r="G21" s="182" t="n"/>
      <c r="H21" s="182" t="n"/>
      <c r="I21" s="182" t="n"/>
      <c r="J21" s="182" t="n"/>
      <c r="K21" s="182" t="n"/>
      <c r="L21" s="182" t="n"/>
      <c r="M21" s="182" t="n"/>
      <c r="N21" s="182" t="n"/>
      <c r="O21" s="182" t="n"/>
      <c r="P21" s="182" t="n"/>
      <c r="Q21" s="182" t="n"/>
      <c r="R21" s="182" t="n"/>
      <c r="S21" s="182" t="n"/>
      <c r="T21" s="183" t="n"/>
    </row>
    <row r="22" ht="13.5" customHeight="1">
      <c r="A22" s="184" t="n"/>
      <c r="B22" s="178" t="inlineStr">
        <is>
          <t>card expiry</t>
        </is>
      </c>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t="13.5" customHeight="1">
      <c r="A23" s="184" t="n"/>
      <c r="B23" s="178" t="n"/>
      <c r="C23" s="179" t="n"/>
      <c r="D23" s="188" t="inlineStr">
        <is>
          <t>Card expiry month/year is already expired</t>
        </is>
      </c>
      <c r="E23" s="189" t="n"/>
      <c r="F23" s="182" t="n"/>
      <c r="G23" s="186" t="n"/>
      <c r="H23" s="186" t="inlineStr">
        <is>
          <t>O</t>
        </is>
      </c>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created PayPal method with isDefault = TRUE</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returns created card method with masked card metadata</t>
        </is>
      </c>
      <c r="E39" s="200" t="n"/>
      <c r="F39" s="182" t="n"/>
      <c r="G39" s="186" t="inlineStr">
        <is>
          <t>O</t>
        </is>
      </c>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BadRequestException: expired card payload</t>
        </is>
      </c>
      <c r="E41" s="200" t="n"/>
      <c r="F41" s="182" t="n"/>
      <c r="G41" s="182" t="n"/>
      <c r="H41" s="186" t="inlineStr">
        <is>
          <t>O</t>
        </is>
      </c>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3" t="inlineStr">
        <is>
          <t>BadRequestException: incomplete bank account payload</t>
        </is>
      </c>
      <c r="E42" s="200" t="n"/>
      <c r="F42" s="182" t="n"/>
      <c r="G42" s="182" t="n"/>
      <c r="H42" s="182" t="n"/>
      <c r="I42" s="186" t="inlineStr">
        <is>
          <t>O</t>
        </is>
      </c>
      <c r="J42" s="182" t="n"/>
      <c r="K42" s="182" t="n"/>
      <c r="L42" s="182" t="n"/>
      <c r="M42" s="182" t="n"/>
      <c r="N42" s="182" t="n"/>
      <c r="O42" s="182" t="n"/>
      <c r="P42" s="182" t="n"/>
      <c r="Q42" s="182" t="n"/>
      <c r="R42" s="182" t="n"/>
      <c r="S42" s="182" t="n"/>
      <c r="T42" s="183" t="n"/>
    </row>
    <row r="43" ht="27" customHeight="1">
      <c r="A43" s="197" t="n"/>
      <c r="B43" s="208" t="n"/>
      <c r="C43" s="202" t="n"/>
      <c r="D43" s="203" t="inlineStr">
        <is>
          <t>auto-clears previous defaults when the first method becomes default</t>
        </is>
      </c>
      <c r="E43" s="200" t="n"/>
      <c r="F43" s="186" t="inlineStr">
        <is>
          <t>O</t>
        </is>
      </c>
      <c r="G43" s="182" t="n"/>
      <c r="H43" s="182" t="n"/>
      <c r="I43" s="182" t="n"/>
      <c r="J43" s="186" t="inlineStr">
        <is>
          <t>O</t>
        </is>
      </c>
      <c r="K43" s="182" t="n"/>
      <c r="L43" s="182" t="n"/>
      <c r="M43" s="182" t="n"/>
      <c r="N43" s="182" t="n"/>
      <c r="O43" s="182" t="n"/>
      <c r="P43" s="182" t="n"/>
      <c r="Q43" s="182" t="n"/>
      <c r="R43" s="182" t="n"/>
      <c r="S43" s="182" t="n"/>
      <c r="T43" s="183" t="n"/>
    </row>
    <row r="44" ht="27" customHeight="1">
      <c r="A44" s="197" t="n"/>
      <c r="B44" s="208" t="n"/>
      <c r="C44" s="202" t="n"/>
      <c r="D44" s="203" t="inlineStr">
        <is>
          <t>builds displayName from the saved payment-method payload</t>
        </is>
      </c>
      <c r="E44" s="200" t="n"/>
      <c r="F44" s="186" t="inlineStr">
        <is>
          <t>O</t>
        </is>
      </c>
      <c r="G44" s="186" t="inlineStr">
        <is>
          <t>O</t>
        </is>
      </c>
      <c r="H44" s="182" t="n"/>
      <c r="I44" s="182" t="n"/>
      <c r="J44" s="182" t="n"/>
      <c r="K44" s="182" t="n"/>
      <c r="L44" s="182" t="n"/>
      <c r="M44" s="182" t="n"/>
      <c r="N44" s="182" t="n"/>
      <c r="O44" s="182" t="n"/>
      <c r="P44" s="182" t="n"/>
      <c r="Q44" s="182" t="n"/>
      <c r="R44" s="182" t="n"/>
      <c r="S44" s="182" t="n"/>
      <c r="T44" s="183" t="n"/>
    </row>
    <row r="45" ht="13.5" customHeight="1">
      <c r="A45" s="197" t="n"/>
      <c r="B45" s="208" t="n"/>
      <c r="C45" s="202" t="n"/>
      <c r="D45" s="203" t="inlineStr">
        <is>
          <t>calls createForUser with authenticated user.id and dto</t>
        </is>
      </c>
      <c r="E45" s="200" t="n"/>
      <c r="F45" s="186" t="inlineStr">
        <is>
          <t>O</t>
        </is>
      </c>
      <c r="G45" s="186" t="inlineStr">
        <is>
          <t>O</t>
        </is>
      </c>
      <c r="H45" s="186" t="inlineStr">
        <is>
          <t>O</t>
        </is>
      </c>
      <c r="I45" s="186" t="inlineStr">
        <is>
          <t>O</t>
        </is>
      </c>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N</t>
        </is>
      </c>
      <c r="H50" s="215" t="inlineStr">
        <is>
          <t>B</t>
        </is>
      </c>
      <c r="I50" s="215" t="inlineStr">
        <is>
          <t>A</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List'!E23</f>
        <v/>
      </c>
      <c r="D2" s="131" t="n"/>
      <c r="E2" s="133" t="n"/>
      <c r="F2" s="134" t="inlineStr">
        <is>
          <t>Function Name</t>
        </is>
      </c>
      <c r="G2" s="135" t="n"/>
      <c r="H2" s="135" t="n"/>
      <c r="I2" s="135" t="n"/>
      <c r="J2" s="135" t="n"/>
      <c r="K2" s="135" t="n"/>
      <c r="L2" s="136">
        <f>'Function List'!D23</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20</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PATCH /payment-methods/:id/default with executed evidence for successful default switching, missing-method rejection, and unsupported-role blocking before service execution.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n"/>
      <c r="J12" s="186" t="n"/>
      <c r="K12" s="186" t="n"/>
      <c r="L12" s="186" t="n"/>
      <c r="M12" s="186" t="n"/>
      <c r="N12" s="186" t="n"/>
      <c r="O12" s="186" t="n"/>
      <c r="P12" s="186" t="n"/>
      <c r="Q12" s="186" t="n"/>
      <c r="R12" s="186" t="n"/>
      <c r="S12" s="186" t="n"/>
      <c r="T12" s="187" t="n"/>
    </row>
    <row r="13" ht="13.5" customHeight="1">
      <c r="A13" s="184" t="n"/>
      <c r="B13" s="178" t="inlineStr">
        <is>
          <t>account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Role is supported for payment-method management</t>
        </is>
      </c>
      <c r="E14" s="189" t="n"/>
      <c r="F14" s="186" t="inlineStr">
        <is>
          <t>O</t>
        </is>
      </c>
      <c r="G14" s="186" t="inlineStr">
        <is>
          <t>O</t>
        </is>
      </c>
      <c r="H14" s="182" t="n"/>
      <c r="I14" s="186" t="n"/>
      <c r="J14" s="182" t="n"/>
      <c r="K14" s="182" t="n"/>
      <c r="L14" s="182" t="n"/>
      <c r="M14" s="182" t="n"/>
      <c r="N14" s="182" t="n"/>
      <c r="O14" s="186" t="n"/>
      <c r="P14" s="186" t="n"/>
      <c r="Q14" s="182" t="n"/>
      <c r="R14" s="182" t="n"/>
      <c r="S14" s="182" t="n"/>
      <c r="T14" s="183" t="n"/>
    </row>
    <row r="15" ht="13.5" customHeight="1">
      <c r="A15" s="184" t="n"/>
      <c r="B15" s="178" t="n"/>
      <c r="C15" s="179" t="n"/>
      <c r="D15" s="188" t="inlineStr">
        <is>
          <t>Role is unsupported for payment-method management</t>
        </is>
      </c>
      <c r="E15" s="189" t="n"/>
      <c r="F15" s="182" t="n"/>
      <c r="G15" s="186" t="n"/>
      <c r="H15" s="186" t="inlineStr">
        <is>
          <t>O</t>
        </is>
      </c>
      <c r="I15" s="182" t="n"/>
      <c r="J15" s="182" t="n"/>
      <c r="K15" s="182" t="n"/>
      <c r="L15" s="182" t="n"/>
      <c r="M15" s="182" t="n"/>
      <c r="N15" s="182" t="n"/>
      <c r="O15" s="182" t="n"/>
      <c r="P15" s="182" t="n"/>
      <c r="Q15" s="182" t="n"/>
      <c r="R15" s="182" t="n"/>
      <c r="S15" s="182" t="n"/>
      <c r="T15" s="183" t="n"/>
    </row>
    <row r="16" ht="13.5" customHeight="1">
      <c r="A16" s="184" t="n"/>
      <c r="B16" s="178" t="inlineStr">
        <is>
          <t>paymentMethodId</t>
        </is>
      </c>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t="13.5" customHeight="1">
      <c r="A17" s="184" t="n"/>
      <c r="B17" s="178" t="n"/>
      <c r="C17" s="179" t="n"/>
      <c r="D17" s="188" t="inlineStr">
        <is>
          <t>Saved payment method id is supplied</t>
        </is>
      </c>
      <c r="E17" s="189" t="n"/>
      <c r="F17" s="186" t="inlineStr">
        <is>
          <t>O</t>
        </is>
      </c>
      <c r="G17" s="182" t="n"/>
      <c r="H17" s="182" t="n"/>
      <c r="I17" s="182" t="n"/>
      <c r="J17" s="182" t="n"/>
      <c r="K17" s="186" t="n"/>
      <c r="L17" s="182" t="n"/>
      <c r="M17" s="182" t="n"/>
      <c r="N17" s="182" t="n"/>
      <c r="O17" s="182" t="n"/>
      <c r="P17" s="182" t="n"/>
      <c r="Q17" s="182" t="n"/>
      <c r="R17" s="182" t="n"/>
      <c r="S17" s="182" t="n"/>
      <c r="T17" s="183" t="n"/>
    </row>
    <row r="18" ht="27" customHeight="1">
      <c r="A18" s="184" t="n"/>
      <c r="B18" s="178" t="n"/>
      <c r="C18" s="179" t="n"/>
      <c r="D18" s="188" t="inlineStr">
        <is>
          <t>Target payment method id does not exist for the current user</t>
        </is>
      </c>
      <c r="E18" s="189" t="n"/>
      <c r="F18" s="182" t="n"/>
      <c r="G18" s="186" t="inlineStr">
        <is>
          <t>O</t>
        </is>
      </c>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selected payment method with isDefault = TRUE</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27" customHeight="1">
      <c r="A41" s="197" t="n"/>
      <c r="B41" s="204" t="n"/>
      <c r="C41" s="205" t="n"/>
      <c r="D41" s="207" t="inlineStr">
        <is>
          <t>NotFoundException: payment method does not exist for the current user</t>
        </is>
      </c>
      <c r="E41" s="200" t="n"/>
      <c r="F41" s="182" t="n"/>
      <c r="G41" s="186" t="inlineStr">
        <is>
          <t>O</t>
        </is>
      </c>
      <c r="H41" s="182" t="n"/>
      <c r="I41" s="186" t="n"/>
      <c r="J41" s="182" t="n"/>
      <c r="K41" s="186" t="n"/>
      <c r="L41" s="182" t="n"/>
      <c r="M41" s="182" t="n"/>
      <c r="N41" s="182" t="n"/>
      <c r="O41" s="182" t="n"/>
      <c r="P41" s="182" t="n"/>
      <c r="Q41" s="182" t="n"/>
      <c r="R41" s="182" t="n"/>
      <c r="S41" s="182" t="n"/>
      <c r="T41" s="183" t="n"/>
    </row>
    <row r="42" ht="27" customHeight="1">
      <c r="A42" s="197" t="n"/>
      <c r="B42" s="208" t="inlineStr">
        <is>
          <t>Verification</t>
        </is>
      </c>
      <c r="C42" s="202" t="n"/>
      <c r="D42" s="203" t="inlineStr">
        <is>
          <t>ForbiddenException: unsupported role cannot set default payment method</t>
        </is>
      </c>
      <c r="E42" s="200" t="n"/>
      <c r="F42" s="182" t="n"/>
      <c r="G42" s="182" t="n"/>
      <c r="H42" s="186" t="inlineStr">
        <is>
          <t>O</t>
        </is>
      </c>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clears any previous default before saving the selected method</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t="27" customHeight="1">
      <c r="A44" s="197" t="n"/>
      <c r="B44" s="208" t="n"/>
      <c r="C44" s="202" t="n"/>
      <c r="D44" s="203" t="inlineStr">
        <is>
          <t>calls setDefault with authenticated user.id and payment method id</t>
        </is>
      </c>
      <c r="E44" s="200" t="n"/>
      <c r="F44" s="186" t="inlineStr">
        <is>
          <t>O</t>
        </is>
      </c>
      <c r="G44" s="186" t="inlineStr">
        <is>
          <t>O</t>
        </is>
      </c>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A</t>
        </is>
      </c>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List'!E24</f>
        <v/>
      </c>
      <c r="D2" s="131" t="n"/>
      <c r="E2" s="133" t="n"/>
      <c r="F2" s="134" t="inlineStr">
        <is>
          <t>Function Name</t>
        </is>
      </c>
      <c r="G2" s="135" t="n"/>
      <c r="H2" s="135" t="n"/>
      <c r="I2" s="135" t="n"/>
      <c r="J2" s="135" t="n"/>
      <c r="K2" s="135" t="n"/>
      <c r="L2" s="136">
        <f>'Function List'!D24</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172</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milestone funding from controller header validation down to funding-service branches, including successful funding, card/sandbox flow, idempotent replay, key reuse conflicts, role checks, gateway checks, and escrow guardrails.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inlineStr">
        <is>
          <t>UTCID06</t>
        </is>
      </c>
      <c r="L9" s="174" t="inlineStr">
        <is>
          <t>UTCID07</t>
        </is>
      </c>
      <c r="M9" s="174" t="inlineStr">
        <is>
          <t>UTCID08</t>
        </is>
      </c>
      <c r="N9" s="174" t="inlineStr">
        <is>
          <t>UTCID09</t>
        </is>
      </c>
      <c r="O9" s="174" t="inlineStr">
        <is>
          <t>UTCID10</t>
        </is>
      </c>
      <c r="P9" s="174" t="inlineStr">
        <is>
          <t>UTCID11</t>
        </is>
      </c>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n"/>
      <c r="G12" s="186" t="inlineStr">
        <is>
          <t>O</t>
        </is>
      </c>
      <c r="H12" s="186" t="inlineStr">
        <is>
          <t>O</t>
        </is>
      </c>
      <c r="I12" s="186" t="inlineStr">
        <is>
          <t>O</t>
        </is>
      </c>
      <c r="J12" s="186" t="inlineStr">
        <is>
          <t>O</t>
        </is>
      </c>
      <c r="K12" s="186" t="n"/>
      <c r="L12" s="186" t="n"/>
      <c r="M12" s="186" t="n"/>
      <c r="N12" s="186" t="n"/>
      <c r="O12" s="186" t="n"/>
      <c r="P12" s="186" t="n"/>
      <c r="Q12" s="186" t="n"/>
      <c r="R12" s="186" t="n"/>
      <c r="S12" s="186" t="n"/>
      <c r="T12" s="187" t="n"/>
    </row>
    <row r="13" ht="13.5" customHeight="1">
      <c r="A13" s="184" t="n"/>
      <c r="B13" s="178" t="inlineStr">
        <is>
          <t>user role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Authenticated user role is not CLIENT</t>
        </is>
      </c>
      <c r="E14" s="189" t="n"/>
      <c r="F14" s="186" t="n"/>
      <c r="G14" s="182" t="n"/>
      <c r="H14" s="182" t="n"/>
      <c r="I14" s="186" t="n"/>
      <c r="J14" s="182" t="n"/>
      <c r="K14" s="186" t="inlineStr">
        <is>
          <t>O</t>
        </is>
      </c>
      <c r="L14" s="182" t="n"/>
      <c r="M14" s="182" t="n"/>
      <c r="N14" s="182" t="n"/>
      <c r="O14" s="186" t="n"/>
      <c r="P14" s="186" t="n"/>
      <c r="Q14" s="182" t="n"/>
      <c r="R14" s="182" t="n"/>
      <c r="S14" s="182" t="n"/>
      <c r="T14" s="183" t="n"/>
    </row>
    <row r="15" ht="13.5" customHeight="1">
      <c r="A15" s="184" t="n"/>
      <c r="B15" s="178" t="inlineStr">
        <is>
          <t>milestoneId</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Milestone id path param is supplied</t>
        </is>
      </c>
      <c r="E16" s="189" t="n"/>
      <c r="F16" s="182" t="n"/>
      <c r="G16" s="186" t="inlineStr">
        <is>
          <t>O</t>
        </is>
      </c>
      <c r="H16" s="186" t="inlineStr">
        <is>
          <t>O</t>
        </is>
      </c>
      <c r="I16" s="186" t="inlineStr">
        <is>
          <t>O</t>
        </is>
      </c>
      <c r="J16" s="186" t="inlineStr">
        <is>
          <t>O</t>
        </is>
      </c>
      <c r="K16" s="186" t="inlineStr">
        <is>
          <t>O</t>
        </is>
      </c>
      <c r="L16" s="186" t="inlineStr">
        <is>
          <t>O</t>
        </is>
      </c>
      <c r="M16" s="186" t="inlineStr">
        <is>
          <t>O</t>
        </is>
      </c>
      <c r="N16" s="186" t="inlineStr">
        <is>
          <t>O</t>
        </is>
      </c>
      <c r="O16" s="186" t="inlineStr">
        <is>
          <t>O</t>
        </is>
      </c>
      <c r="P16" s="186" t="inlineStr">
        <is>
          <t>O</t>
        </is>
      </c>
      <c r="Q16" s="182" t="n"/>
      <c r="R16" s="182" t="n"/>
      <c r="S16" s="182" t="n"/>
      <c r="T16" s="183" t="n"/>
    </row>
    <row r="17" ht="13.5" customHeight="1">
      <c r="A17" s="184" t="n"/>
      <c r="B17" s="178" t="inlineStr">
        <is>
          <t>idempotency key</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Idempotency-Key header is blank or missing</t>
        </is>
      </c>
      <c r="E18" s="189" t="n"/>
      <c r="F18" s="186" t="inlineStr">
        <is>
          <t>O</t>
        </is>
      </c>
      <c r="G18" s="182" t="n"/>
      <c r="H18" s="182" t="n"/>
      <c r="I18" s="182" t="n"/>
      <c r="J18" s="182" t="n"/>
      <c r="K18" s="186" t="n"/>
      <c r="L18" s="186" t="n"/>
      <c r="M18" s="182" t="n"/>
      <c r="N18" s="182" t="n"/>
      <c r="O18" s="182" t="n"/>
      <c r="P18" s="182" t="n"/>
      <c r="Q18" s="182" t="n"/>
      <c r="R18" s="182" t="n"/>
      <c r="S18" s="182" t="n"/>
      <c r="T18" s="183" t="n"/>
    </row>
    <row r="19" ht="13.5" customHeight="1">
      <c r="A19" s="184" t="n"/>
      <c r="B19" s="178" t="n"/>
      <c r="C19" s="179" t="n"/>
      <c r="D19" s="188" t="inlineStr">
        <is>
          <t>Idempotency-Key header is present</t>
        </is>
      </c>
      <c r="E19" s="189" t="n"/>
      <c r="F19" s="182" t="n"/>
      <c r="G19" s="186" t="inlineStr">
        <is>
          <t>O</t>
        </is>
      </c>
      <c r="H19" s="186" t="inlineStr">
        <is>
          <t>O</t>
        </is>
      </c>
      <c r="I19" s="186" t="inlineStr">
        <is>
          <t>O</t>
        </is>
      </c>
      <c r="J19" s="186" t="inlineStr">
        <is>
          <t>O</t>
        </is>
      </c>
      <c r="K19" s="186" t="inlineStr">
        <is>
          <t>O</t>
        </is>
      </c>
      <c r="L19" s="186" t="inlineStr">
        <is>
          <t>O</t>
        </is>
      </c>
      <c r="M19" s="186" t="inlineStr">
        <is>
          <t>O</t>
        </is>
      </c>
      <c r="N19" s="186" t="inlineStr">
        <is>
          <t>O</t>
        </is>
      </c>
      <c r="O19" s="186" t="inlineStr">
        <is>
          <t>O</t>
        </is>
      </c>
      <c r="P19" s="186" t="inlineStr">
        <is>
          <t>O</t>
        </is>
      </c>
      <c r="Q19" s="182" t="n"/>
      <c r="R19" s="182" t="n"/>
      <c r="S19" s="182" t="n"/>
      <c r="T19" s="183" t="n"/>
    </row>
    <row r="20" ht="13.5" customHeight="1">
      <c r="A20" s="184" t="n"/>
      <c r="B20" s="178" t="inlineStr">
        <is>
          <t>funding dto</t>
        </is>
      </c>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t="13.5" customHeight="1">
      <c r="A21" s="184" t="n"/>
      <c r="B21" s="178" t="n"/>
      <c r="C21" s="179" t="n"/>
      <c r="D21" s="188" t="inlineStr">
        <is>
          <t>gateway = INTERNAL_SANDBOX</t>
        </is>
      </c>
      <c r="E21" s="189" t="n"/>
      <c r="F21" s="182" t="n"/>
      <c r="G21" s="186" t="inlineStr">
        <is>
          <t>O</t>
        </is>
      </c>
      <c r="H21" s="182" t="n"/>
      <c r="I21" s="186" t="inlineStr">
        <is>
          <t>O</t>
        </is>
      </c>
      <c r="J21" s="186" t="inlineStr">
        <is>
          <t>O</t>
        </is>
      </c>
      <c r="K21" s="186" t="inlineStr">
        <is>
          <t>O</t>
        </is>
      </c>
      <c r="L21" s="182" t="n"/>
      <c r="M21" s="182" t="n"/>
      <c r="N21" s="182" t="n"/>
      <c r="O21" s="182" t="n"/>
      <c r="P21" s="182" t="n"/>
      <c r="Q21" s="182" t="n"/>
      <c r="R21" s="182" t="n"/>
      <c r="S21" s="182" t="n"/>
      <c r="T21" s="183" t="n"/>
    </row>
    <row r="22" ht="13.5" customHeight="1">
      <c r="A22" s="184" t="n"/>
      <c r="B22" s="178" t="n"/>
      <c r="C22" s="179" t="n"/>
      <c r="D22" s="188" t="inlineStr">
        <is>
          <t>gateway = STRIPE</t>
        </is>
      </c>
      <c r="E22" s="189" t="n"/>
      <c r="F22" s="186" t="n"/>
      <c r="G22" s="182" t="n"/>
      <c r="H22" s="186" t="inlineStr">
        <is>
          <t>O</t>
        </is>
      </c>
      <c r="I22" s="182" t="n"/>
      <c r="J22" s="182" t="n"/>
      <c r="K22" s="182" t="n"/>
      <c r="L22" s="182" t="n"/>
      <c r="M22" s="186" t="n"/>
      <c r="N22" s="186" t="n"/>
      <c r="O22" s="182" t="n"/>
      <c r="P22" s="182" t="n"/>
      <c r="Q22" s="182" t="n"/>
      <c r="R22" s="182" t="n"/>
      <c r="S22" s="182" t="n"/>
      <c r="T22" s="183" t="n"/>
    </row>
    <row r="23" ht="13.5" customHeight="1">
      <c r="A23" s="184" t="n"/>
      <c r="B23" s="178" t="n"/>
      <c r="C23" s="179" t="n"/>
      <c r="D23" s="188" t="inlineStr">
        <is>
          <t>gateway is unsupported</t>
        </is>
      </c>
      <c r="E23" s="189" t="n"/>
      <c r="F23" s="182" t="n"/>
      <c r="G23" s="186" t="n"/>
      <c r="H23" s="182" t="n"/>
      <c r="I23" s="186" t="n"/>
      <c r="J23" s="182" t="n"/>
      <c r="K23" s="182" t="n"/>
      <c r="L23" s="186" t="inlineStr">
        <is>
          <t>O</t>
        </is>
      </c>
      <c r="M23" s="182" t="n"/>
      <c r="N23" s="182" t="n"/>
      <c r="O23" s="182" t="n"/>
      <c r="P23" s="182" t="n"/>
      <c r="Q23" s="182" t="n"/>
      <c r="R23" s="182" t="n"/>
      <c r="S23" s="182" t="n"/>
      <c r="T23" s="183" t="n"/>
    </row>
    <row r="24" ht="13.5" customHeight="1">
      <c r="A24" s="184" t="n"/>
      <c r="B24" s="178" t="inlineStr">
        <is>
          <t>payment method</t>
        </is>
      </c>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t="13.5" customHeight="1">
      <c r="A25" s="184" t="n"/>
      <c r="B25" s="178" t="n"/>
      <c r="C25" s="179" t="n"/>
      <c r="D25" s="188" t="inlineStr">
        <is>
          <t>Selected payment method is CARD_ACCOUNT</t>
        </is>
      </c>
      <c r="E25" s="189" t="n"/>
      <c r="F25" s="182" t="n"/>
      <c r="G25" s="182" t="n"/>
      <c r="H25" s="186" t="inlineStr">
        <is>
          <t>O</t>
        </is>
      </c>
      <c r="I25" s="182" t="n"/>
      <c r="J25" s="186" t="inlineStr">
        <is>
          <t>O</t>
        </is>
      </c>
      <c r="K25" s="182" t="n"/>
      <c r="L25" s="182" t="n"/>
      <c r="M25" s="182" t="n"/>
      <c r="N25" s="182" t="n"/>
      <c r="O25" s="182" t="n"/>
      <c r="P25" s="182" t="n"/>
      <c r="Q25" s="182" t="n"/>
      <c r="R25" s="182" t="n"/>
      <c r="S25" s="182" t="n"/>
      <c r="T25" s="183" t="n"/>
    </row>
    <row r="26" ht="13.5" customHeight="1">
      <c r="A26" s="184" t="n"/>
      <c r="B26" s="178" t="n"/>
      <c r="C26" s="179" t="n"/>
      <c r="D26" s="188" t="inlineStr">
        <is>
          <t>Selected payment method is BANK_ACCOUNT</t>
        </is>
      </c>
      <c r="E26" s="189" t="n"/>
      <c r="F26" s="182" t="n"/>
      <c r="G26" s="182" t="n"/>
      <c r="H26" s="182" t="n"/>
      <c r="I26" s="182" t="n"/>
      <c r="J26" s="182" t="n"/>
      <c r="K26" s="186" t="n"/>
      <c r="L26" s="182" t="n"/>
      <c r="M26" s="186" t="inlineStr">
        <is>
          <t>O</t>
        </is>
      </c>
      <c r="N26" s="182" t="n"/>
      <c r="O26" s="182" t="n"/>
      <c r="P26" s="182" t="n"/>
      <c r="Q26" s="182" t="n"/>
      <c r="R26" s="182" t="n"/>
      <c r="S26" s="182" t="n"/>
      <c r="T26" s="183" t="n"/>
    </row>
    <row r="27" ht="13.5" customHeight="1">
      <c r="A27" s="184" t="n"/>
      <c r="B27" s="178" t="inlineStr">
        <is>
          <t>idempotent replay</t>
        </is>
      </c>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t="27" customHeight="1">
      <c r="A28" s="184" t="n"/>
      <c r="B28" s="178" t="n"/>
      <c r="C28" s="179" t="n"/>
      <c r="D28" s="188" t="inlineStr">
        <is>
          <t>Existing funding intent already completed for the same key</t>
        </is>
      </c>
      <c r="E28" s="189" t="n"/>
      <c r="F28" s="182" t="n"/>
      <c r="G28" s="182" t="n"/>
      <c r="H28" s="182" t="n"/>
      <c r="I28" s="186" t="inlineStr">
        <is>
          <t>O</t>
        </is>
      </c>
      <c r="J28" s="182" t="n"/>
      <c r="K28" s="186" t="n"/>
      <c r="L28" s="182" t="n"/>
      <c r="M28" s="182" t="n"/>
      <c r="N28" s="182" t="n"/>
      <c r="O28" s="186" t="n"/>
      <c r="P28" s="182" t="n"/>
      <c r="Q28" s="182" t="n"/>
      <c r="R28" s="182" t="n"/>
      <c r="S28" s="182" t="n"/>
      <c r="T28" s="183" t="n"/>
    </row>
    <row r="29" ht="13.5" customHeight="1">
      <c r="A29" s="184" t="n"/>
      <c r="B29" s="178" t="n"/>
      <c r="C29" s="179" t="n"/>
      <c r="D29" s="188" t="inlineStr">
        <is>
          <t>Same key is reused with a different payment method</t>
        </is>
      </c>
      <c r="E29" s="189" t="n"/>
      <c r="F29" s="182" t="n"/>
      <c r="G29" s="182" t="n"/>
      <c r="H29" s="182" t="n"/>
      <c r="I29" s="182" t="n"/>
      <c r="J29" s="186" t="inlineStr">
        <is>
          <t>O</t>
        </is>
      </c>
      <c r="K29" s="182" t="n"/>
      <c r="L29" s="186" t="n"/>
      <c r="M29" s="182" t="n"/>
      <c r="N29" s="182" t="n"/>
      <c r="O29" s="182" t="n"/>
      <c r="P29" s="186" t="n"/>
      <c r="Q29" s="182" t="n"/>
      <c r="R29" s="182" t="n"/>
      <c r="S29" s="182" t="n"/>
      <c r="T29" s="183" t="n"/>
    </row>
    <row r="30" ht="13.5" customHeight="1">
      <c r="A30" s="184" t="n"/>
      <c r="B30" s="178" t="inlineStr">
        <is>
          <t>escrow state</t>
        </is>
      </c>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t="13.5" customHeight="1">
      <c r="A31" s="184" t="n"/>
      <c r="B31" s="178" t="n"/>
      <c r="C31" s="179" t="n"/>
      <c r="D31" s="188" t="inlineStr">
        <is>
          <t>Escrow is already fully funded</t>
        </is>
      </c>
      <c r="E31" s="189" t="n"/>
      <c r="F31" s="186" t="n"/>
      <c r="G31" s="182" t="n"/>
      <c r="H31" s="182" t="n"/>
      <c r="I31" s="182" t="n"/>
      <c r="J31" s="182" t="n"/>
      <c r="K31" s="182" t="n"/>
      <c r="L31" s="182" t="n"/>
      <c r="M31" s="186" t="n"/>
      <c r="N31" s="186" t="inlineStr">
        <is>
          <t>O</t>
        </is>
      </c>
      <c r="O31" s="186" t="n"/>
      <c r="P31" s="186" t="n"/>
      <c r="Q31" s="182" t="n"/>
      <c r="R31" s="182" t="n"/>
      <c r="S31" s="182" t="n"/>
      <c r="T31" s="183" t="n"/>
    </row>
    <row r="32" ht="13.5" customHeight="1">
      <c r="A32" s="184" t="n"/>
      <c r="B32" s="178" t="n"/>
      <c r="C32" s="179" t="n"/>
      <c r="D32" s="188" t="inlineStr">
        <is>
          <t>Escrow is under dispute</t>
        </is>
      </c>
      <c r="E32" s="189" t="n"/>
      <c r="F32" s="182" t="n"/>
      <c r="G32" s="186" t="n"/>
      <c r="H32" s="182" t="n"/>
      <c r="I32" s="182" t="n"/>
      <c r="J32" s="182" t="n"/>
      <c r="K32" s="182" t="n"/>
      <c r="L32" s="182" t="n"/>
      <c r="M32" s="182" t="n"/>
      <c r="N32" s="182" t="n"/>
      <c r="O32" s="186" t="inlineStr">
        <is>
          <t>O</t>
        </is>
      </c>
      <c r="P32" s="182" t="n"/>
      <c r="Q32" s="182" t="n"/>
      <c r="R32" s="182" t="n"/>
      <c r="S32" s="182" t="n"/>
      <c r="T32" s="183" t="n"/>
    </row>
    <row r="33" ht="13.5" customHeight="1">
      <c r="A33" s="184" t="n"/>
      <c r="B33" s="178" t="n"/>
      <c r="C33" s="179" t="n"/>
      <c r="D33" s="188" t="inlineStr">
        <is>
          <t>Escrow amount does not match milestone amount</t>
        </is>
      </c>
      <c r="E33" s="189" t="n"/>
      <c r="F33" s="182" t="n"/>
      <c r="G33" s="182" t="n"/>
      <c r="H33" s="186" t="n"/>
      <c r="I33" s="186" t="n"/>
      <c r="J33" s="182" t="n"/>
      <c r="K33" s="182" t="n"/>
      <c r="L33" s="182" t="n"/>
      <c r="M33" s="182" t="n"/>
      <c r="N33" s="182" t="n"/>
      <c r="O33" s="182" t="n"/>
      <c r="P33" s="186" t="inlineStr">
        <is>
          <t>O</t>
        </is>
      </c>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27" customHeight="1">
      <c r="A38" s="197" t="n"/>
      <c r="B38" s="191" t="n"/>
      <c r="C38" s="198" t="n"/>
      <c r="D38" s="199" t="inlineStr">
        <is>
          <t>returns successful funding result with escrow and wallet updates</t>
        </is>
      </c>
      <c r="E38" s="200" t="n"/>
      <c r="F38" s="186" t="n"/>
      <c r="G38" s="186" t="inlineStr">
        <is>
          <t>O</t>
        </is>
      </c>
      <c r="H38" s="186" t="inlineStr">
        <is>
          <t>O</t>
        </is>
      </c>
      <c r="I38" s="182" t="n"/>
      <c r="J38" s="182" t="n"/>
      <c r="K38" s="182" t="n"/>
      <c r="L38" s="182" t="n"/>
      <c r="M38" s="186" t="n"/>
      <c r="N38" s="182" t="n"/>
      <c r="O38" s="186" t="n"/>
      <c r="P38" s="182" t="n"/>
      <c r="Q38" s="182" t="n"/>
      <c r="R38" s="182" t="n"/>
      <c r="S38" s="182" t="n"/>
      <c r="T38" s="183" t="n"/>
    </row>
    <row r="39" ht="27" customHeight="1">
      <c r="A39" s="197" t="n"/>
      <c r="B39" s="201" t="n"/>
      <c r="C39" s="202" t="n"/>
      <c r="D39" s="203" t="inlineStr">
        <is>
          <t>returns previously completed funding intent without duplicating side effects</t>
        </is>
      </c>
      <c r="E39" s="200" t="n"/>
      <c r="F39" s="182" t="n"/>
      <c r="G39" s="186" t="n"/>
      <c r="H39" s="186" t="n"/>
      <c r="I39" s="186" t="inlineStr">
        <is>
          <t>O</t>
        </is>
      </c>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BadRequestException: Idempotency-Key header is required</t>
        </is>
      </c>
      <c r="E41" s="200" t="n"/>
      <c r="F41" s="186" t="inlineStr">
        <is>
          <t>O</t>
        </is>
      </c>
      <c r="G41" s="182" t="n"/>
      <c r="H41" s="182" t="n"/>
      <c r="I41" s="186" t="n"/>
      <c r="J41" s="182" t="n"/>
      <c r="K41" s="186" t="n"/>
      <c r="L41" s="182" t="n"/>
      <c r="M41" s="182" t="n"/>
      <c r="N41" s="182" t="n"/>
      <c r="O41" s="182" t="n"/>
      <c r="P41" s="182" t="n"/>
      <c r="Q41" s="182" t="n"/>
      <c r="R41" s="182" t="n"/>
      <c r="S41" s="182" t="n"/>
      <c r="T41" s="183" t="n"/>
    </row>
    <row r="42" ht="27" customHeight="1">
      <c r="A42" s="197" t="n"/>
      <c r="B42" s="208" t="inlineStr">
        <is>
          <t>Verification</t>
        </is>
      </c>
      <c r="C42" s="202" t="n"/>
      <c r="D42" s="203" t="inlineStr">
        <is>
          <t>ConflictException: idempotency key is reused with a different payment method</t>
        </is>
      </c>
      <c r="E42" s="200" t="n"/>
      <c r="F42" s="182" t="n"/>
      <c r="G42" s="182" t="n"/>
      <c r="H42" s="182" t="n"/>
      <c r="I42" s="182" t="n"/>
      <c r="J42" s="186" t="inlineStr">
        <is>
          <t>O</t>
        </is>
      </c>
      <c r="K42" s="182" t="n"/>
      <c r="L42" s="182" t="n"/>
      <c r="M42" s="182" t="n"/>
      <c r="N42" s="182" t="n"/>
      <c r="O42" s="182" t="n"/>
      <c r="P42" s="182" t="n"/>
      <c r="Q42" s="182" t="n"/>
      <c r="R42" s="182" t="n"/>
      <c r="S42" s="182" t="n"/>
      <c r="T42" s="183" t="n"/>
    </row>
    <row r="43" ht="27" customHeight="1">
      <c r="A43" s="197" t="n"/>
      <c r="B43" s="208" t="n"/>
      <c r="C43" s="202" t="n"/>
      <c r="D43" s="203" t="inlineStr">
        <is>
          <t>persists one deposit transaction and one hold transaction on successful funding</t>
        </is>
      </c>
      <c r="E43" s="200" t="n"/>
      <c r="F43" s="186" t="n"/>
      <c r="G43" s="186" t="inlineStr">
        <is>
          <t>O</t>
        </is>
      </c>
      <c r="H43" s="182" t="n"/>
      <c r="I43" s="182" t="n"/>
      <c r="J43" s="182" t="n"/>
      <c r="K43" s="186" t="inlineStr">
        <is>
          <t>O</t>
        </is>
      </c>
      <c r="L43" s="182" t="n"/>
      <c r="M43" s="182" t="n"/>
      <c r="N43" s="182" t="n"/>
      <c r="O43" s="182" t="n"/>
      <c r="P43" s="182" t="n"/>
      <c r="Q43" s="182" t="n"/>
      <c r="R43" s="182" t="n"/>
      <c r="S43" s="182" t="n"/>
      <c r="T43" s="183" t="n"/>
    </row>
    <row r="44" ht="13.5" customHeight="1">
      <c r="A44" s="197" t="n"/>
      <c r="B44" s="208" t="n"/>
      <c r="C44" s="202" t="n"/>
      <c r="D44" s="203" t="inlineStr">
        <is>
          <t>creates Stripe checkout session for saved card funding</t>
        </is>
      </c>
      <c r="E44" s="200" t="n"/>
      <c r="F44" s="182" t="n"/>
      <c r="G44" s="186" t="n"/>
      <c r="H44" s="186" t="inlineStr">
        <is>
          <t>O</t>
        </is>
      </c>
      <c r="I44" s="182" t="n"/>
      <c r="J44" s="182" t="n"/>
      <c r="K44" s="182" t="n"/>
      <c r="L44" s="186" t="inlineStr">
        <is>
          <t>O</t>
        </is>
      </c>
      <c r="M44" s="182" t="n"/>
      <c r="N44" s="182" t="n"/>
      <c r="O44" s="182" t="n"/>
      <c r="P44" s="182" t="n"/>
      <c r="Q44" s="182" t="n"/>
      <c r="R44" s="182" t="n"/>
      <c r="S44" s="182" t="n"/>
      <c r="T44" s="183" t="n"/>
    </row>
    <row r="45" ht="27" customHeight="1">
      <c r="A45" s="197" t="n"/>
      <c r="B45" s="208" t="n"/>
      <c r="C45" s="202" t="n"/>
      <c r="D45" s="203" t="inlineStr">
        <is>
          <t>calls fundMilestone with milestoneId, payerId, dto, and idempotency key</t>
        </is>
      </c>
      <c r="E45" s="200" t="n"/>
      <c r="F45" s="182" t="n"/>
      <c r="G45" s="186" t="inlineStr">
        <is>
          <t>O</t>
        </is>
      </c>
      <c r="H45" s="186" t="inlineStr">
        <is>
          <t>O</t>
        </is>
      </c>
      <c r="I45" s="186" t="inlineStr">
        <is>
          <t>O</t>
        </is>
      </c>
      <c r="J45" s="186" t="inlineStr">
        <is>
          <t>O</t>
        </is>
      </c>
      <c r="K45" s="186" t="inlineStr">
        <is>
          <t>O</t>
        </is>
      </c>
      <c r="L45" s="186" t="inlineStr">
        <is>
          <t>O</t>
        </is>
      </c>
      <c r="M45" s="186" t="inlineStr">
        <is>
          <t>O</t>
        </is>
      </c>
      <c r="N45" s="186" t="inlineStr">
        <is>
          <t>O</t>
        </is>
      </c>
      <c r="O45" s="186" t="inlineStr">
        <is>
          <t>O</t>
        </is>
      </c>
      <c r="P45" s="186" t="inlineStr">
        <is>
          <t>O</t>
        </is>
      </c>
      <c r="Q45" s="182" t="n"/>
      <c r="R45" s="182" t="n"/>
      <c r="S45" s="182" t="n"/>
      <c r="T45" s="183" t="n"/>
    </row>
    <row r="46" hidden="1" ht="13.5" customHeight="1">
      <c r="A46" s="197" t="n"/>
      <c r="B46" s="208" t="n"/>
      <c r="C46" s="202" t="n"/>
      <c r="D46" s="203" t="inlineStr">
        <is>
          <t>BadRequestException: escrow is already funded</t>
        </is>
      </c>
      <c r="E46" s="200" t="n"/>
      <c r="F46" s="182" t="n"/>
      <c r="G46" s="182" t="n"/>
      <c r="H46" s="182" t="n"/>
      <c r="I46" s="186" t="n"/>
      <c r="J46" s="182" t="n"/>
      <c r="K46" s="182" t="n"/>
      <c r="L46" s="182" t="n"/>
      <c r="M46" s="182" t="n"/>
      <c r="N46" s="186" t="inlineStr">
        <is>
          <t>O</t>
        </is>
      </c>
      <c r="O46" s="182" t="n"/>
      <c r="P46" s="182" t="n"/>
      <c r="Q46" s="182" t="n"/>
      <c r="R46" s="182" t="n"/>
      <c r="S46" s="182" t="n"/>
      <c r="T46" s="183" t="n"/>
    </row>
    <row r="47" hidden="1" ht="13.5" customHeight="1">
      <c r="A47" s="197" t="n"/>
      <c r="B47" s="208" t="n"/>
      <c r="C47" s="210" t="n"/>
      <c r="D47" s="203" t="inlineStr">
        <is>
          <t>ConflictException: disputed escrow cannot be funded</t>
        </is>
      </c>
      <c r="E47" s="211" t="n"/>
      <c r="F47" s="186" t="n"/>
      <c r="G47" s="182" t="n"/>
      <c r="H47" s="182" t="n"/>
      <c r="I47" s="182" t="n"/>
      <c r="J47" s="186" t="n"/>
      <c r="K47" s="182" t="n"/>
      <c r="L47" s="182" t="n"/>
      <c r="M47" s="182" t="n"/>
      <c r="N47" s="182" t="n"/>
      <c r="O47" s="186" t="inlineStr">
        <is>
          <t>O</t>
        </is>
      </c>
      <c r="P47" s="182" t="n"/>
      <c r="Q47" s="182" t="n"/>
      <c r="R47" s="182" t="n"/>
      <c r="S47" s="182" t="n"/>
      <c r="T47" s="183" t="n"/>
    </row>
    <row r="48" hidden="1" ht="27" customHeight="1">
      <c r="A48" s="197" t="n"/>
      <c r="B48" s="208" t="n"/>
      <c r="C48" s="210" t="n"/>
      <c r="D48" s="203" t="inlineStr">
        <is>
          <t>BadRequestException: milestone and escrow amounts do not match</t>
        </is>
      </c>
      <c r="E48" s="211" t="n"/>
      <c r="F48" s="182" t="n"/>
      <c r="G48" s="186" t="n"/>
      <c r="H48" s="182" t="n"/>
      <c r="I48" s="182" t="n"/>
      <c r="J48" s="182" t="n"/>
      <c r="K48" s="186" t="n"/>
      <c r="L48" s="182" t="n"/>
      <c r="M48" s="182" t="n"/>
      <c r="N48" s="182" t="n"/>
      <c r="O48" s="182" t="n"/>
      <c r="P48" s="186" t="inlineStr">
        <is>
          <t>O</t>
        </is>
      </c>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A</t>
        </is>
      </c>
      <c r="G50" s="215" t="inlineStr">
        <is>
          <t>N</t>
        </is>
      </c>
      <c r="H50" s="215" t="inlineStr">
        <is>
          <t>N</t>
        </is>
      </c>
      <c r="I50" s="215" t="inlineStr">
        <is>
          <t>B</t>
        </is>
      </c>
      <c r="J50" s="215" t="inlineStr">
        <is>
          <t>A</t>
        </is>
      </c>
      <c r="K50" s="215" t="inlineStr">
        <is>
          <t>A</t>
        </is>
      </c>
      <c r="L50" s="215" t="inlineStr">
        <is>
          <t>A</t>
        </is>
      </c>
      <c r="M50" s="215" t="inlineStr">
        <is>
          <t>A</t>
        </is>
      </c>
      <c r="N50" s="215" t="inlineStr">
        <is>
          <t>A</t>
        </is>
      </c>
      <c r="O50" s="215" t="inlineStr">
        <is>
          <t>A</t>
        </is>
      </c>
      <c r="P50" s="215" t="inlineStr">
        <is>
          <t>A</t>
        </is>
      </c>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inlineStr">
        <is>
          <t>P</t>
        </is>
      </c>
      <c r="L51" s="220" t="inlineStr">
        <is>
          <t>P</t>
        </is>
      </c>
      <c r="M51" s="220" t="inlineStr">
        <is>
          <t>P</t>
        </is>
      </c>
      <c r="N51" s="220" t="inlineStr">
        <is>
          <t>P</t>
        </is>
      </c>
      <c r="O51" s="220" t="inlineStr">
        <is>
          <t>P</t>
        </is>
      </c>
      <c r="P51" s="220" t="inlineStr">
        <is>
          <t>P</t>
        </is>
      </c>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v>46111</v>
      </c>
      <c r="L52" s="224" t="n">
        <v>46111</v>
      </c>
      <c r="M52" s="224" t="n">
        <v>46111</v>
      </c>
      <c r="N52" s="224" t="n">
        <v>46111</v>
      </c>
      <c r="O52" s="224" t="n">
        <v>46111</v>
      </c>
      <c r="P52" s="224" t="n">
        <v>46111</v>
      </c>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List'!E25</f>
        <v/>
      </c>
      <c r="D2" s="131" t="n"/>
      <c r="E2" s="133" t="n"/>
      <c r="F2" s="134" t="inlineStr">
        <is>
          <t>Function Name</t>
        </is>
      </c>
      <c r="G2" s="135" t="n"/>
      <c r="H2" s="135" t="n"/>
      <c r="I2" s="135" t="n"/>
      <c r="J2" s="135" t="n"/>
      <c r="K2" s="135" t="n"/>
      <c r="L2" s="136">
        <f>'Function List'!D25</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18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/wallet/me with executed evidence for first-time wallet creation, freelancer awaiting-release computation, and broker awaiting-release computation in the returned snapshot.</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n"/>
      <c r="J12" s="186" t="n"/>
      <c r="K12" s="186" t="n"/>
      <c r="L12" s="186" t="n"/>
      <c r="M12" s="186" t="n"/>
      <c r="N12" s="186" t="n"/>
      <c r="O12" s="186" t="n"/>
      <c r="P12" s="186" t="n"/>
      <c r="Q12" s="186" t="n"/>
      <c r="R12" s="186" t="n"/>
      <c r="S12" s="186" t="n"/>
      <c r="T12" s="187" t="n"/>
    </row>
    <row r="13" ht="13.5" customHeight="1">
      <c r="A13" s="184" t="n"/>
      <c r="B13" s="178" t="inlineStr">
        <is>
          <t>wallet state</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Wallet does not exist yet for the current user</t>
        </is>
      </c>
      <c r="E14" s="189" t="n"/>
      <c r="F14" s="186" t="inlineStr">
        <is>
          <t>O</t>
        </is>
      </c>
      <c r="G14" s="182" t="n"/>
      <c r="H14" s="182" t="n"/>
      <c r="I14" s="186" t="n"/>
      <c r="J14" s="182" t="n"/>
      <c r="K14" s="182" t="n"/>
      <c r="L14" s="182" t="n"/>
      <c r="M14" s="182" t="n"/>
      <c r="N14" s="182" t="n"/>
      <c r="O14" s="186" t="n"/>
      <c r="P14" s="186" t="n"/>
      <c r="Q14" s="182" t="n"/>
      <c r="R14" s="182" t="n"/>
      <c r="S14" s="182" t="n"/>
      <c r="T14" s="183" t="n"/>
    </row>
    <row r="15" ht="13.5" customHeight="1">
      <c r="A15" s="184" t="n"/>
      <c r="B15" s="178" t="n"/>
      <c r="C15" s="179" t="n"/>
      <c r="D15" s="188" t="inlineStr">
        <is>
          <t>Wallet already exists for the current user</t>
        </is>
      </c>
      <c r="E15" s="189" t="n"/>
      <c r="F15" s="182" t="n"/>
      <c r="G15" s="186" t="inlineStr">
        <is>
          <t>O</t>
        </is>
      </c>
      <c r="H15" s="186" t="inlineStr">
        <is>
          <t>O</t>
        </is>
      </c>
      <c r="I15" s="182" t="n"/>
      <c r="J15" s="182" t="n"/>
      <c r="K15" s="182" t="n"/>
      <c r="L15" s="182" t="n"/>
      <c r="M15" s="182" t="n"/>
      <c r="N15" s="182" t="n"/>
      <c r="O15" s="182" t="n"/>
      <c r="P15" s="182" t="n"/>
      <c r="Q15" s="182" t="n"/>
      <c r="R15" s="182" t="n"/>
      <c r="S15" s="182" t="n"/>
      <c r="T15" s="183" t="n"/>
    </row>
    <row r="16" ht="13.5" customHeight="1">
      <c r="A16" s="184" t="n"/>
      <c r="B16" s="178" t="inlineStr">
        <is>
          <t>viewer role</t>
        </is>
      </c>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t="13.5" customHeight="1">
      <c r="A17" s="184" t="n"/>
      <c r="B17" s="178" t="n"/>
      <c r="C17" s="179" t="n"/>
      <c r="D17" s="188" t="inlineStr">
        <is>
          <t>Authenticated user role is FREELANCER</t>
        </is>
      </c>
      <c r="E17" s="189" t="n"/>
      <c r="F17" s="182" t="n"/>
      <c r="G17" s="186" t="inlineStr">
        <is>
          <t>O</t>
        </is>
      </c>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Authenticated user role is BROKER</t>
        </is>
      </c>
      <c r="E18" s="189" t="n"/>
      <c r="F18" s="182" t="n"/>
      <c r="G18" s="182" t="n"/>
      <c r="H18" s="186" t="inlineStr">
        <is>
          <t>O</t>
        </is>
      </c>
      <c r="I18" s="182" t="n"/>
      <c r="J18" s="182" t="n"/>
      <c r="K18" s="186" t="n"/>
      <c r="L18" s="186" t="n"/>
      <c r="M18" s="182" t="n"/>
      <c r="N18" s="182" t="n"/>
      <c r="O18" s="182" t="n"/>
      <c r="P18" s="182" t="n"/>
      <c r="Q18" s="182" t="n"/>
      <c r="R18" s="182" t="n"/>
      <c r="S18" s="182" t="n"/>
      <c r="T18" s="183" t="n"/>
    </row>
    <row r="19" ht="13.5" customHeight="1">
      <c r="A19" s="184" t="n"/>
      <c r="B19" s="178" t="inlineStr">
        <is>
          <t>awaiting release</t>
        </is>
      </c>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t="27" customHeight="1">
      <c r="A20" s="184" t="n"/>
      <c r="B20" s="178" t="n"/>
      <c r="C20" s="179" t="n"/>
      <c r="D20" s="188" t="inlineStr">
        <is>
          <t>Funded and disputed escrows contribute awaitingReleaseAmount</t>
        </is>
      </c>
      <c r="E20" s="189" t="n"/>
      <c r="F20" s="182" t="n"/>
      <c r="G20" s="186" t="inlineStr">
        <is>
          <t>O</t>
        </is>
      </c>
      <c r="H20" s="186" t="inlineStr">
        <is>
          <t>O</t>
        </is>
      </c>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wallet snapshot payload</t>
        </is>
      </c>
      <c r="E38" s="200" t="n"/>
      <c r="F38" s="186" t="inlineStr">
        <is>
          <t>O</t>
        </is>
      </c>
      <c r="G38" s="186" t="inlineStr">
        <is>
          <t>O</t>
        </is>
      </c>
      <c r="H38" s="186" t="inlineStr">
        <is>
          <t>O</t>
        </is>
      </c>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returns awaitingReleaseAmount derived from escrow state</t>
        </is>
      </c>
      <c r="E39" s="200" t="n"/>
      <c r="F39" s="182" t="n"/>
      <c r="G39" s="186" t="inlineStr">
        <is>
          <t>O</t>
        </is>
      </c>
      <c r="H39" s="186" t="inlineStr">
        <is>
          <t>O</t>
        </is>
      </c>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creates a wallet record with USD defaults on first access</t>
        </is>
      </c>
      <c r="E43" s="200" t="n"/>
      <c r="F43" s="186" t="inlineStr">
        <is>
          <t>O</t>
        </is>
      </c>
      <c r="G43" s="182" t="n"/>
      <c r="H43" s="182" t="n"/>
      <c r="I43" s="182" t="n"/>
      <c r="J43" s="182" t="n"/>
      <c r="K43" s="182" t="n"/>
      <c r="L43" s="182" t="n"/>
      <c r="M43" s="182" t="n"/>
      <c r="N43" s="182" t="n"/>
      <c r="O43" s="182" t="n"/>
      <c r="P43" s="182" t="n"/>
      <c r="Q43" s="182" t="n"/>
      <c r="R43" s="182" t="n"/>
      <c r="S43" s="182" t="n"/>
      <c r="T43" s="183" t="n"/>
    </row>
    <row r="44" ht="27" customHeight="1">
      <c r="A44" s="197" t="n"/>
      <c r="B44" s="208" t="n"/>
      <c r="C44" s="202" t="n"/>
      <c r="D44" s="203" t="inlineStr">
        <is>
          <t>computes freelancer awaitingReleaseAmount from funded and disputed escrows</t>
        </is>
      </c>
      <c r="E44" s="200" t="n"/>
      <c r="F44" s="182" t="n"/>
      <c r="G44" s="186" t="inlineStr">
        <is>
          <t>O</t>
        </is>
      </c>
      <c r="H44" s="182" t="n"/>
      <c r="I44" s="182" t="n"/>
      <c r="J44" s="182" t="n"/>
      <c r="K44" s="182" t="n"/>
      <c r="L44" s="182" t="n"/>
      <c r="M44" s="182" t="n"/>
      <c r="N44" s="182" t="n"/>
      <c r="O44" s="182" t="n"/>
      <c r="P44" s="182" t="n"/>
      <c r="Q44" s="182" t="n"/>
      <c r="R44" s="182" t="n"/>
      <c r="S44" s="182" t="n"/>
      <c r="T44" s="183" t="n"/>
    </row>
    <row r="45" ht="27" customHeight="1">
      <c r="A45" s="197" t="n"/>
      <c r="B45" s="208" t="n"/>
      <c r="C45" s="202" t="n"/>
      <c r="D45" s="203" t="inlineStr">
        <is>
          <t>computes broker awaitingReleaseAmount from funded and disputed escrows</t>
        </is>
      </c>
      <c r="E45" s="200" t="n"/>
      <c r="F45" s="182" t="n"/>
      <c r="G45" s="182" t="n"/>
      <c r="H45" s="186" t="inlineStr">
        <is>
          <t>O</t>
        </is>
      </c>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B</t>
        </is>
      </c>
      <c r="G50" s="215" t="inlineStr">
        <is>
          <t>N</t>
        </is>
      </c>
      <c r="H50" s="215" t="inlineStr">
        <is>
          <t>N</t>
        </is>
      </c>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List'!E26</f>
        <v/>
      </c>
      <c r="D2" s="131" t="n"/>
      <c r="E2" s="133" t="n"/>
      <c r="F2" s="134" t="inlineStr">
        <is>
          <t>Function Name</t>
        </is>
      </c>
      <c r="G2" s="135" t="n"/>
      <c r="H2" s="135" t="n"/>
      <c r="I2" s="135" t="n"/>
      <c r="J2" s="135" t="n"/>
      <c r="K2" s="135" t="n"/>
      <c r="L2" s="136">
        <f>'Function List'!D26</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38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/wallet/me/transactions with executed evidence for paged transaction listing, plus feature-level UTCs for paging normalization and range-filter query handling.</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inlineStr">
        <is>
          <t>auth context</t>
        </is>
      </c>
      <c r="C11" s="179" t="n"/>
      <c r="D11" s="180" t="n"/>
      <c r="E11" s="185" t="n"/>
      <c r="F11" s="186" t="n"/>
      <c r="G11" s="186" t="n"/>
      <c r="H11" s="186" t="n"/>
      <c r="I11" s="186" t="n"/>
      <c r="J11" s="186" t="n"/>
      <c r="K11" s="186" t="n"/>
      <c r="L11" s="186" t="n"/>
      <c r="M11" s="186" t="n"/>
      <c r="N11" s="186" t="n"/>
      <c r="O11" s="186" t="n"/>
      <c r="P11" s="186" t="n"/>
      <c r="Q11" s="186" t="n"/>
      <c r="R11" s="186" t="n"/>
      <c r="S11" s="186" t="n"/>
      <c r="T11" s="187" t="n"/>
      <c r="V11" s="138" t="n"/>
    </row>
    <row r="12" ht="13.5" customHeight="1">
      <c r="A12" s="184" t="n"/>
      <c r="B12" s="178" t="n"/>
      <c r="C12" s="179" t="n"/>
      <c r="D12" s="188" t="inlineStr">
        <is>
          <t>Authenticated user is available</t>
        </is>
      </c>
      <c r="E12" s="185" t="n"/>
      <c r="F12" s="186" t="inlineStr">
        <is>
          <t>O</t>
        </is>
      </c>
      <c r="G12" s="186" t="inlineStr">
        <is>
          <t>O</t>
        </is>
      </c>
      <c r="H12" s="186" t="inlineStr">
        <is>
          <t>O</t>
        </is>
      </c>
      <c r="I12" s="186" t="n"/>
      <c r="J12" s="186" t="n"/>
      <c r="K12" s="186" t="n"/>
      <c r="L12" s="186" t="n"/>
      <c r="M12" s="186" t="n"/>
      <c r="N12" s="186" t="n"/>
      <c r="O12" s="186" t="n"/>
      <c r="P12" s="186" t="n"/>
      <c r="Q12" s="186" t="n"/>
      <c r="R12" s="186" t="n"/>
      <c r="S12" s="186" t="n"/>
      <c r="T12" s="187" t="n"/>
    </row>
    <row r="13" ht="13.5" customHeight="1">
      <c r="A13" s="184" t="n"/>
      <c r="B13" s="178" t="inlineStr">
        <is>
          <t>query</t>
        </is>
      </c>
      <c r="C13" s="179" t="n"/>
      <c r="D13" s="180" t="n"/>
      <c r="E13" s="189" t="n"/>
      <c r="F13" s="182" t="n"/>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page query is supplied</t>
        </is>
      </c>
      <c r="E14" s="189" t="n"/>
      <c r="F14" s="186" t="inlineStr">
        <is>
          <t>O</t>
        </is>
      </c>
      <c r="G14" s="186" t="inlineStr">
        <is>
          <t>O</t>
        </is>
      </c>
      <c r="H14" s="186" t="inlineStr">
        <is>
          <t>O</t>
        </is>
      </c>
      <c r="I14" s="186" t="n"/>
      <c r="J14" s="182" t="n"/>
      <c r="K14" s="182" t="n"/>
      <c r="L14" s="182" t="n"/>
      <c r="M14" s="182" t="n"/>
      <c r="N14" s="182" t="n"/>
      <c r="O14" s="186" t="n"/>
      <c r="P14" s="186" t="n"/>
      <c r="Q14" s="182" t="n"/>
      <c r="R14" s="182" t="n"/>
      <c r="S14" s="182" t="n"/>
      <c r="T14" s="183" t="n"/>
    </row>
    <row r="15" ht="13.5" customHeight="1">
      <c r="A15" s="184" t="n"/>
      <c r="B15" s="178" t="n"/>
      <c r="C15" s="179" t="n"/>
      <c r="D15" s="188" t="inlineStr">
        <is>
          <t>limit query is supplied</t>
        </is>
      </c>
      <c r="E15" s="189" t="n"/>
      <c r="F15" s="186" t="inlineStr">
        <is>
          <t>O</t>
        </is>
      </c>
      <c r="G15" s="186" t="inlineStr">
        <is>
          <t>O</t>
        </is>
      </c>
      <c r="H15" s="186" t="inlineStr">
        <is>
          <t>O</t>
        </is>
      </c>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range filter is supplied</t>
        </is>
      </c>
      <c r="E16" s="189" t="n"/>
      <c r="F16" s="186" t="inlineStr">
        <is>
          <t>O</t>
        </is>
      </c>
      <c r="G16" s="186" t="inlineStr">
        <is>
          <t>O</t>
        </is>
      </c>
      <c r="H16" s="186" t="inlineStr">
        <is>
          <t>O</t>
        </is>
      </c>
      <c r="I16" s="182" t="n"/>
      <c r="J16" s="186" t="n"/>
      <c r="K16" s="182" t="n"/>
      <c r="L16" s="182" t="n"/>
      <c r="M16" s="182" t="n"/>
      <c r="N16" s="182" t="n"/>
      <c r="O16" s="182" t="n"/>
      <c r="P16" s="182" t="n"/>
      <c r="Q16" s="182" t="n"/>
      <c r="R16" s="182" t="n"/>
      <c r="S16" s="182" t="n"/>
      <c r="T16" s="183" t="n"/>
    </row>
    <row r="17" ht="13.5" customHeight="1">
      <c r="A17" s="184" t="n"/>
      <c r="B17" s="178" t="inlineStr">
        <is>
          <t>paging</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page and limit values are positive integers</t>
        </is>
      </c>
      <c r="E18" s="189" t="n"/>
      <c r="F18" s="186" t="inlineStr">
        <is>
          <t>O</t>
        </is>
      </c>
      <c r="G18" s="182" t="n"/>
      <c r="H18" s="182" t="n"/>
      <c r="I18" s="182" t="n"/>
      <c r="J18" s="182" t="n"/>
      <c r="K18" s="186" t="n"/>
      <c r="L18" s="186" t="n"/>
      <c r="M18" s="182" t="n"/>
      <c r="N18" s="182" t="n"/>
      <c r="O18" s="182" t="n"/>
      <c r="P18" s="182" t="n"/>
      <c r="Q18" s="182" t="n"/>
      <c r="R18" s="182" t="n"/>
      <c r="S18" s="182" t="n"/>
      <c r="T18" s="183" t="n"/>
    </row>
    <row r="19" ht="13.5" customHeight="1">
      <c r="A19" s="184" t="n"/>
      <c r="B19" s="178" t="n"/>
      <c r="C19" s="179" t="n"/>
      <c r="D19" s="188" t="inlineStr">
        <is>
          <t>page or limit values are invalid and need normalization</t>
        </is>
      </c>
      <c r="E19" s="189" t="n"/>
      <c r="F19" s="182" t="n"/>
      <c r="G19" s="186" t="inlineStr">
        <is>
          <t>O</t>
        </is>
      </c>
      <c r="H19" s="182" t="n"/>
      <c r="I19" s="182" t="n"/>
      <c r="J19" s="182" t="n"/>
      <c r="K19" s="186" t="n"/>
      <c r="L19" s="182" t="n"/>
      <c r="M19" s="186" t="n"/>
      <c r="N19" s="182" t="n"/>
      <c r="O19" s="182" t="n"/>
      <c r="P19" s="182" t="n"/>
      <c r="Q19" s="182" t="n"/>
      <c r="R19" s="182" t="n"/>
      <c r="S19" s="182" t="n"/>
      <c r="T19" s="183" t="n"/>
    </row>
    <row r="20" ht="13.5" customHeight="1">
      <c r="A20" s="184" t="n"/>
      <c r="B20" s="178" t="inlineStr">
        <is>
          <t>range filter</t>
        </is>
      </c>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t="13.5" customHeight="1">
      <c r="A21" s="184" t="n"/>
      <c r="B21" s="178" t="n"/>
      <c r="C21" s="179" t="n"/>
      <c r="D21" s="188" t="inlineStr">
        <is>
          <t>range query is supplied</t>
        </is>
      </c>
      <c r="E21" s="189" t="n"/>
      <c r="F21" s="182" t="n"/>
      <c r="G21" s="182" t="n"/>
      <c r="H21" s="186" t="inlineStr">
        <is>
          <t>O</t>
        </is>
      </c>
      <c r="I21" s="182" t="n"/>
      <c r="J21" s="182" t="n"/>
      <c r="K21" s="182" t="n"/>
      <c r="L21" s="182" t="n"/>
      <c r="M21" s="182" t="n"/>
      <c r="N21" s="182" t="n"/>
      <c r="O21" s="182" t="n"/>
      <c r="P21" s="182" t="n"/>
      <c r="Q21" s="182" t="n"/>
      <c r="R21" s="182" t="n"/>
      <c r="S21" s="182" t="n"/>
      <c r="T21" s="183" t="n"/>
    </row>
    <row r="22" ht="13.5" customHeight="1">
      <c r="A22" s="184" t="n"/>
      <c r="B22" s="178" t="inlineStr">
        <is>
          <t>service result</t>
        </is>
      </c>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t="13.5" customHeight="1">
      <c r="A23" s="184" t="n"/>
      <c r="B23" s="178" t="n"/>
      <c r="C23" s="179" t="n"/>
      <c r="D23" s="188" t="inlineStr">
        <is>
          <t>WalletService resolves paged transactions</t>
        </is>
      </c>
      <c r="E23" s="189" t="n"/>
      <c r="F23" s="186" t="inlineStr">
        <is>
          <t>O</t>
        </is>
      </c>
      <c r="G23" s="186" t="inlineStr">
        <is>
          <t>O</t>
        </is>
      </c>
      <c r="H23" s="186" t="inlineStr">
        <is>
          <t>O</t>
        </is>
      </c>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paged wallet transactions with wallet snapshot</t>
        </is>
      </c>
      <c r="E38" s="200" t="n"/>
      <c r="F38" s="186" t="inlineStr">
        <is>
          <t>O</t>
        </is>
      </c>
      <c r="G38" s="186" t="inlineStr">
        <is>
          <t>O</t>
        </is>
      </c>
      <c r="H38" s="186" t="inlineStr">
        <is>
          <t>O</t>
        </is>
      </c>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normalizes invalid page and limit values to safe defaults</t>
        </is>
      </c>
      <c r="E43" s="200" t="n"/>
      <c r="F43" s="186" t="n"/>
      <c r="G43" s="186" t="inlineStr">
        <is>
          <t>O</t>
        </is>
      </c>
      <c r="H43" s="182" t="n"/>
      <c r="I43" s="182" t="n"/>
      <c r="J43" s="182" t="n"/>
      <c r="K43" s="182" t="n"/>
      <c r="L43" s="182" t="n"/>
      <c r="M43" s="182" t="n"/>
      <c r="N43" s="182" t="n"/>
      <c r="O43" s="182" t="n"/>
      <c r="P43" s="182" t="n"/>
      <c r="Q43" s="182" t="n"/>
      <c r="R43" s="182" t="n"/>
      <c r="S43" s="182" t="n"/>
      <c r="T43" s="183" t="n"/>
    </row>
    <row r="44" ht="27" customHeight="1">
      <c r="A44" s="197" t="n"/>
      <c r="B44" s="208" t="n"/>
      <c r="C44" s="202" t="n"/>
      <c r="D44" s="203" t="inlineStr">
        <is>
          <t>applies the requested createdAt range filter before querying transactions</t>
        </is>
      </c>
      <c r="E44" s="200" t="n"/>
      <c r="F44" s="182" t="n"/>
      <c r="G44" s="186" t="n"/>
      <c r="H44" s="186" t="inlineStr">
        <is>
          <t>O</t>
        </is>
      </c>
      <c r="I44" s="182" t="n"/>
      <c r="J44" s="182" t="n"/>
      <c r="K44" s="182" t="n"/>
      <c r="L44" s="182" t="n"/>
      <c r="M44" s="182" t="n"/>
      <c r="N44" s="182" t="n"/>
      <c r="O44" s="182" t="n"/>
      <c r="P44" s="182" t="n"/>
      <c r="Q44" s="182" t="n"/>
      <c r="R44" s="182" t="n"/>
      <c r="S44" s="182" t="n"/>
      <c r="T44" s="183" t="n"/>
    </row>
    <row r="45" ht="27" customHeight="1">
      <c r="A45" s="197" t="n"/>
      <c r="B45" s="208" t="n"/>
      <c r="C45" s="202" t="n"/>
      <c r="D45" s="203" t="inlineStr">
        <is>
          <t>calls listTransactions with authenticated user and paging filters</t>
        </is>
      </c>
      <c r="E45" s="200" t="n"/>
      <c r="F45" s="186" t="inlineStr">
        <is>
          <t>O</t>
        </is>
      </c>
      <c r="G45" s="186" t="inlineStr">
        <is>
          <t>O</t>
        </is>
      </c>
      <c r="H45" s="186" t="inlineStr">
        <is>
          <t>O</t>
        </is>
      </c>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B</t>
        </is>
      </c>
      <c r="H50" s="215" t="inlineStr">
        <is>
          <t>A</t>
        </is>
      </c>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List'!E27</f>
        <v/>
      </c>
      <c r="D2" s="131" t="n"/>
      <c r="E2" s="133" t="n"/>
      <c r="F2" s="134" t="inlineStr">
        <is>
          <t>Function Name</t>
        </is>
      </c>
      <c r="G2" s="135" t="n"/>
      <c r="H2" s="135" t="n"/>
      <c r="I2" s="135" t="n"/>
      <c r="J2" s="135" t="n"/>
      <c r="K2" s="135" t="n"/>
      <c r="L2" s="136">
        <f>'Function List'!D27</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31</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approve-specs with executed evidence for controller delegation, propagated service failures, BROKER_ASSIGNED approval, and unexpected-status warning flow.</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8" t="inlineStr">
        <is>
          <t>Project request id "req-1" is supplied</t>
        </is>
      </c>
      <c r="E11" s="185" t="n"/>
      <c r="F11" s="186" t="inlineStr">
        <is>
          <t>O</t>
        </is>
      </c>
      <c r="G11" s="186" t="inlineStr">
        <is>
          <t>O</t>
        </is>
      </c>
      <c r="H11" s="186" t="inlineStr">
        <is>
          <t>O</t>
        </is>
      </c>
      <c r="I11" s="186" t="inlineStr">
        <is>
          <t>O</t>
        </is>
      </c>
      <c r="J11" s="186" t="n"/>
      <c r="K11" s="186" t="n"/>
      <c r="L11" s="186" t="n"/>
      <c r="M11" s="186" t="n"/>
      <c r="N11" s="186" t="n"/>
      <c r="O11" s="186" t="n"/>
      <c r="P11" s="186" t="n"/>
      <c r="Q11" s="186" t="n"/>
      <c r="R11" s="186" t="n"/>
      <c r="S11" s="186" t="n"/>
      <c r="T11" s="187" t="n"/>
      <c r="V11" s="138" t="n"/>
    </row>
    <row r="12" ht="13.5" customHeight="1">
      <c r="A12" s="184" t="n"/>
      <c r="B12" s="178" t="inlineStr">
        <is>
          <t>service</t>
        </is>
      </c>
      <c r="C12" s="179" t="n"/>
      <c r="D12" s="180" t="n"/>
      <c r="E12" s="185" t="n"/>
      <c r="F12" s="186" t="n"/>
      <c r="G12" s="186" t="n"/>
      <c r="H12" s="186" t="n"/>
      <c r="I12" s="186" t="n"/>
      <c r="J12" s="186" t="n"/>
      <c r="K12" s="186" t="n"/>
      <c r="L12" s="186" t="n"/>
      <c r="M12" s="186" t="n"/>
      <c r="N12" s="186" t="n"/>
      <c r="O12" s="186" t="n"/>
      <c r="P12" s="186" t="n"/>
      <c r="Q12" s="186" t="n"/>
      <c r="R12" s="186" t="n"/>
      <c r="S12" s="186" t="n"/>
      <c r="T12" s="187" t="n"/>
    </row>
    <row r="13" ht="27" customHeight="1">
      <c r="A13" s="184" t="n"/>
      <c r="B13" s="178" t="n"/>
      <c r="C13" s="179" t="n"/>
      <c r="D13" s="188" t="inlineStr">
        <is>
          <t>ProjectRequestsService.approveSpecs resolves successfully</t>
        </is>
      </c>
      <c r="E13" s="189" t="n"/>
      <c r="F13" s="186" t="inlineStr">
        <is>
          <t>O</t>
        </is>
      </c>
      <c r="G13" s="182" t="n"/>
      <c r="H13" s="186" t="inlineStr">
        <is>
          <t>O</t>
        </is>
      </c>
      <c r="I13" s="186" t="inlineStr">
        <is>
          <t>O</t>
        </is>
      </c>
      <c r="J13" s="182" t="n"/>
      <c r="K13" s="182" t="n"/>
      <c r="L13" s="182" t="n"/>
      <c r="M13" s="182" t="n"/>
      <c r="N13" s="182" t="n"/>
      <c r="O13" s="182" t="n"/>
      <c r="P13" s="182" t="n"/>
      <c r="Q13" s="182" t="n"/>
      <c r="R13" s="182" t="n"/>
      <c r="S13" s="182" t="n"/>
      <c r="T13" s="183" t="n"/>
    </row>
    <row r="14" ht="13.5" customHeight="1">
      <c r="A14" s="184" t="n"/>
      <c r="B14" s="178" t="n"/>
      <c r="C14" s="179" t="n"/>
      <c r="D14" s="188" t="inlineStr">
        <is>
          <t>ProjectRequestsService.approveSpecs throws an error</t>
        </is>
      </c>
      <c r="E14" s="189" t="n"/>
      <c r="F14" s="186" t="n"/>
      <c r="G14" s="186" t="inlineStr">
        <is>
          <t>O</t>
        </is>
      </c>
      <c r="H14" s="182" t="n"/>
      <c r="I14" s="186" t="n"/>
      <c r="J14" s="182" t="n"/>
      <c r="K14" s="182" t="n"/>
      <c r="L14" s="182" t="n"/>
      <c r="M14" s="182" t="n"/>
      <c r="N14" s="182" t="n"/>
      <c r="O14" s="186" t="n"/>
      <c r="P14" s="186" t="n"/>
      <c r="Q14" s="182" t="n"/>
      <c r="R14" s="182" t="n"/>
      <c r="S14" s="182" t="n"/>
      <c r="T14" s="183" t="n"/>
    </row>
    <row r="15" ht="13.5" customHeight="1">
      <c r="A15" s="184" t="n"/>
      <c r="B15" s="178" t="inlineStr">
        <is>
          <t>request status</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13.5" customHeight="1">
      <c r="A16" s="184" t="n"/>
      <c r="B16" s="178" t="n"/>
      <c r="C16" s="179" t="n"/>
      <c r="D16" s="188" t="inlineStr">
        <is>
          <t>Request status is BROKER_ASSIGNED</t>
        </is>
      </c>
      <c r="E16" s="189" t="n"/>
      <c r="F16" s="182" t="n"/>
      <c r="G16" s="182" t="n"/>
      <c r="H16" s="186" t="inlineStr">
        <is>
          <t>O</t>
        </is>
      </c>
      <c r="I16" s="182" t="n"/>
      <c r="J16" s="186" t="n"/>
      <c r="K16" s="182" t="n"/>
      <c r="L16" s="182" t="n"/>
      <c r="M16" s="182" t="n"/>
      <c r="N16" s="182" t="n"/>
      <c r="O16" s="182" t="n"/>
      <c r="P16" s="182" t="n"/>
      <c r="Q16" s="182" t="n"/>
      <c r="R16" s="182" t="n"/>
      <c r="S16" s="182" t="n"/>
      <c r="T16" s="183" t="n"/>
    </row>
    <row r="17" ht="27" customHeight="1">
      <c r="A17" s="184" t="n"/>
      <c r="B17" s="178" t="n"/>
      <c r="C17" s="179" t="n"/>
      <c r="D17" s="188" t="inlineStr">
        <is>
          <t>Request status is DRAFT and still enters the approval flow</t>
        </is>
      </c>
      <c r="E17" s="189" t="n"/>
      <c r="F17" s="182" t="n"/>
      <c r="G17" s="182" t="n"/>
      <c r="H17" s="182" t="n"/>
      <c r="I17" s="186" t="inlineStr">
        <is>
          <t>O</t>
        </is>
      </c>
      <c r="J17" s="182" t="n"/>
      <c r="K17" s="186"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approve-specs result for request "req-1"</t>
        </is>
      </c>
      <c r="E38" s="200" t="n"/>
      <c r="F38" s="186" t="inlineStr">
        <is>
          <t>O</t>
        </is>
      </c>
      <c r="G38" s="182" t="n"/>
      <c r="H38" s="186" t="inlineStr">
        <is>
          <t>O</t>
        </is>
      </c>
      <c r="I38" s="186" t="inlineStr">
        <is>
          <t>O</t>
        </is>
      </c>
      <c r="J38" s="182" t="n"/>
      <c r="K38" s="182" t="n"/>
      <c r="L38" s="182" t="n"/>
      <c r="M38" s="186" t="n"/>
      <c r="N38" s="182" t="n"/>
      <c r="O38" s="186" t="n"/>
      <c r="P38" s="182" t="n"/>
      <c r="Q38" s="182" t="n"/>
      <c r="R38" s="182" t="n"/>
      <c r="S38" s="182" t="n"/>
      <c r="T38" s="183" t="n"/>
    </row>
    <row r="39" ht="13.5" customHeight="1">
      <c r="A39" s="197" t="n"/>
      <c r="B39" s="201" t="n"/>
      <c r="C39" s="202" t="n"/>
      <c r="D39" s="203" t="inlineStr">
        <is>
          <t>re-throws approve-specs service failure</t>
        </is>
      </c>
      <c r="E39" s="200" t="n"/>
      <c r="F39" s="182" t="n"/>
      <c r="G39" s="186" t="inlineStr">
        <is>
          <t>O</t>
        </is>
      </c>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idden="1" ht="13.5" customHeight="1">
      <c r="A41" s="197" t="n"/>
      <c r="B41" s="204" t="n"/>
      <c r="C41" s="205" t="n"/>
      <c r="D41" s="206" t="n"/>
      <c r="E41" s="200" t="n"/>
      <c r="F41" s="182" t="n"/>
      <c r="G41" s="182" t="n"/>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persists request status = SPEC_APPROVED</t>
        </is>
      </c>
      <c r="E43" s="200" t="n"/>
      <c r="F43" s="186" t="n"/>
      <c r="G43" s="182" t="n"/>
      <c r="H43" s="186" t="inlineStr">
        <is>
          <t>O</t>
        </is>
      </c>
      <c r="I43" s="186" t="inlineStr">
        <is>
          <t>O</t>
        </is>
      </c>
      <c r="J43" s="182" t="n"/>
      <c r="K43" s="182" t="n"/>
      <c r="L43" s="182" t="n"/>
      <c r="M43" s="182" t="n"/>
      <c r="N43" s="182" t="n"/>
      <c r="O43" s="182" t="n"/>
      <c r="P43" s="182" t="n"/>
      <c r="Q43" s="182" t="n"/>
      <c r="R43" s="182" t="n"/>
      <c r="S43" s="182" t="n"/>
      <c r="T43" s="183" t="n"/>
    </row>
    <row r="44" ht="27" customHeight="1">
      <c r="A44" s="197" t="n"/>
      <c r="B44" s="208" t="n"/>
      <c r="C44" s="202" t="n"/>
      <c r="D44" s="203" t="inlineStr">
        <is>
          <t>notifies both client and broker after the approval event</t>
        </is>
      </c>
      <c r="E44" s="200" t="n"/>
      <c r="F44" s="182" t="n"/>
      <c r="G44" s="186" t="n"/>
      <c r="H44" s="186" t="inlineStr">
        <is>
          <t>O</t>
        </is>
      </c>
      <c r="I44" s="182" t="n"/>
      <c r="J44" s="182" t="n"/>
      <c r="K44" s="182" t="n"/>
      <c r="L44" s="182" t="n"/>
      <c r="M44" s="182" t="n"/>
      <c r="N44" s="182" t="n"/>
      <c r="O44" s="182" t="n"/>
      <c r="P44" s="182" t="n"/>
      <c r="Q44" s="182" t="n"/>
      <c r="R44" s="182" t="n"/>
      <c r="S44" s="182" t="n"/>
      <c r="T44" s="183" t="n"/>
    </row>
    <row r="45" ht="27" customHeight="1">
      <c r="A45" s="197" t="n"/>
      <c r="B45" s="208" t="n"/>
      <c r="C45" s="202" t="n"/>
      <c r="D45" s="203" t="inlineStr">
        <is>
          <t>records a warning when specs are approved from an unexpected status</t>
        </is>
      </c>
      <c r="E45" s="200" t="n"/>
      <c r="F45" s="182" t="n"/>
      <c r="G45" s="182" t="n"/>
      <c r="H45" s="186" t="n"/>
      <c r="I45" s="186" t="inlineStr">
        <is>
          <t>O</t>
        </is>
      </c>
      <c r="J45" s="182" t="n"/>
      <c r="K45" s="182" t="n"/>
      <c r="L45" s="182" t="n"/>
      <c r="M45" s="182" t="n"/>
      <c r="N45" s="182" t="n"/>
      <c r="O45" s="182" t="n"/>
      <c r="P45" s="182" t="n"/>
      <c r="Q45" s="182" t="n"/>
      <c r="R45" s="182" t="n"/>
      <c r="S45" s="182" t="n"/>
      <c r="T45" s="183" t="n"/>
    </row>
    <row r="46" ht="13.5" customHeight="1">
      <c r="A46" s="197" t="n"/>
      <c r="B46" s="208" t="n"/>
      <c r="C46" s="202" t="n"/>
      <c r="D46" s="203" t="inlineStr">
        <is>
          <t>calls approveSpecs with the supplied request id</t>
        </is>
      </c>
      <c r="E46" s="200" t="n"/>
      <c r="F46" s="186" t="inlineStr">
        <is>
          <t>O</t>
        </is>
      </c>
      <c r="G46" s="186" t="inlineStr">
        <is>
          <t>O</t>
        </is>
      </c>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N</t>
        </is>
      </c>
      <c r="I50" s="215" t="inlineStr">
        <is>
          <t>A</t>
        </is>
      </c>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List'!E28</f>
        <v/>
      </c>
      <c r="D2" s="131" t="n"/>
      <c r="E2" s="133" t="n"/>
      <c r="F2" s="134" t="inlineStr">
        <is>
          <t>Function Name</t>
        </is>
      </c>
      <c r="G2" s="135" t="n"/>
      <c r="H2" s="135" t="n"/>
      <c r="I2" s="135" t="n"/>
      <c r="J2" s="135" t="n"/>
      <c r="K2" s="135" t="n"/>
      <c r="L2" s="136">
        <f>'Function List'!D28</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74</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convert-to-project with executed evidence for controller delegation, propagated service failures, successful linked-project conversion, missing finalized-spec rejection, and unauthorized-broker rejection.</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inlineStr">
        <is>
          <t>UTCID03</t>
        </is>
      </c>
      <c r="I9" s="174" t="inlineStr">
        <is>
          <t>UTCID04</t>
        </is>
      </c>
      <c r="J9" s="174" t="inlineStr">
        <is>
          <t>UTCID05</t>
        </is>
      </c>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8" t="inlineStr">
        <is>
          <t>Project request id "req-1" is supplied</t>
        </is>
      </c>
      <c r="E11" s="185" t="n"/>
      <c r="F11" s="186" t="inlineStr">
        <is>
          <t>O</t>
        </is>
      </c>
      <c r="G11" s="186" t="inlineStr">
        <is>
          <t>O</t>
        </is>
      </c>
      <c r="H11" s="186" t="inlineStr">
        <is>
          <t>O</t>
        </is>
      </c>
      <c r="I11" s="186" t="inlineStr">
        <is>
          <t>O</t>
        </is>
      </c>
      <c r="J11" s="186" t="inlineStr">
        <is>
          <t>O</t>
        </is>
      </c>
      <c r="K11" s="186" t="n"/>
      <c r="L11" s="186" t="n"/>
      <c r="M11" s="186" t="n"/>
      <c r="N11" s="186" t="n"/>
      <c r="O11" s="186" t="n"/>
      <c r="P11" s="186" t="n"/>
      <c r="Q11" s="186" t="n"/>
      <c r="R11" s="186" t="n"/>
      <c r="S11" s="186" t="n"/>
      <c r="T11" s="187" t="n"/>
      <c r="V11" s="138" t="n"/>
    </row>
    <row r="12" ht="13.5" customHeight="1">
      <c r="A12" s="184" t="n"/>
      <c r="B12" s="178" t="inlineStr">
        <is>
          <t>actor</t>
        </is>
      </c>
      <c r="C12" s="179" t="n"/>
      <c r="D12" s="180" t="n"/>
      <c r="E12" s="185" t="n"/>
      <c r="F12" s="186" t="n"/>
      <c r="G12" s="186" t="n"/>
      <c r="H12" s="186" t="n"/>
      <c r="I12" s="186" t="n"/>
      <c r="J12" s="186" t="n"/>
      <c r="K12" s="186" t="n"/>
      <c r="L12" s="186" t="n"/>
      <c r="M12" s="186" t="n"/>
      <c r="N12" s="186" t="n"/>
      <c r="O12" s="186" t="n"/>
      <c r="P12" s="186" t="n"/>
      <c r="Q12" s="186" t="n"/>
      <c r="R12" s="186" t="n"/>
      <c r="S12" s="186" t="n"/>
      <c r="T12" s="187" t="n"/>
    </row>
    <row r="13" ht="13.5" customHeight="1">
      <c r="A13" s="184" t="n"/>
      <c r="B13" s="178" t="n"/>
      <c r="C13" s="179" t="n"/>
      <c r="D13" s="188" t="inlineStr">
        <is>
          <t>Authenticated actor is broker "broker-1"</t>
        </is>
      </c>
      <c r="E13" s="189" t="n"/>
      <c r="F13" s="186" t="inlineStr">
        <is>
          <t>O</t>
        </is>
      </c>
      <c r="G13" s="182" t="n"/>
      <c r="H13" s="186" t="inlineStr">
        <is>
          <t>O</t>
        </is>
      </c>
      <c r="I13" s="186" t="inlineStr">
        <is>
          <t>O</t>
        </is>
      </c>
      <c r="J13" s="182" t="n"/>
      <c r="K13" s="182" t="n"/>
      <c r="L13" s="182" t="n"/>
      <c r="M13" s="182" t="n"/>
      <c r="N13" s="182" t="n"/>
      <c r="O13" s="182" t="n"/>
      <c r="P13" s="182" t="n"/>
      <c r="Q13" s="182" t="n"/>
      <c r="R13" s="182" t="n"/>
      <c r="S13" s="182" t="n"/>
      <c r="T13" s="183" t="n"/>
    </row>
    <row r="14" ht="13.5" customHeight="1">
      <c r="A14" s="184" t="n"/>
      <c r="B14" s="178" t="n"/>
      <c r="C14" s="179" t="n"/>
      <c r="D14" s="188" t="inlineStr">
        <is>
          <t>Authenticated actor is broker "broker-2"</t>
        </is>
      </c>
      <c r="E14" s="189" t="n"/>
      <c r="F14" s="186" t="n"/>
      <c r="G14" s="182" t="n"/>
      <c r="H14" s="182" t="n"/>
      <c r="I14" s="186" t="n"/>
      <c r="J14" s="186" t="inlineStr">
        <is>
          <t>O</t>
        </is>
      </c>
      <c r="K14" s="182" t="n"/>
      <c r="L14" s="182" t="n"/>
      <c r="M14" s="182" t="n"/>
      <c r="N14" s="182" t="n"/>
      <c r="O14" s="186" t="n"/>
      <c r="P14" s="186" t="n"/>
      <c r="Q14" s="182" t="n"/>
      <c r="R14" s="182" t="n"/>
      <c r="S14" s="182" t="n"/>
      <c r="T14" s="183" t="n"/>
    </row>
    <row r="15" ht="13.5" customHeight="1">
      <c r="A15" s="184" t="n"/>
      <c r="B15" s="178" t="inlineStr">
        <is>
          <t>linked project</t>
        </is>
      </c>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t="27" customHeight="1">
      <c r="A16" s="184" t="n"/>
      <c r="B16" s="178" t="n"/>
      <c r="C16" s="179" t="n"/>
      <c r="D16" s="188" t="inlineStr">
        <is>
          <t>Project "project-1" is already linked to request "req-1"</t>
        </is>
      </c>
      <c r="E16" s="189" t="n"/>
      <c r="F16" s="182" t="n"/>
      <c r="G16" s="182" t="n"/>
      <c r="H16" s="186" t="inlineStr">
        <is>
          <t>O</t>
        </is>
      </c>
      <c r="I16" s="182" t="n"/>
      <c r="J16" s="186" t="n"/>
      <c r="K16" s="182" t="n"/>
      <c r="L16" s="182" t="n"/>
      <c r="M16" s="182" t="n"/>
      <c r="N16" s="182" t="n"/>
      <c r="O16" s="182" t="n"/>
      <c r="P16" s="182" t="n"/>
      <c r="Q16" s="182" t="n"/>
      <c r="R16" s="182" t="n"/>
      <c r="S16" s="182" t="n"/>
      <c r="T16" s="183" t="n"/>
    </row>
    <row r="17" ht="13.5" customHeight="1">
      <c r="A17" s="184" t="n"/>
      <c r="B17" s="178" t="inlineStr">
        <is>
          <t>full spec</t>
        </is>
      </c>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t="13.5" customHeight="1">
      <c r="A18" s="184" t="n"/>
      <c r="B18" s="178" t="n"/>
      <c r="C18" s="179" t="n"/>
      <c r="D18" s="188" t="inlineStr">
        <is>
          <t>No finalized full spec exists for request "req-1"</t>
        </is>
      </c>
      <c r="E18" s="189" t="n"/>
      <c r="F18" s="182" t="n"/>
      <c r="G18" s="182" t="n"/>
      <c r="H18" s="182" t="n"/>
      <c r="I18" s="186" t="inlineStr">
        <is>
          <t>O</t>
        </is>
      </c>
      <c r="J18" s="182" t="n"/>
      <c r="K18" s="186" t="n"/>
      <c r="L18" s="186" t="n"/>
      <c r="M18" s="182" t="n"/>
      <c r="N18" s="182" t="n"/>
      <c r="O18" s="182" t="n"/>
      <c r="P18" s="182" t="n"/>
      <c r="Q18" s="182" t="n"/>
      <c r="R18" s="182" t="n"/>
      <c r="S18" s="182" t="n"/>
      <c r="T18" s="183" t="n"/>
    </row>
    <row r="19" ht="13.5" customHeight="1">
      <c r="A19" s="184" t="n"/>
      <c r="B19" s="178" t="inlineStr">
        <is>
          <t>service</t>
        </is>
      </c>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t="13.5" customHeight="1">
      <c r="A20" s="184" t="n"/>
      <c r="B20" s="178" t="n"/>
      <c r="C20" s="179" t="n"/>
      <c r="D20" s="188" t="inlineStr">
        <is>
          <t>ProjectRequestsService.convertToProject throws an error</t>
        </is>
      </c>
      <c r="E20" s="189" t="n"/>
      <c r="F20" s="182" t="n"/>
      <c r="G20" s="186" t="inlineStr">
        <is>
          <t>O</t>
        </is>
      </c>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project-conversion result for request "req-1"</t>
        </is>
      </c>
      <c r="E38" s="200" t="n"/>
      <c r="F38" s="186" t="inlineStr">
        <is>
          <t>O</t>
        </is>
      </c>
      <c r="G38" s="182" t="n"/>
      <c r="H38" s="186" t="inlineStr">
        <is>
          <t>O</t>
        </is>
      </c>
      <c r="I38" s="182" t="n"/>
      <c r="J38" s="182" t="n"/>
      <c r="K38" s="182" t="n"/>
      <c r="L38" s="182" t="n"/>
      <c r="M38" s="186" t="n"/>
      <c r="N38" s="182" t="n"/>
      <c r="O38" s="186" t="n"/>
      <c r="P38" s="182" t="n"/>
      <c r="Q38" s="182" t="n"/>
      <c r="R38" s="182" t="n"/>
      <c r="S38" s="182" t="n"/>
      <c r="T38" s="183" t="n"/>
    </row>
    <row r="39" ht="13.5" customHeight="1">
      <c r="A39" s="197" t="n"/>
      <c r="B39" s="201" t="n"/>
      <c r="C39" s="202" t="n"/>
      <c r="D39" s="203" t="inlineStr">
        <is>
          <t>re-throws convert-to-project service failure</t>
        </is>
      </c>
      <c r="E39" s="200" t="n"/>
      <c r="F39" s="182" t="n"/>
      <c r="G39" s="186" t="inlineStr">
        <is>
          <t>O</t>
        </is>
      </c>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27" customHeight="1">
      <c r="A41" s="197" t="n"/>
      <c r="B41" s="204" t="n"/>
      <c r="C41" s="205" t="n"/>
      <c r="D41" s="207" t="inlineStr">
        <is>
          <t>BadRequestException: cannot convert request without a finalized full specification</t>
        </is>
      </c>
      <c r="E41" s="200" t="n"/>
      <c r="F41" s="182" t="n"/>
      <c r="G41" s="182" t="n"/>
      <c r="H41" s="182" t="n"/>
      <c r="I41" s="186" t="inlineStr">
        <is>
          <t>O</t>
        </is>
      </c>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ForbiddenException: only the assigned broker or internal staff can convert this request</t>
        </is>
      </c>
      <c r="E43" s="200" t="n"/>
      <c r="F43" s="186" t="n"/>
      <c r="G43" s="182" t="n"/>
      <c r="H43" s="182" t="n"/>
      <c r="I43" s="182" t="n"/>
      <c r="J43" s="186" t="inlineStr">
        <is>
          <t>O</t>
        </is>
      </c>
      <c r="K43" s="182" t="n"/>
      <c r="L43" s="182" t="n"/>
      <c r="M43" s="182" t="n"/>
      <c r="N43" s="182" t="n"/>
      <c r="O43" s="182" t="n"/>
      <c r="P43" s="182" t="n"/>
      <c r="Q43" s="182" t="n"/>
      <c r="R43" s="182" t="n"/>
      <c r="S43" s="182" t="n"/>
      <c r="T43" s="183" t="n"/>
    </row>
    <row r="44" ht="13.5" customHeight="1">
      <c r="A44" s="197" t="n"/>
      <c r="B44" s="208" t="n"/>
      <c r="C44" s="202" t="n"/>
      <c r="D44" s="203" t="inlineStr">
        <is>
          <t>persists request status = CONVERTED_TO_PROJECT</t>
        </is>
      </c>
      <c r="E44" s="200" t="n"/>
      <c r="F44" s="182" t="n"/>
      <c r="G44" s="186" t="n"/>
      <c r="H44" s="186" t="inlineStr">
        <is>
          <t>O</t>
        </is>
      </c>
      <c r="I44" s="182" t="n"/>
      <c r="J44" s="182" t="n"/>
      <c r="K44" s="182" t="n"/>
      <c r="L44" s="182" t="n"/>
      <c r="M44" s="182" t="n"/>
      <c r="N44" s="182" t="n"/>
      <c r="O44" s="182" t="n"/>
      <c r="P44" s="182" t="n"/>
      <c r="Q44" s="182" t="n"/>
      <c r="R44" s="182" t="n"/>
      <c r="S44" s="182" t="n"/>
      <c r="T44" s="183" t="n"/>
    </row>
    <row r="45" ht="27" customHeight="1">
      <c r="A45" s="197" t="n"/>
      <c r="B45" s="208" t="n"/>
      <c r="C45" s="202" t="n"/>
      <c r="D45" s="203" t="inlineStr">
        <is>
          <t>emits system message for linked project "Kickoff Project"</t>
        </is>
      </c>
      <c r="E45" s="200" t="n"/>
      <c r="F45" s="182" t="n"/>
      <c r="G45" s="182" t="n"/>
      <c r="H45" s="186" t="inlineStr">
        <is>
          <t>O</t>
        </is>
      </c>
      <c r="I45" s="182" t="n"/>
      <c r="J45" s="182" t="n"/>
      <c r="K45" s="182" t="n"/>
      <c r="L45" s="182" t="n"/>
      <c r="M45" s="182" t="n"/>
      <c r="N45" s="182" t="n"/>
      <c r="O45" s="182" t="n"/>
      <c r="P45" s="182" t="n"/>
      <c r="Q45" s="182" t="n"/>
      <c r="R45" s="182" t="n"/>
      <c r="S45" s="182" t="n"/>
      <c r="T45" s="183" t="n"/>
    </row>
    <row r="46" ht="27" customHeight="1">
      <c r="A46" s="197" t="n"/>
      <c r="B46" s="208" t="n"/>
      <c r="C46" s="202" t="n"/>
      <c r="D46" s="203" t="inlineStr">
        <is>
          <t>calls convertToProject with request id and authenticated user</t>
        </is>
      </c>
      <c r="E46" s="200" t="n"/>
      <c r="F46" s="186" t="inlineStr">
        <is>
          <t>O</t>
        </is>
      </c>
      <c r="G46" s="186" t="inlineStr">
        <is>
          <t>O</t>
        </is>
      </c>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inlineStr">
        <is>
          <t>N</t>
        </is>
      </c>
      <c r="I50" s="215" t="inlineStr">
        <is>
          <t>A</t>
        </is>
      </c>
      <c r="J50" s="215" t="inlineStr">
        <is>
          <t>A</t>
        </is>
      </c>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inlineStr">
        <is>
          <t>P</t>
        </is>
      </c>
      <c r="I51" s="220" t="inlineStr">
        <is>
          <t>P</t>
        </is>
      </c>
      <c r="J51" s="220" t="inlineStr">
        <is>
          <t>P</t>
        </is>
      </c>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v>46111</v>
      </c>
      <c r="I52" s="224" t="n">
        <v>46111</v>
      </c>
      <c r="J52" s="224" t="n">
        <v>46111</v>
      </c>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List'!E29</f>
        <v/>
      </c>
      <c r="D2" s="131" t="n"/>
      <c r="E2" s="133" t="n"/>
      <c r="F2" s="134" t="inlineStr">
        <is>
          <t>Function Name</t>
        </is>
      </c>
      <c r="G2" s="135" t="n"/>
      <c r="H2" s="135" t="n"/>
      <c r="I2" s="135" t="n"/>
      <c r="J2" s="135" t="n"/>
      <c r="K2" s="135" t="n"/>
      <c r="L2" s="136">
        <f>'Function List'!D29</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8</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/project-specs/pending with executed evidence for successful staff retrieval and propagated pending-spec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8" t="inlineStr">
        <is>
          <t>Pending-specs route is invoked by staff or admin</t>
        </is>
      </c>
      <c r="E11" s="185" t="n"/>
      <c r="F11" s="186" t="inlineStr">
        <is>
          <t>O</t>
        </is>
      </c>
      <c r="G11" s="186" t="inlineStr">
        <is>
          <t>O</t>
        </is>
      </c>
      <c r="H11" s="186" t="n"/>
      <c r="I11" s="186" t="n"/>
      <c r="J11" s="186" t="n"/>
      <c r="K11" s="186" t="n"/>
      <c r="L11" s="186" t="n"/>
      <c r="M11" s="186" t="n"/>
      <c r="N11" s="186" t="n"/>
      <c r="O11" s="186" t="n"/>
      <c r="P11" s="186" t="n"/>
      <c r="Q11" s="186" t="n"/>
      <c r="R11" s="186" t="n"/>
      <c r="S11" s="186" t="n"/>
      <c r="T11" s="187" t="n"/>
      <c r="V11" s="138" t="n"/>
    </row>
    <row r="12" ht="13.5" customHeight="1">
      <c r="A12" s="184" t="n"/>
      <c r="B12" s="178" t="inlineStr">
        <is>
          <t>service</t>
        </is>
      </c>
      <c r="C12" s="179" t="n"/>
      <c r="D12" s="180" t="n"/>
      <c r="E12" s="185" t="n"/>
      <c r="F12" s="186" t="n"/>
      <c r="G12" s="186" t="n"/>
      <c r="H12" s="186" t="n"/>
      <c r="I12" s="186" t="n"/>
      <c r="J12" s="186" t="n"/>
      <c r="K12" s="186" t="n"/>
      <c r="L12" s="186" t="n"/>
      <c r="M12" s="186" t="n"/>
      <c r="N12" s="186" t="n"/>
      <c r="O12" s="186" t="n"/>
      <c r="P12" s="186" t="n"/>
      <c r="Q12" s="186" t="n"/>
      <c r="R12" s="186" t="n"/>
      <c r="S12" s="186" t="n"/>
      <c r="T12" s="187" t="n"/>
    </row>
    <row r="13" ht="27" customHeight="1">
      <c r="A13" s="184" t="n"/>
      <c r="B13" s="178" t="n"/>
      <c r="C13" s="179" t="n"/>
      <c r="D13" s="188" t="inlineStr">
        <is>
          <t>ProjectSpecsService.findPendingSpecs resolves pending items</t>
        </is>
      </c>
      <c r="E13" s="189" t="n"/>
      <c r="F13" s="186" t="inlineStr">
        <is>
          <t>O</t>
        </is>
      </c>
      <c r="G13" s="182" t="n"/>
      <c r="H13" s="182" t="n"/>
      <c r="I13" s="182" t="n"/>
      <c r="J13" s="182" t="n"/>
      <c r="K13" s="182" t="n"/>
      <c r="L13" s="182" t="n"/>
      <c r="M13" s="182" t="n"/>
      <c r="N13" s="182" t="n"/>
      <c r="O13" s="182" t="n"/>
      <c r="P13" s="182" t="n"/>
      <c r="Q13" s="182" t="n"/>
      <c r="R13" s="182" t="n"/>
      <c r="S13" s="182" t="n"/>
      <c r="T13" s="183" t="n"/>
    </row>
    <row r="14" ht="13.5" customHeight="1">
      <c r="A14" s="184" t="n"/>
      <c r="B14" s="178" t="n"/>
      <c r="C14" s="179" t="n"/>
      <c r="D14" s="188" t="inlineStr">
        <is>
          <t>ProjectSpecsService.findPendingSpecs throws an error</t>
        </is>
      </c>
      <c r="E14" s="189" t="n"/>
      <c r="F14" s="186" t="n"/>
      <c r="G14" s="186" t="inlineStr">
        <is>
          <t>O</t>
        </is>
      </c>
      <c r="H14" s="182" t="n"/>
      <c r="I14" s="186" t="n"/>
      <c r="J14" s="182" t="n"/>
      <c r="K14" s="182" t="n"/>
      <c r="L14" s="182" t="n"/>
      <c r="M14" s="182" t="n"/>
      <c r="N14" s="182" t="n"/>
      <c r="O14" s="186" t="n"/>
      <c r="P14" s="186" t="n"/>
      <c r="Q14" s="182" t="n"/>
      <c r="R14" s="182" t="n"/>
      <c r="S14" s="182" t="n"/>
      <c r="T14" s="183" t="n"/>
    </row>
    <row r="15" hidden="1" ht="13.5" customHeight="1">
      <c r="A15" s="184" t="n"/>
      <c r="B15" s="178" t="n"/>
      <c r="C15" s="179" t="n"/>
      <c r="D15" s="180" t="n"/>
      <c r="E15" s="189" t="n"/>
      <c r="F15" s="182" t="n"/>
      <c r="G15" s="186" t="n"/>
      <c r="H15" s="186" t="n"/>
      <c r="I15" s="182" t="n"/>
      <c r="J15" s="182" t="n"/>
      <c r="K15" s="182" t="n"/>
      <c r="L15" s="182" t="n"/>
      <c r="M15" s="182" t="n"/>
      <c r="N15" s="182" t="n"/>
      <c r="O15" s="182" t="n"/>
      <c r="P15" s="182" t="n"/>
      <c r="Q15" s="182" t="n"/>
      <c r="R15" s="182" t="n"/>
      <c r="S15" s="182" t="n"/>
      <c r="T15" s="183" t="n"/>
    </row>
    <row r="16" hidden="1" ht="13.5" customHeight="1">
      <c r="A16" s="184" t="n"/>
      <c r="B16" s="178" t="n"/>
      <c r="C16" s="179" t="n"/>
      <c r="D16" s="180" t="n"/>
      <c r="E16" s="189" t="n"/>
      <c r="F16" s="182" t="n"/>
      <c r="G16" s="182" t="n"/>
      <c r="H16" s="182" t="n"/>
      <c r="I16" s="182" t="n"/>
      <c r="J16" s="186"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13.5" customHeight="1">
      <c r="A38" s="197" t="n"/>
      <c r="B38" s="191" t="n"/>
      <c r="C38" s="198" t="n"/>
      <c r="D38" s="199" t="inlineStr">
        <is>
          <t>returns pending specs for staff review</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re-throws pending-spec lookup failure</t>
        </is>
      </c>
      <c r="E41" s="200" t="n"/>
      <c r="F41" s="182" t="n"/>
      <c r="G41" s="186" t="inlineStr">
        <is>
          <t>O</t>
        </is>
      </c>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13.5" customHeight="1">
      <c r="A43" s="197" t="n"/>
      <c r="B43" s="208" t="n"/>
      <c r="C43" s="202" t="n"/>
      <c r="D43" s="203" t="inlineStr">
        <is>
          <t>calls findPendingSpecs without extra query parameters</t>
        </is>
      </c>
      <c r="E43" s="200" t="n"/>
      <c r="F43" s="186" t="inlineStr">
        <is>
          <t>O</t>
        </is>
      </c>
      <c r="G43" s="186" t="inlineStr">
        <is>
          <t>O</t>
        </is>
      </c>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V54"/>
  <sheetViews>
    <sheetView workbookViewId="0">
      <selection activeCell="A1" sqref="A1"/>
    </sheetView>
  </sheetViews>
  <sheetFormatPr baseColWidth="8" defaultRowHeight="15"/>
  <cols>
    <col width="8.1796875" customWidth="1" min="1" max="1"/>
    <col width="13.453125" customWidth="1" min="2" max="2"/>
    <col width="10.81640625" customWidth="1" min="3" max="3"/>
    <col width="26.6328125" customWidth="1" min="4" max="4"/>
    <col hidden="1" width="1.81640625" customWidth="1" min="5" max="5"/>
    <col width="2.81640625" bestFit="1" customWidth="1" min="6" max="6"/>
    <col width="2.81640625" customWidth="1" min="12" max="12"/>
    <col width="2.81640625" bestFit="1" customWidth="1" min="20" max="20"/>
    <col width="2.81640625" customWidth="1" min="21" max="21"/>
    <col width="11" customWidth="1" min="22" max="22"/>
    <col width="9" customWidth="1" min="257" max="257"/>
  </cols>
  <sheetData>
    <row r="1" ht="13.5" customHeight="1">
      <c r="A1" s="128" t="n"/>
      <c r="B1" s="129" t="n"/>
    </row>
    <row r="2" ht="13.5" customHeight="1">
      <c r="A2" s="130" t="inlineStr">
        <is>
          <t>Function Code</t>
        </is>
      </c>
      <c r="B2" s="131" t="n"/>
      <c r="C2" s="132">
        <f>'Function List'!E30</f>
        <v/>
      </c>
      <c r="D2" s="131" t="n"/>
      <c r="E2" s="133" t="n"/>
      <c r="F2" s="134" t="inlineStr">
        <is>
          <t>Function Name</t>
        </is>
      </c>
      <c r="G2" s="135" t="n"/>
      <c r="H2" s="135" t="n"/>
      <c r="I2" s="135" t="n"/>
      <c r="J2" s="135" t="n"/>
      <c r="K2" s="135" t="n"/>
      <c r="L2" s="136">
        <f>'Function List'!D30</f>
        <v/>
      </c>
      <c r="M2" s="131" t="n"/>
      <c r="N2" s="131" t="n"/>
      <c r="O2" s="131" t="n"/>
      <c r="P2" s="131" t="n"/>
      <c r="Q2" s="131" t="n"/>
      <c r="R2" s="131" t="n"/>
      <c r="S2" s="131" t="n"/>
      <c r="T2" s="137" t="n"/>
      <c r="V2" s="138" t="n"/>
    </row>
    <row r="3" ht="13.5" customHeight="1">
      <c r="A3" s="139" t="inlineStr">
        <is>
          <t>Created By</t>
        </is>
      </c>
      <c r="B3" s="4" t="n"/>
      <c r="C3" s="140" t="inlineStr">
        <is>
          <t>Nguyen Phuc An</t>
        </is>
      </c>
      <c r="D3" s="18" t="n"/>
      <c r="E3" s="141" t="n"/>
      <c r="F3" s="142" t="inlineStr">
        <is>
          <t>Executed By</t>
        </is>
      </c>
      <c r="G3" s="143" t="n"/>
      <c r="H3" s="143" t="n"/>
      <c r="I3" s="143" t="n"/>
      <c r="J3" s="143" t="n"/>
      <c r="K3" s="144" t="n"/>
      <c r="L3" s="145" t="inlineStr">
        <is>
          <t>Nguyen Phuc An</t>
        </is>
      </c>
      <c r="M3" s="146" t="n"/>
      <c r="N3" s="146" t="n"/>
      <c r="O3" s="146" t="n"/>
      <c r="P3" s="146" t="n"/>
      <c r="Q3" s="146" t="n"/>
      <c r="R3" s="146" t="n"/>
      <c r="S3" s="146" t="n"/>
      <c r="T3" s="147" t="n"/>
    </row>
    <row r="4" ht="13.5" customHeight="1">
      <c r="A4" s="139" t="inlineStr">
        <is>
          <t>Lines  of code</t>
        </is>
      </c>
      <c r="B4" s="4" t="n"/>
      <c r="C4" s="148" t="n">
        <v>9</v>
      </c>
      <c r="D4" s="3" t="n"/>
      <c r="E4" s="149" t="n"/>
      <c r="F4" s="142" t="inlineStr">
        <is>
          <t>Lack of test cases</t>
        </is>
      </c>
      <c r="G4" s="143" t="n"/>
      <c r="H4" s="143" t="n"/>
      <c r="I4" s="143" t="n"/>
      <c r="J4" s="143" t="n"/>
      <c r="K4" s="144" t="n"/>
      <c r="L4" s="150" t="n">
        <v>0</v>
      </c>
      <c r="M4" s="3" t="n"/>
      <c r="N4" s="3" t="n"/>
      <c r="O4" s="3" t="n"/>
      <c r="P4" s="3" t="n"/>
      <c r="Q4" s="3" t="n"/>
      <c r="R4" s="3" t="n"/>
      <c r="S4" s="3" t="n"/>
      <c r="T4" s="151" t="n"/>
      <c r="V4" s="138" t="n"/>
    </row>
    <row r="5" ht="40" customHeight="1">
      <c r="A5" s="139" t="inlineStr">
        <is>
          <t>Test requirement</t>
        </is>
      </c>
      <c r="B5" s="4" t="n"/>
      <c r="C5" s="152" t="inlineStr">
        <is>
          <t>Cover GET /project-specs/client-review with executed evidence for successful client-specific retrieval and propagated client-review lookup failures.</t>
        </is>
      </c>
      <c r="D5" s="3" t="n"/>
      <c r="E5" s="3" t="n"/>
      <c r="F5" s="3" t="n"/>
      <c r="G5" s="3" t="n"/>
      <c r="H5" s="3" t="n"/>
      <c r="I5" s="3" t="n"/>
      <c r="J5" s="3" t="n"/>
      <c r="K5" s="3" t="n"/>
      <c r="L5" s="3" t="n"/>
      <c r="M5" s="3" t="n"/>
      <c r="N5" s="3" t="n"/>
      <c r="O5" s="3" t="n"/>
      <c r="P5" s="3" t="n"/>
      <c r="Q5" s="3" t="n"/>
      <c r="R5" s="3" t="n"/>
      <c r="S5" s="3" t="n"/>
      <c r="T5" s="151" t="n"/>
    </row>
    <row r="6" ht="13.5" customHeight="1">
      <c r="A6" s="153" t="inlineStr">
        <is>
          <t>Passed</t>
        </is>
      </c>
      <c r="B6" s="4" t="n"/>
      <c r="C6" s="154" t="inlineStr">
        <is>
          <t>Failed</t>
        </is>
      </c>
      <c r="D6" s="3" t="n"/>
      <c r="E6" s="4" t="n"/>
      <c r="F6" s="155" t="inlineStr">
        <is>
          <t>Untested</t>
        </is>
      </c>
      <c r="G6" s="3" t="n"/>
      <c r="H6" s="3" t="n"/>
      <c r="I6" s="3" t="n"/>
      <c r="J6" s="3" t="n"/>
      <c r="K6" s="156" t="n"/>
      <c r="L6" s="157" t="inlineStr">
        <is>
          <t>N/A/B</t>
        </is>
      </c>
      <c r="M6" s="3" t="n"/>
      <c r="N6" s="3" t="n"/>
      <c r="O6" s="158" t="inlineStr">
        <is>
          <t>Total Test Cases</t>
        </is>
      </c>
      <c r="P6" s="3" t="n"/>
      <c r="Q6" s="3" t="n"/>
      <c r="R6" s="3" t="n"/>
      <c r="S6" s="3" t="n"/>
      <c r="T6" s="159" t="n"/>
      <c r="V6" s="138" t="n"/>
    </row>
    <row r="7" ht="13.5" customHeight="1">
      <c r="A7" s="160">
        <f>COUNTIF(F51:HQ51,"P")</f>
        <v/>
      </c>
      <c r="B7" s="161" t="n"/>
      <c r="C7" s="162">
        <f>COUNTIF(F51:HQ51,"F")</f>
        <v/>
      </c>
      <c r="D7" s="163" t="n"/>
      <c r="E7" s="161" t="n"/>
      <c r="F7" s="164">
        <f>SUM(O7,- A7,- C7)</f>
        <v/>
      </c>
      <c r="G7" s="163" t="n"/>
      <c r="H7" s="163" t="n"/>
      <c r="I7" s="163" t="n"/>
      <c r="J7" s="163" t="n"/>
      <c r="K7" s="165" t="n"/>
      <c r="L7" s="166">
        <f>COUNTIF(E50:HQ50,"N")</f>
        <v/>
      </c>
      <c r="M7" s="166">
        <f>COUNTIF(E50:HQ50,"A")</f>
        <v/>
      </c>
      <c r="N7" s="166">
        <f>COUNTIF(E50:HQ50,"B")</f>
        <v/>
      </c>
      <c r="O7" s="167">
        <f>COUNTA(E9:HT9)</f>
        <v/>
      </c>
      <c r="P7" s="163" t="n"/>
      <c r="Q7" s="163" t="n"/>
      <c r="R7" s="163" t="n"/>
      <c r="S7" s="163" t="n"/>
      <c r="T7" s="168" t="n"/>
      <c r="U7" s="169" t="n"/>
    </row>
    <row r="8" ht="10.5" customHeight="1"/>
    <row r="9" ht="45" customHeight="1">
      <c r="A9" s="170" t="n"/>
      <c r="B9" s="171" t="n"/>
      <c r="C9" s="172" t="n"/>
      <c r="D9" s="173" t="n"/>
      <c r="E9" s="172" t="n"/>
      <c r="F9" s="174" t="inlineStr">
        <is>
          <t>UTCID01</t>
        </is>
      </c>
      <c r="G9" s="174" t="inlineStr">
        <is>
          <t>UTCID02</t>
        </is>
      </c>
      <c r="H9" s="174" t="n"/>
      <c r="I9" s="174" t="n"/>
      <c r="J9" s="174" t="n"/>
      <c r="K9" s="174" t="n"/>
      <c r="L9" s="174" t="n"/>
      <c r="M9" s="174" t="n"/>
      <c r="N9" s="174" t="n"/>
      <c r="O9" s="174" t="n"/>
      <c r="P9" s="174" t="n"/>
      <c r="Q9" s="174" t="n"/>
      <c r="R9" s="174" t="n"/>
      <c r="S9" s="174" t="n"/>
      <c r="T9" s="175" t="n"/>
      <c r="U9" s="176" t="n"/>
      <c r="V9" s="138" t="n"/>
    </row>
    <row r="10" ht="13.5" customHeight="1">
      <c r="A10" s="177" t="inlineStr">
        <is>
          <t>Condition</t>
        </is>
      </c>
      <c r="B10" s="178" t="inlineStr">
        <is>
          <t>Precondition</t>
        </is>
      </c>
      <c r="C10" s="179" t="n"/>
      <c r="D10" s="180" t="n"/>
      <c r="E10" s="181" t="n"/>
      <c r="F10" s="182" t="n"/>
      <c r="G10" s="182" t="n"/>
      <c r="H10" s="182" t="n"/>
      <c r="I10" s="182" t="n"/>
      <c r="J10" s="182" t="n"/>
      <c r="K10" s="182" t="n"/>
      <c r="L10" s="182" t="n"/>
      <c r="M10" s="182" t="n"/>
      <c r="N10" s="182" t="n"/>
      <c r="O10" s="182" t="n"/>
      <c r="P10" s="182" t="n"/>
      <c r="Q10" s="182" t="n"/>
      <c r="R10" s="182" t="n"/>
      <c r="S10" s="182" t="n"/>
      <c r="T10" s="183" t="n"/>
    </row>
    <row r="11" ht="13.5" customHeight="1">
      <c r="A11" s="184" t="n"/>
      <c r="B11" s="178" t="n"/>
      <c r="C11" s="179" t="n"/>
      <c r="D11" s="188" t="inlineStr">
        <is>
          <t>Authenticated client context is available</t>
        </is>
      </c>
      <c r="E11" s="185" t="n"/>
      <c r="F11" s="186" t="inlineStr">
        <is>
          <t>O</t>
        </is>
      </c>
      <c r="G11" s="186" t="inlineStr">
        <is>
          <t>O</t>
        </is>
      </c>
      <c r="H11" s="186" t="n"/>
      <c r="I11" s="186" t="n"/>
      <c r="J11" s="186" t="n"/>
      <c r="K11" s="186" t="n"/>
      <c r="L11" s="186" t="n"/>
      <c r="M11" s="186" t="n"/>
      <c r="N11" s="186" t="n"/>
      <c r="O11" s="186" t="n"/>
      <c r="P11" s="186" t="n"/>
      <c r="Q11" s="186" t="n"/>
      <c r="R11" s="186" t="n"/>
      <c r="S11" s="186" t="n"/>
      <c r="T11" s="187" t="n"/>
      <c r="V11" s="138" t="n"/>
    </row>
    <row r="12" ht="13.5" customHeight="1">
      <c r="A12" s="184" t="n"/>
      <c r="B12" s="178" t="inlineStr">
        <is>
          <t>clientId</t>
        </is>
      </c>
      <c r="C12" s="179" t="n"/>
      <c r="D12" s="180" t="n"/>
      <c r="E12" s="185" t="n"/>
      <c r="F12" s="186" t="n"/>
      <c r="G12" s="186" t="n"/>
      <c r="H12" s="186" t="n"/>
      <c r="I12" s="186" t="n"/>
      <c r="J12" s="186" t="n"/>
      <c r="K12" s="186" t="n"/>
      <c r="L12" s="186" t="n"/>
      <c r="M12" s="186" t="n"/>
      <c r="N12" s="186" t="n"/>
      <c r="O12" s="186" t="n"/>
      <c r="P12" s="186" t="n"/>
      <c r="Q12" s="186" t="n"/>
      <c r="R12" s="186" t="n"/>
      <c r="S12" s="186" t="n"/>
      <c r="T12" s="187" t="n"/>
    </row>
    <row r="13" ht="13.5" customHeight="1">
      <c r="A13" s="184" t="n"/>
      <c r="B13" s="178" t="n"/>
      <c r="C13" s="179" t="n"/>
      <c r="D13" s="188" t="inlineStr">
        <is>
          <t>Client id "client-1" is available from auth context</t>
        </is>
      </c>
      <c r="E13" s="189" t="n"/>
      <c r="F13" s="186" t="inlineStr">
        <is>
          <t>O</t>
        </is>
      </c>
      <c r="G13" s="186" t="inlineStr">
        <is>
          <t>O</t>
        </is>
      </c>
      <c r="H13" s="182" t="n"/>
      <c r="I13" s="182" t="n"/>
      <c r="J13" s="182" t="n"/>
      <c r="K13" s="182" t="n"/>
      <c r="L13" s="182" t="n"/>
      <c r="M13" s="182" t="n"/>
      <c r="N13" s="182" t="n"/>
      <c r="O13" s="182" t="n"/>
      <c r="P13" s="182" t="n"/>
      <c r="Q13" s="182" t="n"/>
      <c r="R13" s="182" t="n"/>
      <c r="S13" s="182" t="n"/>
      <c r="T13" s="183" t="n"/>
    </row>
    <row r="14" ht="13.5" customHeight="1">
      <c r="A14" s="184" t="n"/>
      <c r="B14" s="178" t="inlineStr">
        <is>
          <t>service</t>
        </is>
      </c>
      <c r="C14" s="179" t="n"/>
      <c r="D14" s="180" t="n"/>
      <c r="E14" s="189" t="n"/>
      <c r="F14" s="186" t="n"/>
      <c r="G14" s="182" t="n"/>
      <c r="H14" s="182" t="n"/>
      <c r="I14" s="186" t="n"/>
      <c r="J14" s="182" t="n"/>
      <c r="K14" s="182" t="n"/>
      <c r="L14" s="182" t="n"/>
      <c r="M14" s="182" t="n"/>
      <c r="N14" s="182" t="n"/>
      <c r="O14" s="186" t="n"/>
      <c r="P14" s="186" t="n"/>
      <c r="Q14" s="182" t="n"/>
      <c r="R14" s="182" t="n"/>
      <c r="S14" s="182" t="n"/>
      <c r="T14" s="183" t="n"/>
    </row>
    <row r="15" ht="27" customHeight="1">
      <c r="A15" s="184" t="n"/>
      <c r="B15" s="178" t="n"/>
      <c r="C15" s="179" t="n"/>
      <c r="D15" s="188" t="inlineStr">
        <is>
          <t>ProjectSpecsService.findPendingClientReview resolves specs</t>
        </is>
      </c>
      <c r="E15" s="189" t="n"/>
      <c r="F15" s="186" t="inlineStr">
        <is>
          <t>O</t>
        </is>
      </c>
      <c r="G15" s="186" t="n"/>
      <c r="H15" s="186" t="n"/>
      <c r="I15" s="182" t="n"/>
      <c r="J15" s="182" t="n"/>
      <c r="K15" s="182" t="n"/>
      <c r="L15" s="182" t="n"/>
      <c r="M15" s="182" t="n"/>
      <c r="N15" s="182" t="n"/>
      <c r="O15" s="182" t="n"/>
      <c r="P15" s="182" t="n"/>
      <c r="Q15" s="182" t="n"/>
      <c r="R15" s="182" t="n"/>
      <c r="S15" s="182" t="n"/>
      <c r="T15" s="183" t="n"/>
    </row>
    <row r="16" ht="27" customHeight="1">
      <c r="A16" s="184" t="n"/>
      <c r="B16" s="178" t="n"/>
      <c r="C16" s="179" t="n"/>
      <c r="D16" s="188" t="inlineStr">
        <is>
          <t>ProjectSpecsService.findPendingClientReview throws an error</t>
        </is>
      </c>
      <c r="E16" s="189" t="n"/>
      <c r="F16" s="182" t="n"/>
      <c r="G16" s="186" t="inlineStr">
        <is>
          <t>O</t>
        </is>
      </c>
      <c r="H16" s="182" t="n"/>
      <c r="I16" s="182" t="n"/>
      <c r="J16" s="186" t="n"/>
      <c r="K16" s="182" t="n"/>
      <c r="L16" s="182" t="n"/>
      <c r="M16" s="182" t="n"/>
      <c r="N16" s="182" t="n"/>
      <c r="O16" s="182" t="n"/>
      <c r="P16" s="182" t="n"/>
      <c r="Q16" s="182" t="n"/>
      <c r="R16" s="182" t="n"/>
      <c r="S16" s="182" t="n"/>
      <c r="T16" s="183" t="n"/>
    </row>
    <row r="17" hidden="1" ht="13.5" customHeight="1">
      <c r="A17" s="184" t="n"/>
      <c r="B17" s="178" t="n"/>
      <c r="C17" s="179" t="n"/>
      <c r="D17" s="180" t="n"/>
      <c r="E17" s="189" t="n"/>
      <c r="F17" s="182" t="n"/>
      <c r="G17" s="182" t="n"/>
      <c r="H17" s="182" t="n"/>
      <c r="I17" s="182" t="n"/>
      <c r="J17" s="182" t="n"/>
      <c r="K17" s="186" t="n"/>
      <c r="L17" s="182" t="n"/>
      <c r="M17" s="182" t="n"/>
      <c r="N17" s="182" t="n"/>
      <c r="O17" s="182" t="n"/>
      <c r="P17" s="182" t="n"/>
      <c r="Q17" s="182" t="n"/>
      <c r="R17" s="182" t="n"/>
      <c r="S17" s="182" t="n"/>
      <c r="T17" s="183" t="n"/>
    </row>
    <row r="18" hidden="1" ht="13.5" customHeight="1">
      <c r="A18" s="184" t="n"/>
      <c r="B18" s="178" t="n"/>
      <c r="C18" s="179" t="n"/>
      <c r="D18" s="180" t="n"/>
      <c r="E18" s="189" t="n"/>
      <c r="F18" s="182" t="n"/>
      <c r="G18" s="182" t="n"/>
      <c r="H18" s="182" t="n"/>
      <c r="I18" s="182" t="n"/>
      <c r="J18" s="182" t="n"/>
      <c r="K18" s="186" t="n"/>
      <c r="L18" s="186" t="n"/>
      <c r="M18" s="182" t="n"/>
      <c r="N18" s="182" t="n"/>
      <c r="O18" s="182" t="n"/>
      <c r="P18" s="182" t="n"/>
      <c r="Q18" s="182" t="n"/>
      <c r="R18" s="182" t="n"/>
      <c r="S18" s="182" t="n"/>
      <c r="T18" s="183" t="n"/>
    </row>
    <row r="19" hidden="1" ht="13.5" customHeight="1">
      <c r="A19" s="184" t="n"/>
      <c r="B19" s="178" t="n"/>
      <c r="C19" s="179" t="n"/>
      <c r="D19" s="180" t="n"/>
      <c r="E19" s="189" t="n"/>
      <c r="F19" s="182" t="n"/>
      <c r="G19" s="182" t="n"/>
      <c r="H19" s="182" t="n"/>
      <c r="I19" s="182" t="n"/>
      <c r="J19" s="182" t="n"/>
      <c r="K19" s="186" t="n"/>
      <c r="L19" s="182" t="n"/>
      <c r="M19" s="186" t="n"/>
      <c r="N19" s="182" t="n"/>
      <c r="O19" s="182" t="n"/>
      <c r="P19" s="182" t="n"/>
      <c r="Q19" s="182" t="n"/>
      <c r="R19" s="182" t="n"/>
      <c r="S19" s="182" t="n"/>
      <c r="T19" s="183" t="n"/>
    </row>
    <row r="20" hidden="1" ht="13.5" customHeight="1">
      <c r="A20" s="184" t="n"/>
      <c r="B20" s="178" t="n"/>
      <c r="C20" s="179" t="n"/>
      <c r="D20" s="180" t="n"/>
      <c r="E20" s="189" t="n"/>
      <c r="F20" s="182" t="n"/>
      <c r="G20" s="182" t="n"/>
      <c r="H20" s="182" t="n"/>
      <c r="I20" s="182" t="n"/>
      <c r="J20" s="182" t="n"/>
      <c r="K20" s="182" t="n"/>
      <c r="L20" s="186" t="n"/>
      <c r="M20" s="182" t="n"/>
      <c r="N20" s="186" t="n"/>
      <c r="O20" s="182" t="n"/>
      <c r="P20" s="182" t="n"/>
      <c r="Q20" s="182" t="n"/>
      <c r="R20" s="182" t="n"/>
      <c r="S20" s="182" t="n"/>
      <c r="T20" s="183" t="n"/>
    </row>
    <row r="21" hidden="1" ht="13.5" customHeight="1">
      <c r="A21" s="184" t="n"/>
      <c r="B21" s="178" t="n"/>
      <c r="C21" s="179" t="n"/>
      <c r="D21" s="180" t="n"/>
      <c r="E21" s="189" t="n"/>
      <c r="F21" s="182" t="n"/>
      <c r="G21" s="182" t="n"/>
      <c r="H21" s="182" t="n"/>
      <c r="I21" s="182" t="n"/>
      <c r="J21" s="182" t="n"/>
      <c r="K21" s="182" t="n"/>
      <c r="L21" s="182" t="n"/>
      <c r="M21" s="182" t="n"/>
      <c r="N21" s="182" t="n"/>
      <c r="O21" s="182" t="n"/>
      <c r="P21" s="182" t="n"/>
      <c r="Q21" s="182" t="n"/>
      <c r="R21" s="182" t="n"/>
      <c r="S21" s="182" t="n"/>
      <c r="T21" s="183" t="n"/>
    </row>
    <row r="22" hidden="1" ht="13.5" customHeight="1">
      <c r="A22" s="184" t="n"/>
      <c r="B22" s="178" t="n"/>
      <c r="C22" s="179" t="n"/>
      <c r="D22" s="180" t="n"/>
      <c r="E22" s="189" t="n"/>
      <c r="F22" s="186" t="n"/>
      <c r="G22" s="182" t="n"/>
      <c r="H22" s="182" t="n"/>
      <c r="I22" s="182" t="n"/>
      <c r="J22" s="182" t="n"/>
      <c r="K22" s="182" t="n"/>
      <c r="L22" s="182" t="n"/>
      <c r="M22" s="186" t="n"/>
      <c r="N22" s="186" t="n"/>
      <c r="O22" s="182" t="n"/>
      <c r="P22" s="182" t="n"/>
      <c r="Q22" s="182" t="n"/>
      <c r="R22" s="182" t="n"/>
      <c r="S22" s="182" t="n"/>
      <c r="T22" s="183" t="n"/>
    </row>
    <row r="23" hidden="1" ht="13.5" customHeight="1">
      <c r="A23" s="184" t="n"/>
      <c r="B23" s="178" t="n"/>
      <c r="C23" s="179" t="n"/>
      <c r="D23" s="180" t="n"/>
      <c r="E23" s="189" t="n"/>
      <c r="F23" s="182" t="n"/>
      <c r="G23" s="186" t="n"/>
      <c r="H23" s="182" t="n"/>
      <c r="I23" s="186" t="n"/>
      <c r="J23" s="182" t="n"/>
      <c r="K23" s="182" t="n"/>
      <c r="L23" s="182" t="n"/>
      <c r="M23" s="182" t="n"/>
      <c r="N23" s="182" t="n"/>
      <c r="O23" s="182" t="n"/>
      <c r="P23" s="182" t="n"/>
      <c r="Q23" s="182" t="n"/>
      <c r="R23" s="182" t="n"/>
      <c r="S23" s="182" t="n"/>
      <c r="T23" s="183" t="n"/>
    </row>
    <row r="24" hidden="1" ht="13.5" customHeight="1">
      <c r="A24" s="184" t="n"/>
      <c r="B24" s="178" t="n"/>
      <c r="C24" s="179" t="n"/>
      <c r="D24" s="180" t="n"/>
      <c r="E24" s="189" t="n"/>
      <c r="F24" s="182" t="n"/>
      <c r="G24" s="182" t="n"/>
      <c r="H24" s="186" t="n"/>
      <c r="I24" s="182" t="n"/>
      <c r="J24" s="182" t="n"/>
      <c r="K24" s="182" t="n"/>
      <c r="L24" s="182" t="n"/>
      <c r="M24" s="182" t="n"/>
      <c r="N24" s="182" t="n"/>
      <c r="O24" s="182" t="n"/>
      <c r="P24" s="182" t="n"/>
      <c r="Q24" s="182" t="n"/>
      <c r="R24" s="182" t="n"/>
      <c r="S24" s="182" t="n"/>
      <c r="T24" s="183" t="n"/>
    </row>
    <row r="25" hidden="1" ht="13.5" customHeight="1">
      <c r="A25" s="184" t="n"/>
      <c r="B25" s="178" t="n"/>
      <c r="C25" s="179" t="n"/>
      <c r="D25" s="180" t="n"/>
      <c r="E25" s="189" t="n"/>
      <c r="F25" s="182" t="n"/>
      <c r="G25" s="182" t="n"/>
      <c r="H25" s="182" t="n"/>
      <c r="I25" s="182" t="n"/>
      <c r="J25" s="186" t="n"/>
      <c r="K25" s="182" t="n"/>
      <c r="L25" s="182" t="n"/>
      <c r="M25" s="182" t="n"/>
      <c r="N25" s="182" t="n"/>
      <c r="O25" s="182" t="n"/>
      <c r="P25" s="182" t="n"/>
      <c r="Q25" s="182" t="n"/>
      <c r="R25" s="182" t="n"/>
      <c r="S25" s="182" t="n"/>
      <c r="T25" s="183" t="n"/>
    </row>
    <row r="26" hidden="1" ht="13.5" customHeight="1">
      <c r="A26" s="184" t="n"/>
      <c r="B26" s="178" t="n"/>
      <c r="C26" s="179" t="n"/>
      <c r="D26" s="180" t="n"/>
      <c r="E26" s="189" t="n"/>
      <c r="F26" s="182" t="n"/>
      <c r="G26" s="182" t="n"/>
      <c r="H26" s="182" t="n"/>
      <c r="I26" s="182" t="n"/>
      <c r="J26" s="182" t="n"/>
      <c r="K26" s="186" t="n"/>
      <c r="L26" s="182" t="n"/>
      <c r="M26" s="182" t="n"/>
      <c r="N26" s="182" t="n"/>
      <c r="O26" s="182" t="n"/>
      <c r="P26" s="182" t="n"/>
      <c r="Q26" s="182" t="n"/>
      <c r="R26" s="182" t="n"/>
      <c r="S26" s="182" t="n"/>
      <c r="T26" s="183" t="n"/>
    </row>
    <row r="27" hidden="1" ht="13.5" customHeight="1">
      <c r="A27" s="184" t="n"/>
      <c r="B27" s="178" t="n"/>
      <c r="C27" s="179" t="n"/>
      <c r="D27" s="180" t="n"/>
      <c r="E27" s="189" t="n"/>
      <c r="F27" s="182" t="n"/>
      <c r="G27" s="182" t="n"/>
      <c r="H27" s="182" t="n"/>
      <c r="I27" s="182" t="n"/>
      <c r="J27" s="182" t="n"/>
      <c r="K27" s="182" t="n"/>
      <c r="L27" s="186" t="n"/>
      <c r="M27" s="182" t="n"/>
      <c r="N27" s="182" t="n"/>
      <c r="O27" s="182" t="n"/>
      <c r="P27" s="182" t="n"/>
      <c r="Q27" s="182" t="n"/>
      <c r="R27" s="182" t="n"/>
      <c r="S27" s="182" t="n"/>
      <c r="T27" s="183" t="n"/>
    </row>
    <row r="28" hidden="1" ht="13.5" customHeight="1">
      <c r="A28" s="184" t="n"/>
      <c r="B28" s="178" t="n"/>
      <c r="C28" s="179" t="n"/>
      <c r="D28" s="180" t="n"/>
      <c r="E28" s="189" t="n"/>
      <c r="F28" s="182" t="n"/>
      <c r="G28" s="182" t="n"/>
      <c r="H28" s="182" t="n"/>
      <c r="I28" s="182" t="n"/>
      <c r="J28" s="182" t="n"/>
      <c r="K28" s="186" t="n"/>
      <c r="L28" s="182" t="n"/>
      <c r="M28" s="182" t="n"/>
      <c r="N28" s="182" t="n"/>
      <c r="O28" s="186" t="n"/>
      <c r="P28" s="182" t="n"/>
      <c r="Q28" s="182" t="n"/>
      <c r="R28" s="182" t="n"/>
      <c r="S28" s="182" t="n"/>
      <c r="T28" s="183" t="n"/>
    </row>
    <row r="29" hidden="1" ht="13.5" customHeight="1">
      <c r="A29" s="184" t="n"/>
      <c r="B29" s="178" t="n"/>
      <c r="C29" s="179" t="n"/>
      <c r="D29" s="180" t="n"/>
      <c r="E29" s="189" t="n"/>
      <c r="F29" s="182" t="n"/>
      <c r="G29" s="182" t="n"/>
      <c r="H29" s="182" t="n"/>
      <c r="I29" s="182" t="n"/>
      <c r="J29" s="182" t="n"/>
      <c r="K29" s="182" t="n"/>
      <c r="L29" s="186" t="n"/>
      <c r="M29" s="182" t="n"/>
      <c r="N29" s="182" t="n"/>
      <c r="O29" s="182" t="n"/>
      <c r="P29" s="186" t="n"/>
      <c r="Q29" s="182" t="n"/>
      <c r="R29" s="182" t="n"/>
      <c r="S29" s="182" t="n"/>
      <c r="T29" s="183" t="n"/>
    </row>
    <row r="30" hidden="1" ht="13.5" customHeight="1">
      <c r="A30" s="184" t="n"/>
      <c r="B30" s="178" t="n"/>
      <c r="C30" s="179" t="n"/>
      <c r="D30" s="180" t="n"/>
      <c r="E30" s="189" t="n"/>
      <c r="F30" s="182" t="n"/>
      <c r="G30" s="182" t="n"/>
      <c r="H30" s="182" t="n"/>
      <c r="I30" s="182" t="n"/>
      <c r="J30" s="182" t="n"/>
      <c r="K30" s="182" t="n"/>
      <c r="L30" s="182" t="n"/>
      <c r="M30" s="182" t="n"/>
      <c r="N30" s="182" t="n"/>
      <c r="O30" s="182" t="n"/>
      <c r="P30" s="182" t="n"/>
      <c r="Q30" s="182" t="n"/>
      <c r="R30" s="182" t="n"/>
      <c r="S30" s="182" t="n"/>
      <c r="T30" s="183" t="n"/>
    </row>
    <row r="31" hidden="1" ht="13.5" customHeight="1">
      <c r="A31" s="184" t="n"/>
      <c r="B31" s="178" t="n"/>
      <c r="C31" s="179" t="n"/>
      <c r="D31" s="180" t="n"/>
      <c r="E31" s="189" t="n"/>
      <c r="F31" s="186" t="n"/>
      <c r="G31" s="182" t="n"/>
      <c r="H31" s="182" t="n"/>
      <c r="I31" s="182" t="n"/>
      <c r="J31" s="182" t="n"/>
      <c r="K31" s="182" t="n"/>
      <c r="L31" s="182" t="n"/>
      <c r="M31" s="186" t="n"/>
      <c r="N31" s="186" t="n"/>
      <c r="O31" s="186" t="n"/>
      <c r="P31" s="186" t="n"/>
      <c r="Q31" s="182" t="n"/>
      <c r="R31" s="182" t="n"/>
      <c r="S31" s="182" t="n"/>
      <c r="T31" s="183" t="n"/>
    </row>
    <row r="32" hidden="1" ht="13.5" customHeight="1">
      <c r="A32" s="184" t="n"/>
      <c r="B32" s="178" t="n"/>
      <c r="C32" s="179" t="n"/>
      <c r="D32" s="180" t="n"/>
      <c r="E32" s="189" t="n"/>
      <c r="F32" s="182" t="n"/>
      <c r="G32" s="186" t="n"/>
      <c r="H32" s="182" t="n"/>
      <c r="I32" s="182" t="n"/>
      <c r="J32" s="182" t="n"/>
      <c r="K32" s="182" t="n"/>
      <c r="L32" s="182" t="n"/>
      <c r="M32" s="182" t="n"/>
      <c r="N32" s="182" t="n"/>
      <c r="O32" s="182" t="n"/>
      <c r="P32" s="182" t="n"/>
      <c r="Q32" s="182" t="n"/>
      <c r="R32" s="182" t="n"/>
      <c r="S32" s="182" t="n"/>
      <c r="T32" s="183" t="n"/>
    </row>
    <row r="33" hidden="1" ht="13.5" customHeight="1">
      <c r="A33" s="184" t="n"/>
      <c r="B33" s="178" t="n"/>
      <c r="C33" s="179" t="n"/>
      <c r="D33" s="180" t="n"/>
      <c r="E33" s="189" t="n"/>
      <c r="F33" s="182" t="n"/>
      <c r="G33" s="182" t="n"/>
      <c r="H33" s="186" t="n"/>
      <c r="I33" s="186" t="n"/>
      <c r="J33" s="182" t="n"/>
      <c r="K33" s="182" t="n"/>
      <c r="L33" s="182" t="n"/>
      <c r="M33" s="182" t="n"/>
      <c r="N33" s="182" t="n"/>
      <c r="O33" s="182" t="n"/>
      <c r="P33" s="182" t="n"/>
      <c r="Q33" s="182" t="n"/>
      <c r="R33" s="182" t="n"/>
      <c r="S33" s="182" t="n"/>
      <c r="T33" s="183" t="n"/>
    </row>
    <row r="34" hidden="1" ht="13.5" customHeight="1">
      <c r="A34" s="184" t="n"/>
      <c r="B34" s="178" t="n"/>
      <c r="C34" s="179" t="n"/>
      <c r="D34" s="180" t="n"/>
      <c r="E34" s="189" t="n"/>
      <c r="F34" s="182" t="n"/>
      <c r="G34" s="182" t="n"/>
      <c r="H34" s="182" t="n"/>
      <c r="I34" s="182" t="n"/>
      <c r="J34" s="186" t="n"/>
      <c r="K34" s="182" t="n"/>
      <c r="L34" s="182" t="n"/>
      <c r="M34" s="182" t="n"/>
      <c r="N34" s="182" t="n"/>
      <c r="O34" s="182" t="n"/>
      <c r="P34" s="182" t="n"/>
      <c r="Q34" s="182" t="n"/>
      <c r="R34" s="182" t="n"/>
      <c r="S34" s="182" t="n"/>
      <c r="T34" s="183" t="n"/>
    </row>
    <row r="35" hidden="1" ht="13.5" customHeight="1">
      <c r="A35" s="184" t="n"/>
      <c r="B35" s="178" t="n"/>
      <c r="C35" s="179" t="n"/>
      <c r="D35" s="180" t="n"/>
      <c r="E35" s="189" t="n"/>
      <c r="F35" s="182" t="n"/>
      <c r="G35" s="182" t="n"/>
      <c r="H35" s="182" t="n"/>
      <c r="I35" s="182" t="n"/>
      <c r="J35" s="182" t="n"/>
      <c r="K35" s="186" t="n"/>
      <c r="L35" s="182" t="n"/>
      <c r="M35" s="182" t="n"/>
      <c r="N35" s="182" t="n"/>
      <c r="O35" s="182" t="n"/>
      <c r="P35" s="182" t="n"/>
      <c r="Q35" s="182" t="n"/>
      <c r="R35" s="182" t="n"/>
      <c r="S35" s="182" t="n"/>
      <c r="T35" s="183" t="n"/>
    </row>
    <row r="36" hidden="1" ht="13.5" customHeight="1">
      <c r="A36" s="184" t="n"/>
      <c r="B36" s="178" t="n"/>
      <c r="C36" s="179" t="n"/>
      <c r="D36" s="180" t="n"/>
      <c r="E36" s="189" t="n"/>
      <c r="F36" s="182" t="n"/>
      <c r="G36" s="182" t="n"/>
      <c r="H36" s="182" t="n"/>
      <c r="I36" s="182" t="n"/>
      <c r="J36" s="182" t="n"/>
      <c r="K36" s="182" t="n"/>
      <c r="L36" s="186" t="n"/>
      <c r="M36" s="182" t="n"/>
      <c r="N36" s="182" t="n"/>
      <c r="O36" s="182" t="n"/>
      <c r="P36" s="182" t="n"/>
      <c r="Q36" s="182" t="n"/>
      <c r="R36" s="182" t="n"/>
      <c r="S36" s="182" t="n"/>
      <c r="T36" s="183" t="n"/>
    </row>
    <row r="37" ht="13.5" customHeight="1">
      <c r="A37" s="190" t="inlineStr">
        <is>
          <t>Confirm</t>
        </is>
      </c>
      <c r="B37" s="191" t="inlineStr">
        <is>
          <t>Return</t>
        </is>
      </c>
      <c r="C37" s="192" t="n"/>
      <c r="D37" s="193" t="n"/>
      <c r="E37" s="194" t="n"/>
      <c r="F37" s="195" t="n"/>
      <c r="G37" s="195" t="n"/>
      <c r="H37" s="195" t="n"/>
      <c r="I37" s="195" t="n"/>
      <c r="J37" s="195" t="n"/>
      <c r="K37" s="195" t="n"/>
      <c r="L37" s="195" t="n"/>
      <c r="M37" s="195" t="n"/>
      <c r="N37" s="195" t="n"/>
      <c r="O37" s="195" t="n"/>
      <c r="P37" s="195" t="n"/>
      <c r="Q37" s="195" t="n"/>
      <c r="R37" s="195" t="n"/>
      <c r="S37" s="195" t="n"/>
      <c r="T37" s="196" t="n"/>
    </row>
    <row r="38" ht="27" customHeight="1">
      <c r="A38" s="197" t="n"/>
      <c r="B38" s="191" t="n"/>
      <c r="C38" s="198" t="n"/>
      <c r="D38" s="199" t="inlineStr">
        <is>
          <t>returns pending client-review specs for client "client-1"</t>
        </is>
      </c>
      <c r="E38" s="200" t="n"/>
      <c r="F38" s="186" t="inlineStr">
        <is>
          <t>O</t>
        </is>
      </c>
      <c r="G38" s="182" t="n"/>
      <c r="H38" s="182" t="n"/>
      <c r="I38" s="182" t="n"/>
      <c r="J38" s="182" t="n"/>
      <c r="K38" s="182" t="n"/>
      <c r="L38" s="182" t="n"/>
      <c r="M38" s="186" t="n"/>
      <c r="N38" s="182" t="n"/>
      <c r="O38" s="186" t="n"/>
      <c r="P38" s="182" t="n"/>
      <c r="Q38" s="182" t="n"/>
      <c r="R38" s="182" t="n"/>
      <c r="S38" s="182" t="n"/>
      <c r="T38" s="183" t="n"/>
    </row>
    <row r="39" hidden="1" ht="13.5" customHeight="1">
      <c r="A39" s="197" t="n"/>
      <c r="B39" s="201" t="n"/>
      <c r="C39" s="202" t="n"/>
      <c r="D39" s="209" t="n"/>
      <c r="E39" s="200" t="n"/>
      <c r="F39" s="182" t="n"/>
      <c r="G39" s="186" t="n"/>
      <c r="H39" s="186" t="n"/>
      <c r="I39" s="186" t="n"/>
      <c r="J39" s="186" t="n"/>
      <c r="K39" s="182" t="n"/>
      <c r="L39" s="186" t="n"/>
      <c r="M39" s="182" t="n"/>
      <c r="N39" s="186" t="n"/>
      <c r="O39" s="182" t="n"/>
      <c r="P39" s="186" t="n"/>
      <c r="Q39" s="182" t="n"/>
      <c r="R39" s="182" t="n"/>
      <c r="S39" s="182" t="n"/>
      <c r="T39" s="183" t="n"/>
    </row>
    <row r="40" ht="13.5" customHeight="1">
      <c r="A40" s="197" t="n"/>
      <c r="B40" s="204" t="inlineStr">
        <is>
          <t>Exception</t>
        </is>
      </c>
      <c r="C40" s="205" t="n"/>
      <c r="D40" s="206" t="n"/>
      <c r="E40" s="200" t="n"/>
      <c r="F40" s="182" t="n"/>
      <c r="G40" s="182" t="n"/>
      <c r="H40" s="182" t="n"/>
      <c r="I40" s="182" t="n"/>
      <c r="J40" s="182" t="n"/>
      <c r="K40" s="182" t="n"/>
      <c r="L40" s="182" t="n"/>
      <c r="M40" s="182" t="n"/>
      <c r="N40" s="182" t="n"/>
      <c r="O40" s="182" t="n"/>
      <c r="P40" s="182" t="n"/>
      <c r="Q40" s="182" t="n"/>
      <c r="R40" s="182" t="n"/>
      <c r="S40" s="182" t="n"/>
      <c r="T40" s="183" t="n"/>
    </row>
    <row r="41" ht="13.5" customHeight="1">
      <c r="A41" s="197" t="n"/>
      <c r="B41" s="204" t="n"/>
      <c r="C41" s="205" t="n"/>
      <c r="D41" s="207" t="inlineStr">
        <is>
          <t>re-throws pending client-review lookup failure</t>
        </is>
      </c>
      <c r="E41" s="200" t="n"/>
      <c r="F41" s="182" t="n"/>
      <c r="G41" s="186" t="inlineStr">
        <is>
          <t>O</t>
        </is>
      </c>
      <c r="H41" s="182" t="n"/>
      <c r="I41" s="186" t="n"/>
      <c r="J41" s="182" t="n"/>
      <c r="K41" s="186" t="n"/>
      <c r="L41" s="182" t="n"/>
      <c r="M41" s="182" t="n"/>
      <c r="N41" s="182" t="n"/>
      <c r="O41" s="182" t="n"/>
      <c r="P41" s="182" t="n"/>
      <c r="Q41" s="182" t="n"/>
      <c r="R41" s="182" t="n"/>
      <c r="S41" s="182" t="n"/>
      <c r="T41" s="183" t="n"/>
    </row>
    <row r="42" ht="13.5" customHeight="1">
      <c r="A42" s="197" t="n"/>
      <c r="B42" s="208" t="inlineStr">
        <is>
          <t>Verification</t>
        </is>
      </c>
      <c r="C42" s="202" t="n"/>
      <c r="D42" s="209" t="n"/>
      <c r="E42" s="200" t="n"/>
      <c r="F42" s="182" t="n"/>
      <c r="G42" s="182" t="n"/>
      <c r="H42" s="182" t="n"/>
      <c r="I42" s="182" t="n"/>
      <c r="J42" s="182" t="n"/>
      <c r="K42" s="182" t="n"/>
      <c r="L42" s="182" t="n"/>
      <c r="M42" s="182" t="n"/>
      <c r="N42" s="182" t="n"/>
      <c r="O42" s="182" t="n"/>
      <c r="P42" s="182" t="n"/>
      <c r="Q42" s="182" t="n"/>
      <c r="R42" s="182" t="n"/>
      <c r="S42" s="182" t="n"/>
      <c r="T42" s="183" t="n"/>
    </row>
    <row r="43" ht="27" customHeight="1">
      <c r="A43" s="197" t="n"/>
      <c r="B43" s="208" t="n"/>
      <c r="C43" s="202" t="n"/>
      <c r="D43" s="203" t="inlineStr">
        <is>
          <t>calls findPendingClientReview with authenticated client id "client-1"</t>
        </is>
      </c>
      <c r="E43" s="200" t="n"/>
      <c r="F43" s="186" t="inlineStr">
        <is>
          <t>O</t>
        </is>
      </c>
      <c r="G43" s="186" t="inlineStr">
        <is>
          <t>O</t>
        </is>
      </c>
      <c r="H43" s="182" t="n"/>
      <c r="I43" s="182" t="n"/>
      <c r="J43" s="182" t="n"/>
      <c r="K43" s="182" t="n"/>
      <c r="L43" s="182" t="n"/>
      <c r="M43" s="182" t="n"/>
      <c r="N43" s="182" t="n"/>
      <c r="O43" s="182" t="n"/>
      <c r="P43" s="182" t="n"/>
      <c r="Q43" s="182" t="n"/>
      <c r="R43" s="182" t="n"/>
      <c r="S43" s="182" t="n"/>
      <c r="T43" s="183" t="n"/>
    </row>
    <row r="44" hidden="1" ht="13.5" customHeight="1">
      <c r="A44" s="197" t="n"/>
      <c r="B44" s="208" t="n"/>
      <c r="C44" s="202" t="n"/>
      <c r="D44" s="209" t="n"/>
      <c r="E44" s="200" t="n"/>
      <c r="F44" s="182" t="n"/>
      <c r="G44" s="186" t="n"/>
      <c r="H44" s="182" t="n"/>
      <c r="I44" s="182" t="n"/>
      <c r="J44" s="182" t="n"/>
      <c r="K44" s="182" t="n"/>
      <c r="L44" s="182" t="n"/>
      <c r="M44" s="182" t="n"/>
      <c r="N44" s="182" t="n"/>
      <c r="O44" s="182" t="n"/>
      <c r="P44" s="182" t="n"/>
      <c r="Q44" s="182" t="n"/>
      <c r="R44" s="182" t="n"/>
      <c r="S44" s="182" t="n"/>
      <c r="T44" s="183" t="n"/>
    </row>
    <row r="45" hidden="1" ht="13.5" customHeight="1">
      <c r="A45" s="197" t="n"/>
      <c r="B45" s="208" t="n"/>
      <c r="C45" s="202" t="n"/>
      <c r="D45" s="209" t="n"/>
      <c r="E45" s="200" t="n"/>
      <c r="F45" s="182" t="n"/>
      <c r="G45" s="182" t="n"/>
      <c r="H45" s="186" t="n"/>
      <c r="I45" s="182" t="n"/>
      <c r="J45" s="182" t="n"/>
      <c r="K45" s="182" t="n"/>
      <c r="L45" s="182" t="n"/>
      <c r="M45" s="182" t="n"/>
      <c r="N45" s="182" t="n"/>
      <c r="O45" s="182" t="n"/>
      <c r="P45" s="182" t="n"/>
      <c r="Q45" s="182" t="n"/>
      <c r="R45" s="182" t="n"/>
      <c r="S45" s="182" t="n"/>
      <c r="T45" s="183" t="n"/>
    </row>
    <row r="46" hidden="1" ht="13.5" customHeight="1">
      <c r="A46" s="197" t="n"/>
      <c r="B46" s="208" t="n"/>
      <c r="C46" s="202" t="n"/>
      <c r="D46" s="209" t="n"/>
      <c r="E46" s="200" t="n"/>
      <c r="F46" s="182" t="n"/>
      <c r="G46" s="182" t="n"/>
      <c r="H46" s="182" t="n"/>
      <c r="I46" s="186" t="n"/>
      <c r="J46" s="182" t="n"/>
      <c r="K46" s="182" t="n"/>
      <c r="L46" s="182" t="n"/>
      <c r="M46" s="182" t="n"/>
      <c r="N46" s="182" t="n"/>
      <c r="O46" s="182" t="n"/>
      <c r="P46" s="182" t="n"/>
      <c r="Q46" s="182" t="n"/>
      <c r="R46" s="182" t="n"/>
      <c r="S46" s="182" t="n"/>
      <c r="T46" s="183" t="n"/>
    </row>
    <row r="47" hidden="1" ht="13.5" customHeight="1">
      <c r="A47" s="197" t="n"/>
      <c r="B47" s="208" t="n"/>
      <c r="C47" s="210" t="n"/>
      <c r="D47" s="209" t="n"/>
      <c r="E47" s="211" t="n"/>
      <c r="F47" s="186" t="n"/>
      <c r="G47" s="182" t="n"/>
      <c r="H47" s="182" t="n"/>
      <c r="I47" s="182" t="n"/>
      <c r="J47" s="186" t="n"/>
      <c r="K47" s="182" t="n"/>
      <c r="L47" s="182" t="n"/>
      <c r="M47" s="182" t="n"/>
      <c r="N47" s="182" t="n"/>
      <c r="O47" s="182" t="n"/>
      <c r="P47" s="182" t="n"/>
      <c r="Q47" s="182" t="n"/>
      <c r="R47" s="182" t="n"/>
      <c r="S47" s="182" t="n"/>
      <c r="T47" s="183" t="n"/>
    </row>
    <row r="48" hidden="1" ht="13.5" customHeight="1">
      <c r="A48" s="197" t="n"/>
      <c r="B48" s="208" t="n"/>
      <c r="C48" s="210" t="n"/>
      <c r="D48" s="209" t="n"/>
      <c r="E48" s="211" t="n"/>
      <c r="F48" s="182" t="n"/>
      <c r="G48" s="186" t="n"/>
      <c r="H48" s="182" t="n"/>
      <c r="I48" s="182" t="n"/>
      <c r="J48" s="182" t="n"/>
      <c r="K48" s="186" t="n"/>
      <c r="L48" s="182" t="n"/>
      <c r="M48" s="182" t="n"/>
      <c r="N48" s="182" t="n"/>
      <c r="O48" s="182" t="n"/>
      <c r="P48" s="182" t="n"/>
      <c r="Q48" s="182" t="n"/>
      <c r="R48" s="182" t="n"/>
      <c r="S48" s="182" t="n"/>
      <c r="T48" s="183" t="n"/>
    </row>
    <row r="49" hidden="1" ht="13.5" customHeight="1">
      <c r="A49" s="197" t="n"/>
      <c r="B49" s="208" t="n"/>
      <c r="C49" s="210" t="n"/>
      <c r="D49" s="209" t="n"/>
      <c r="E49" s="211" t="n"/>
      <c r="F49" s="182" t="n"/>
      <c r="G49" s="182" t="n"/>
      <c r="H49" s="186" t="n"/>
      <c r="I49" s="182" t="n"/>
      <c r="J49" s="182" t="n"/>
      <c r="K49" s="182" t="n"/>
      <c r="L49" s="186" t="n"/>
      <c r="M49" s="182" t="n"/>
      <c r="N49" s="182" t="n"/>
      <c r="O49" s="182" t="n"/>
      <c r="P49" s="182" t="n"/>
      <c r="Q49" s="182" t="n"/>
      <c r="R49" s="182" t="n"/>
      <c r="S49" s="182" t="n"/>
      <c r="T49" s="183" t="n"/>
    </row>
    <row r="50" ht="13.5" customHeight="1">
      <c r="A50" s="190" t="inlineStr">
        <is>
          <t>Result</t>
        </is>
      </c>
      <c r="B50" s="212" t="inlineStr">
        <is>
          <t>Type(N : Normal, A : Abnormal, B : Boundary)</t>
        </is>
      </c>
      <c r="C50" s="213" t="n"/>
      <c r="D50" s="214" t="n"/>
      <c r="E50" s="212" t="n"/>
      <c r="F50" s="215" t="inlineStr">
        <is>
          <t>N</t>
        </is>
      </c>
      <c r="G50" s="215" t="inlineStr">
        <is>
          <t>A</t>
        </is>
      </c>
      <c r="H50" s="215" t="n"/>
      <c r="I50" s="215" t="n"/>
      <c r="J50" s="215" t="n"/>
      <c r="K50" s="215" t="n"/>
      <c r="L50" s="215" t="n"/>
      <c r="M50" s="215" t="n"/>
      <c r="N50" s="215" t="n"/>
      <c r="O50" s="215" t="n"/>
      <c r="P50" s="215" t="n"/>
      <c r="Q50" s="215" t="n"/>
      <c r="R50" s="215" t="n"/>
      <c r="S50" s="215" t="n"/>
      <c r="T50" s="216" t="n"/>
    </row>
    <row r="51" ht="13.5" customHeight="1">
      <c r="A51" s="217" t="n"/>
      <c r="B51" s="218" t="inlineStr">
        <is>
          <t>Passed/Failed</t>
        </is>
      </c>
      <c r="C51" s="143" t="n"/>
      <c r="D51" s="144" t="n"/>
      <c r="E51" s="219" t="n"/>
      <c r="F51" s="220" t="inlineStr">
        <is>
          <t>P</t>
        </is>
      </c>
      <c r="G51" s="220" t="inlineStr">
        <is>
          <t>P</t>
        </is>
      </c>
      <c r="H51" s="220" t="n"/>
      <c r="I51" s="220" t="n"/>
      <c r="J51" s="220" t="n"/>
      <c r="K51" s="220" t="n"/>
      <c r="L51" s="220" t="n"/>
      <c r="M51" s="220" t="n"/>
      <c r="N51" s="220" t="n"/>
      <c r="O51" s="220" t="n"/>
      <c r="P51" s="220" t="n"/>
      <c r="Q51" s="220" t="n"/>
      <c r="R51" s="220" t="n"/>
      <c r="S51" s="220" t="n"/>
      <c r="T51" s="221" t="n"/>
    </row>
    <row r="52" ht="71.5" customHeight="1">
      <c r="A52" s="217" t="n"/>
      <c r="B52" s="222" t="inlineStr">
        <is>
          <t>Executed Date</t>
        </is>
      </c>
      <c r="C52" s="143" t="n"/>
      <c r="D52" s="144" t="n"/>
      <c r="E52" s="223" t="n"/>
      <c r="F52" s="224" t="n">
        <v>46111</v>
      </c>
      <c r="G52" s="224" t="n">
        <v>46111</v>
      </c>
      <c r="H52" s="224" t="n"/>
      <c r="I52" s="224" t="n"/>
      <c r="J52" s="224" t="n"/>
      <c r="K52" s="224" t="n"/>
      <c r="L52" s="224" t="n"/>
      <c r="M52" s="224" t="n"/>
      <c r="N52" s="224" t="n"/>
      <c r="O52" s="224" t="n"/>
      <c r="P52" s="224" t="n"/>
      <c r="Q52" s="224" t="n"/>
      <c r="R52" s="224" t="n"/>
      <c r="S52" s="224" t="n"/>
      <c r="T52" s="225" t="n"/>
    </row>
    <row r="53" ht="10.5" customHeight="1">
      <c r="A53" s="226" t="n"/>
      <c r="B53" s="227" t="inlineStr">
        <is>
          <t>Defect ID</t>
        </is>
      </c>
      <c r="C53" s="228" t="n"/>
      <c r="D53" s="229" t="n"/>
      <c r="E53" s="230" t="n"/>
      <c r="F53" s="231" t="n"/>
      <c r="G53" s="231" t="n"/>
      <c r="H53" s="231" t="n"/>
      <c r="I53" s="231" t="n"/>
      <c r="J53" s="231" t="n"/>
      <c r="K53" s="231" t="n"/>
      <c r="L53" s="231" t="n"/>
      <c r="M53" s="231" t="n"/>
      <c r="N53" s="231" t="n"/>
      <c r="O53" s="231" t="n"/>
      <c r="P53" s="231" t="n"/>
      <c r="Q53" s="231" t="n"/>
      <c r="R53" s="231" t="n"/>
      <c r="S53" s="231" t="n"/>
      <c r="T53" s="232" t="n"/>
    </row>
    <row r="54" ht="10.5" customHeight="1">
      <c r="A54" s="233" t="n"/>
      <c r="B54" s="234" t="n"/>
      <c r="C54" s="235" t="n"/>
      <c r="D54" s="234" t="n"/>
    </row>
  </sheetData>
  <mergeCells count="27">
    <mergeCell ref="B53:D53"/>
    <mergeCell ref="F2:K2"/>
    <mergeCell ref="A6:B6"/>
    <mergeCell ref="C4:D4"/>
    <mergeCell ref="L4:T4"/>
    <mergeCell ref="C2:E2"/>
    <mergeCell ref="A7:B7"/>
    <mergeCell ref="C7:E7"/>
    <mergeCell ref="L6:N6"/>
    <mergeCell ref="A3:B3"/>
    <mergeCell ref="B51:D51"/>
    <mergeCell ref="A2:B2"/>
    <mergeCell ref="B50:D50"/>
    <mergeCell ref="A5:B5"/>
    <mergeCell ref="C3:E3"/>
    <mergeCell ref="F4:K4"/>
    <mergeCell ref="O7:T7"/>
    <mergeCell ref="C6:E6"/>
    <mergeCell ref="A4:B4"/>
    <mergeCell ref="L2:T2"/>
    <mergeCell ref="O6:T6"/>
    <mergeCell ref="F6:K6"/>
    <mergeCell ref="B52:D52"/>
    <mergeCell ref="F7:K7"/>
    <mergeCell ref="C5:T5"/>
    <mergeCell ref="L3:T3"/>
    <mergeCell ref="F3:K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2026-03-30T10:49:48Z</dcterms:created>
  <dcterms:modified xsi:type="dcterms:W3CDTF">2026-03-30T10:49:51Z</dcterms:modified>
</cp:coreProperties>
</file>