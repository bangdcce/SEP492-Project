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comments/comment16.xml" ContentType="application/vnd.openxmlformats-officedocument.spreadsheetml.comments+xml"/>
  <Override PartName="/xl/worksheets/sheet20.xml" ContentType="application/vnd.openxmlformats-officedocument.spreadsheetml.worksheet+xml"/>
  <Override PartName="/xl/comments/comment17.xml" ContentType="application/vnd.openxmlformats-officedocument.spreadsheetml.comments+xml"/>
  <Override PartName="/xl/worksheets/sheet21.xml" ContentType="application/vnd.openxmlformats-officedocument.spreadsheetml.worksheet+xml"/>
  <Override PartName="/xl/comments/comment18.xml" ContentType="application/vnd.openxmlformats-officedocument.spreadsheetml.comments+xml"/>
  <Override PartName="/xl/worksheets/sheet22.xml" ContentType="application/vnd.openxmlformats-officedocument.spreadsheetml.worksheet+xml"/>
  <Override PartName="/xl/comments/comment19.xml" ContentType="application/vnd.openxmlformats-officedocument.spreadsheetml.comments+xml"/>
  <Override PartName="/xl/worksheets/sheet23.xml" ContentType="application/vnd.openxmlformats-officedocument.spreadsheetml.worksheet+xml"/>
  <Override PartName="/xl/comments/comment20.xml" ContentType="application/vnd.openxmlformats-officedocument.spreadsheetml.comments+xml"/>
  <Override PartName="/xl/worksheets/sheet24.xml" ContentType="application/vnd.openxmlformats-officedocument.spreadsheetml.worksheet+xml"/>
  <Override PartName="/xl/comments/comment21.xml" ContentType="application/vnd.openxmlformats-officedocument.spreadsheetml.comments+xml"/>
  <Override PartName="/xl/worksheets/sheet25.xml" ContentType="application/vnd.openxmlformats-officedocument.spreadsheetml.worksheet+xml"/>
  <Override PartName="/xl/comments/comment22.xml" ContentType="application/vnd.openxmlformats-officedocument.spreadsheetml.comments+xml"/>
  <Override PartName="/xl/worksheets/sheet26.xml" ContentType="application/vnd.openxmlformats-officedocument.spreadsheetml.worksheet+xml"/>
  <Override PartName="/xl/comments/comment23.xml" ContentType="application/vnd.openxmlformats-officedocument.spreadsheetml.comments+xml"/>
  <Override PartName="/xl/worksheets/sheet27.xml" ContentType="application/vnd.openxmlformats-officedocument.spreadsheetml.worksheet+xml"/>
  <Override PartName="/xl/comments/comment24.xml" ContentType="application/vnd.openxmlformats-officedocument.spreadsheetml.comments+xml"/>
  <Override PartName="/xl/worksheets/sheet28.xml" ContentType="application/vnd.openxmlformats-officedocument.spreadsheetml.worksheet+xml"/>
  <Override PartName="/xl/comments/comment25.xml" ContentType="application/vnd.openxmlformats-officedocument.spreadsheetml.comments+xml"/>
  <Override PartName="/xl/worksheets/sheet29.xml" ContentType="application/vnd.openxmlformats-officedocument.spreadsheetml.worksheet+xml"/>
  <Override PartName="/xl/comments/comment26.xml" ContentType="application/vnd.openxmlformats-officedocument.spreadsheetml.comments+xml"/>
  <Override PartName="/xl/worksheets/sheet30.xml" ContentType="application/vnd.openxmlformats-officedocument.spreadsheetml.worksheet+xml"/>
  <Override PartName="/xl/comments/comment27.xml" ContentType="application/vnd.openxmlformats-officedocument.spreadsheetml.comments+xml"/>
  <Override PartName="/xl/worksheets/sheet31.xml" ContentType="application/vnd.openxmlformats-officedocument.spreadsheetml.worksheet+xml"/>
  <Override PartName="/xl/comments/comment28.xml" ContentType="application/vnd.openxmlformats-officedocument.spreadsheetml.comments+xml"/>
  <Override PartName="/xl/worksheets/sheet32.xml" ContentType="application/vnd.openxmlformats-officedocument.spreadsheetml.worksheet+xml"/>
  <Override PartName="/xl/comments/comment29.xml" ContentType="application/vnd.openxmlformats-officedocument.spreadsheetml.comments+xml"/>
  <Override PartName="/xl/worksheets/sheet33.xml" ContentType="application/vnd.openxmlformats-officedocument.spreadsheetml.worksheet+xml"/>
  <Override PartName="/xl/comments/comment30.xml" ContentType="application/vnd.openxmlformats-officedocument.spreadsheetml.comments+xml"/>
  <Override PartName="/xl/worksheets/sheet34.xml" ContentType="application/vnd.openxmlformats-officedocument.spreadsheetml.worksheet+xml"/>
  <Override PartName="/xl/comments/comment31.xml" ContentType="application/vnd.openxmlformats-officedocument.spreadsheetml.comments+xml"/>
  <Override PartName="/xl/worksheets/sheet35.xml" ContentType="application/vnd.openxmlformats-officedocument.spreadsheetml.worksheet+xml"/>
  <Override PartName="/xl/comments/comment32.xml" ContentType="application/vnd.openxmlformats-officedocument.spreadsheetml.comments+xml"/>
  <Override PartName="/xl/worksheets/sheet36.xml" ContentType="application/vnd.openxmlformats-officedocument.spreadsheetml.worksheet+xml"/>
  <Override PartName="/xl/comments/comment33.xml" ContentType="application/vnd.openxmlformats-officedocument.spreadsheetml.comments+xml"/>
  <Override PartName="/xl/worksheets/sheet37.xml" ContentType="application/vnd.openxmlformats-officedocument.spreadsheetml.worksheet+xml"/>
  <Override PartName="/xl/comments/comment34.xml" ContentType="application/vnd.openxmlformats-officedocument.spreadsheetml.comments+xml"/>
  <Override PartName="/xl/worksheets/sheet38.xml" ContentType="application/vnd.openxmlformats-officedocument.spreadsheetml.worksheet+xml"/>
  <Override PartName="/xl/comments/comment35.xml" ContentType="application/vnd.openxmlformats-officedocument.spreadsheetml.comments+xml"/>
  <Override PartName="/xl/worksheets/sheet39.xml" ContentType="application/vnd.openxmlformats-officedocument.spreadsheetml.worksheet+xml"/>
  <Override PartName="/xl/comments/comment36.xml" ContentType="application/vnd.openxmlformats-officedocument.spreadsheetml.comments+xml"/>
  <Override PartName="/xl/worksheets/sheet40.xml" ContentType="application/vnd.openxmlformats-officedocument.spreadsheetml.worksheet+xml"/>
  <Override PartName="/xl/comments/comment37.xml" ContentType="application/vnd.openxmlformats-officedocument.spreadsheetml.comments+xml"/>
  <Override PartName="/xl/worksheets/sheet41.xml" ContentType="application/vnd.openxmlformats-officedocument.spreadsheetml.worksheet+xml"/>
  <Override PartName="/xl/comments/comment38.xml" ContentType="application/vnd.openxmlformats-officedocument.spreadsheetml.comments+xml"/>
  <Override PartName="/xl/worksheets/sheet42.xml" ContentType="application/vnd.openxmlformats-officedocument.spreadsheetml.worksheet+xml"/>
  <Override PartName="/xl/comments/comment39.xml" ContentType="application/vnd.openxmlformats-officedocument.spreadsheetml.comments+xml"/>
  <Override PartName="/xl/worksheets/sheet43.xml" ContentType="application/vnd.openxmlformats-officedocument.spreadsheetml.worksheet+xml"/>
  <Override PartName="/xl/comments/comment40.xml" ContentType="application/vnd.openxmlformats-officedocument.spreadsheetml.comments+xml"/>
  <Override PartName="/xl/worksheets/sheet44.xml" ContentType="application/vnd.openxmlformats-officedocument.spreadsheetml.worksheet+xml"/>
  <Override PartName="/xl/comments/comment41.xml" ContentType="application/vnd.openxmlformats-officedocument.spreadsheetml.comments+xml"/>
  <Override PartName="/xl/worksheets/sheet45.xml" ContentType="application/vnd.openxmlformats-officedocument.spreadsheetml.worksheet+xml"/>
  <Override PartName="/xl/comments/comment42.xml" ContentType="application/vnd.openxmlformats-officedocument.spreadsheetml.comments+xml"/>
  <Override PartName="/xl/worksheets/sheet46.xml" ContentType="application/vnd.openxmlformats-officedocument.spreadsheetml.worksheet+xml"/>
  <Override PartName="/xl/comments/comment4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34620" windowHeight="13900" tabRatio="866" firstSheet="0" activeTab="2" autoFilterDateGrouping="1"/>
  </bookViews>
  <sheets>
    <sheet name="Guideline" sheetId="1" state="visible" r:id="rId1"/>
    <sheet name="Cover" sheetId="2" state="visible" r:id="rId2"/>
    <sheet name="Function List" sheetId="3" state="visible" r:id="rId3"/>
    <sheet name="Test Report" sheetId="4" state="visible" r:id="rId4"/>
    <sheet name="Get All Room" sheetId="5" state="visible" r:id="rId5"/>
    <sheet name="Get All Users" sheetId="6" state="visible" r:id="rId6"/>
    <sheet name="Get Room Detail" sheetId="7" state="visible" r:id="rId7"/>
    <sheet name="Add Room" sheetId="8" state="visible" r:id="rId8"/>
    <sheet name="Update Room" sheetId="9" state="visible" r:id="rId9"/>
    <sheet name="Entry Excel To Room" sheetId="10" state="visible" r:id="rId10"/>
    <sheet name="Get All Roles" sheetId="11" state="visible" r:id="rId11"/>
    <sheet name="Get Role Detail" sheetId="12" state="visible" r:id="rId12"/>
    <sheet name="Add New Role" sheetId="13" state="visible" r:id="rId13"/>
    <sheet name="Update Role" sheetId="14" state="visible" r:id="rId14"/>
    <sheet name="Get Facilities" sheetId="15" state="visible" r:id="rId15"/>
    <sheet name="Get Room Facilities By Room Id" sheetId="16" state="visible" r:id="rId16"/>
    <sheet name="Get Personal Borrowing" sheetId="17" state="visible" r:id="rId17"/>
    <sheet name="Get Borrow List For Department" sheetId="18" state="visible" r:id="rId18"/>
    <sheet name="Get Important Borrowing" sheetId="19" state="visible" r:id="rId19"/>
    <sheet name="Get Borrowing Detail" sheetId="20" state="visible" r:id="rId20"/>
    <sheet name="Get HashSet Permissions" sheetId="21" state="visible" r:id="rId21"/>
    <sheet name="Get Permissions" sheetId="22" state="visible" r:id="rId22"/>
    <sheet name="Get User with Permissions" sheetId="23" state="visible" r:id="rId23"/>
    <sheet name="Get Facility By Id" sheetId="24" state="visible" r:id="rId24"/>
    <sheet name="Get Room Facility Detail" sheetId="25" state="visible" r:id="rId25"/>
    <sheet name="Get User By Email" sheetId="26" state="visible" r:id="rId26"/>
    <sheet name="Get User By Usercode" sheetId="27" state="visible" r:id="rId27"/>
    <sheet name="Edit Password" sheetId="28" state="visible" r:id="rId28"/>
    <sheet name="Get User Profile" sheetId="29" state="visible" r:id="rId29"/>
    <sheet name="Change User Status" sheetId="30" state="visible" r:id="rId30"/>
    <sheet name="Entry Excel To User" sheetId="31" state="visible" r:id="rId31"/>
    <sheet name="Login" sheetId="32" state="visible" r:id="rId32"/>
    <sheet name="Delete Room Facility" sheetId="33" state="visible" r:id="rId33"/>
    <sheet name="Add New Facility" sheetId="34" state="visible" r:id="rId34"/>
    <sheet name="Add New Room Facility" sheetId="35" state="visible" r:id="rId35"/>
    <sheet name="Add New User" sheetId="36" state="visible" r:id="rId36"/>
    <sheet name="Create Borrow Request" sheetId="37" state="visible" r:id="rId37"/>
    <sheet name="Change Borrow Status" sheetId="38" state="visible" r:id="rId38"/>
    <sheet name="Update User Profile" sheetId="39" state="visible" r:id="rId39"/>
    <sheet name="Update Facility" sheetId="40" state="visible" r:id="rId40"/>
    <sheet name="Update Room Facility" sheetId="41" state="visible" r:id="rId41"/>
    <sheet name="Get Available Facilities" sheetId="42" state="visible" r:id="rId42"/>
    <sheet name="Get All Facilities" sheetId="43" state="visible" r:id="rId43"/>
    <sheet name="List Contracts" sheetId="44" state="visible" r:id="rId44"/>
    <sheet name="Fund Milestone" sheetId="45" state="visible" r:id="rId45"/>
    <sheet name="Audit Spec" sheetId="46" state="visible" r:id="rId46"/>
  </sheets>
  <definedNames>
    <definedName name="ACTION">#REF!</definedName>
    <definedName name="_xlnm.Print_Area" localSheetId="0">'Guideline'!$A$1:$A$48</definedName>
    <definedName name="_xlnm.Print_Area" localSheetId="2">'Function List'!$A$1:$H$38</definedName>
    <definedName name="Z_2C0D9096_8D85_462A_A9B5_0B488ADB4269_.wvu.PrintArea" localSheetId="3" hidden="1">'Test Report'!$A:$I</definedName>
    <definedName name="Z_6F1DCD5D_5DAC_4817_BF40_2B66F6F593E6_.wvu.PrintArea" localSheetId="3" hidden="1">'Test Report'!$A:$I</definedName>
    <definedName name="Z_BE54E0AD_3725_4423_92D7_4F1C045BE1BC_.wvu.PrintArea" localSheetId="3" hidden="1">'Test Report'!$A:$I</definedName>
    <definedName name="_xlnm.Print_Area" localSheetId="3">'Test Report'!$A$1:$I$120</definedName>
    <definedName name="Z_2C0D9096_8D85_462A_A9B5_0B488ADB4269_.wvu.Cols" localSheetId="4" hidden="1">'Get All Room'!$E:$E</definedName>
    <definedName name="Z_6F1DCD5D_5DAC_4817_BF40_2B66F6F593E6_.wvu.Cols" localSheetId="4" hidden="1">'Get All Room'!$E:$E</definedName>
    <definedName name="Z_BE54E0AD_3725_4423_92D7_4F1C045BE1BC_.wvu.Cols" localSheetId="4" hidden="1">'Get All Room'!$E:$E</definedName>
    <definedName name="_xlnm.Print_Area" localSheetId="4">'Get All Room'!$A$1:$T$36</definedName>
    <definedName name="Z_2C0D9096_8D85_462A_A9B5_0B488ADB4269_.wvu.Cols" localSheetId="5" hidden="1">'Get All Users'!$E:$E</definedName>
    <definedName name="Z_6F1DCD5D_5DAC_4817_BF40_2B66F6F593E6_.wvu.Cols" localSheetId="5" hidden="1">'Get All Users'!$E:$E</definedName>
    <definedName name="Z_BE54E0AD_3725_4423_92D7_4F1C045BE1BC_.wvu.Cols" localSheetId="5" hidden="1">'Get All Users'!$E:$E</definedName>
    <definedName name="_xlnm.Print_Area" localSheetId="5">'Get All Users'!$A$1:$T$36</definedName>
    <definedName name="Z_2C0D9096_8D85_462A_A9B5_0B488ADB4269_.wvu.Cols" localSheetId="6" hidden="1">'Get Room Detail'!$E:$E</definedName>
    <definedName name="Z_6F1DCD5D_5DAC_4817_BF40_2B66F6F593E6_.wvu.Cols" localSheetId="6" hidden="1">'Get Room Detail'!$E:$E</definedName>
    <definedName name="Z_BE54E0AD_3725_4423_92D7_4F1C045BE1BC_.wvu.Cols" localSheetId="6" hidden="1">'Get Room Detail'!$E:$E</definedName>
    <definedName name="_xlnm.Print_Area" localSheetId="6">'Get Room Detail'!$A$1:$T$40</definedName>
    <definedName name="Z_2C0D9096_8D85_462A_A9B5_0B488ADB4269_.wvu.Cols" localSheetId="7" hidden="1">'Add Room'!$E:$E</definedName>
    <definedName name="Z_6F1DCD5D_5DAC_4817_BF40_2B66F6F593E6_.wvu.Cols" localSheetId="7" hidden="1">'Add Room'!$E:$E</definedName>
    <definedName name="Z_BE54E0AD_3725_4423_92D7_4F1C045BE1BC_.wvu.Cols" localSheetId="7" hidden="1">'Add Room'!$E:$E</definedName>
    <definedName name="_xlnm.Print_Area" localSheetId="7">'Add Room'!$A$1:$T$51</definedName>
  </definedNames>
  <calcPr calcId="191028" fullCalcOnLoad="1"/>
</workbook>
</file>

<file path=xl/styles.xml><?xml version="1.0" encoding="utf-8"?>
<styleSheet xmlns="http://schemas.openxmlformats.org/spreadsheetml/2006/main">
  <numFmts count="2">
    <numFmt numFmtId="164" formatCode="d\-mmm\-yy;@"/>
    <numFmt numFmtId="165" formatCode="mm/dd"/>
  </numFmts>
  <fonts count="60">
    <font>
      <name val="ＭＳ Ｐゴシック"/>
      <charset val="128"/>
      <family val="3"/>
      <sz val="11"/>
    </font>
    <font>
      <name val="ＭＳ Ｐゴシック"/>
      <charset val="128"/>
      <family val="3"/>
      <sz val="11"/>
    </font>
    <font>
      <name val="ＭＳ Ｐゴシック"/>
      <charset val="128"/>
      <family val="3"/>
      <sz val="11"/>
    </font>
    <font>
      <name val="Calibri"/>
      <family val="2"/>
      <color indexed="8"/>
      <sz val="11"/>
    </font>
    <font>
      <name val="Calibri"/>
      <family val="2"/>
      <color indexed="9"/>
      <sz val="11"/>
    </font>
    <font>
      <name val="Calibri"/>
      <family val="2"/>
      <color indexed="20"/>
      <sz val="11"/>
    </font>
    <font>
      <name val="Calibri"/>
      <family val="2"/>
      <b val="1"/>
      <color indexed="52"/>
      <sz val="11"/>
    </font>
    <font>
      <name val="Calibri"/>
      <family val="2"/>
      <b val="1"/>
      <color indexed="9"/>
      <sz val="11"/>
    </font>
    <font>
      <name val="Calibri"/>
      <family val="2"/>
      <i val="1"/>
      <color indexed="23"/>
      <sz val="11"/>
    </font>
    <font>
      <name val="Calibri"/>
      <family val="2"/>
      <color indexed="17"/>
      <sz val="11"/>
    </font>
    <font>
      <name val="Calibri"/>
      <family val="2"/>
      <b val="1"/>
      <color indexed="56"/>
      <sz val="15"/>
    </font>
    <font>
      <name val="Calibri"/>
      <family val="2"/>
      <b val="1"/>
      <color indexed="56"/>
      <sz val="13"/>
    </font>
    <font>
      <name val="Calibri"/>
      <family val="2"/>
      <b val="1"/>
      <color indexed="56"/>
      <sz val="11"/>
    </font>
    <font>
      <name val="ＭＳ Ｐゴシック"/>
      <charset val="128"/>
      <family val="3"/>
      <color indexed="12"/>
      <sz val="11"/>
      <u val="single"/>
    </font>
    <font>
      <name val="Calibri"/>
      <family val="2"/>
      <color indexed="62"/>
      <sz val="11"/>
    </font>
    <font>
      <name val="Calibri"/>
      <family val="2"/>
      <color indexed="52"/>
      <sz val="11"/>
    </font>
    <font>
      <name val="Calibri"/>
      <family val="2"/>
      <color indexed="60"/>
      <sz val="11"/>
    </font>
    <font>
      <name val="Calibri"/>
      <family val="2"/>
      <b val="1"/>
      <color indexed="63"/>
      <sz val="11"/>
    </font>
    <font>
      <name val="Cambria"/>
      <family val="2"/>
      <b val="1"/>
      <color indexed="56"/>
      <sz val="18"/>
    </font>
    <font>
      <name val="Calibri"/>
      <family val="2"/>
      <b val="1"/>
      <color indexed="8"/>
      <sz val="11"/>
    </font>
    <font>
      <name val="Calibri"/>
      <family val="2"/>
      <color indexed="10"/>
      <sz val="11"/>
    </font>
    <font>
      <name val="ＭＳ ゴシック"/>
      <charset val="128"/>
      <family val="3"/>
      <sz val="9"/>
    </font>
    <font>
      <name val="Tahoma"/>
      <family val="2"/>
      <b val="1"/>
      <color indexed="10"/>
      <sz val="26"/>
    </font>
    <font>
      <name val="Tahoma"/>
      <family val="2"/>
      <b val="1"/>
      <color indexed="8"/>
      <sz val="20"/>
    </font>
    <font>
      <name val="Tahoma"/>
      <family val="2"/>
      <sz val="10"/>
    </font>
    <font>
      <name val="Tahoma"/>
      <family val="2"/>
      <b val="1"/>
      <color indexed="60"/>
      <sz val="10"/>
    </font>
    <font>
      <name val="Tahoma"/>
      <family val="2"/>
      <i val="1"/>
      <color indexed="17"/>
      <sz val="10"/>
    </font>
    <font>
      <name val="Tahoma"/>
      <family val="2"/>
      <b val="1"/>
      <color indexed="9"/>
      <sz val="10"/>
    </font>
    <font>
      <name val="Tahoma"/>
      <family val="2"/>
      <b val="1"/>
      <color indexed="8"/>
      <sz val="10"/>
    </font>
    <font>
      <name val="Tahoma"/>
      <family val="2"/>
      <b val="1"/>
      <color indexed="10"/>
      <sz val="10"/>
    </font>
    <font>
      <name val="Tahoma"/>
      <family val="2"/>
      <b val="1"/>
      <sz val="10"/>
    </font>
    <font>
      <name val="Tahoma"/>
      <family val="2"/>
      <color indexed="9"/>
      <sz val="10"/>
    </font>
    <font>
      <name val="Tahoma"/>
      <family val="2"/>
      <color indexed="8"/>
      <sz val="10"/>
    </font>
    <font>
      <name val="ＭＳ Ｐゴシック"/>
      <charset val="128"/>
      <family val="3"/>
      <sz val="8"/>
    </font>
    <font>
      <name val="Tahoma"/>
      <family val="2"/>
      <sz val="8"/>
    </font>
    <font>
      <name val="Tahoma"/>
      <family val="2"/>
      <b val="1"/>
      <sz val="8"/>
    </font>
    <font>
      <name val="Tahoma"/>
      <family val="2"/>
      <color indexed="17"/>
      <sz val="8"/>
    </font>
    <font>
      <name val="Tahoma"/>
      <family val="2"/>
      <i val="1"/>
      <sz val="8"/>
    </font>
    <font>
      <name val="Courier New"/>
      <family val="3"/>
      <b val="1"/>
      <sz val="12"/>
    </font>
    <font>
      <name val="Courier New"/>
      <family val="3"/>
      <b val="1"/>
      <sz val="8"/>
    </font>
    <font>
      <name val="Courier New"/>
      <family val="3"/>
      <sz val="8"/>
    </font>
    <font>
      <name val="Tahoma"/>
      <family val="2"/>
      <color indexed="81"/>
      <sz val="8"/>
    </font>
    <font>
      <name val="ＭＳ Ｐゴシック"/>
      <charset val="128"/>
      <family val="3"/>
      <sz val="6"/>
    </font>
    <font>
      <name val="Tahoma"/>
      <family val="2"/>
      <i val="1"/>
      <sz val="10"/>
    </font>
    <font>
      <name val="Tahoma"/>
      <family val="2"/>
      <color indexed="12"/>
      <sz val="11"/>
      <u val="single"/>
    </font>
    <font>
      <name val="Tahoma"/>
      <family val="2"/>
      <b val="1"/>
      <sz val="18"/>
    </font>
    <font>
      <name val="Tahoma"/>
      <family val="2"/>
      <b val="1"/>
      <sz val="11"/>
    </font>
    <font>
      <name val="Tahoma"/>
      <family val="2"/>
      <b val="1"/>
      <sz val="14"/>
    </font>
    <font>
      <name val="Tahoma"/>
      <family val="2"/>
      <sz val="10.5"/>
    </font>
    <font>
      <name val="Tahoma"/>
      <family val="2"/>
      <sz val="11"/>
    </font>
    <font>
      <name val="Tahoma"/>
      <family val="2"/>
      <b val="1"/>
      <sz val="12"/>
    </font>
    <font>
      <name val="Tahoma"/>
      <family val="2"/>
      <i val="1"/>
      <sz val="11"/>
    </font>
    <font>
      <name val="Tahoma"/>
      <family val="2"/>
      <b val="1"/>
      <color indexed="9"/>
      <sz val="11"/>
    </font>
    <font>
      <name val="Tahoma"/>
      <family val="2"/>
      <b val="1"/>
      <color indexed="9"/>
      <sz val="8"/>
    </font>
    <font>
      <name val="Tahoma"/>
      <family val="2"/>
      <color indexed="9"/>
      <sz val="8"/>
    </font>
    <font>
      <name val="Tahoma"/>
      <family val="2"/>
      <b val="1"/>
      <color indexed="8"/>
      <sz val="8"/>
    </font>
    <font>
      <name val="Tahoma"/>
      <family val="2"/>
      <color indexed="8"/>
      <sz val="8"/>
    </font>
    <font>
      <name val="Tahoma"/>
      <family val="2"/>
      <b val="1"/>
      <color rgb="FFFF0000"/>
      <sz val="8"/>
    </font>
    <font>
      <name val="Tahoma"/>
      <family val="2"/>
      <b val="1"/>
      <color theme="0"/>
      <sz val="8"/>
    </font>
    <font>
      <name val="Tahoma"/>
      <family val="2"/>
      <color theme="1"/>
      <sz val="10"/>
    </font>
  </fonts>
  <fills count="35">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26"/>
      </patternFill>
    </fill>
    <fill>
      <patternFill patternType="solid">
        <fgColor indexed="18"/>
        <bgColor indexed="32"/>
      </patternFill>
    </fill>
    <fill>
      <patternFill patternType="solid">
        <fgColor indexed="62"/>
        <bgColor indexed="56"/>
      </patternFill>
    </fill>
    <fill>
      <patternFill patternType="solid">
        <fgColor indexed="9"/>
        <bgColor indexed="64"/>
      </patternFill>
    </fill>
    <fill>
      <patternFill patternType="solid">
        <fgColor indexed="52"/>
        <bgColor indexed="64"/>
      </patternFill>
    </fill>
    <fill>
      <patternFill patternType="solid">
        <fgColor indexed="42"/>
        <bgColor indexed="64"/>
      </patternFill>
    </fill>
    <fill>
      <patternFill patternType="solid">
        <fgColor indexed="18"/>
        <bgColor indexed="64"/>
      </patternFill>
    </fill>
    <fill>
      <patternFill patternType="solid">
        <fgColor rgb="FFFFC000"/>
        <bgColor indexed="64"/>
      </patternFill>
    </fill>
    <fill>
      <patternFill patternType="solid">
        <fgColor rgb="FFFFC000"/>
        <bgColor indexed="26"/>
      </patternFill>
    </fill>
    <fill>
      <patternFill patternType="solid">
        <fgColor theme="9"/>
        <bgColor indexed="26"/>
      </patternFill>
    </fill>
    <fill>
      <patternFill patternType="solid">
        <fgColor theme="0"/>
        <bgColor indexed="26"/>
      </patternFill>
    </fill>
  </fills>
  <borders count="14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right style="hair">
        <color indexed="8"/>
      </right>
      <top style="thin">
        <color indexed="8"/>
      </top>
      <bottom style="hair">
        <color indexed="8"/>
      </bottom>
      <diagonal/>
    </border>
    <border>
      <left style="hair">
        <color indexed="8"/>
      </left>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thin">
        <color indexed="8"/>
      </top>
      <bottom style="hair">
        <color indexed="8"/>
      </bottom>
      <diagonal/>
    </border>
    <border>
      <left style="hair">
        <color indexed="8"/>
      </left>
      <right style="hair">
        <color indexed="8"/>
      </right>
      <top/>
      <bottom style="hair">
        <color indexed="8"/>
      </bottom>
      <diagonal/>
    </border>
    <border>
      <left/>
      <right/>
      <top/>
      <bottom style="medium">
        <color indexed="64"/>
      </bottom>
      <diagonal/>
    </border>
    <border>
      <left style="medium">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bottom style="thin">
        <color indexed="8"/>
      </bottom>
      <diagonal/>
    </border>
    <border>
      <left style="thin">
        <color indexed="64"/>
      </left>
      <right/>
      <top style="thin">
        <color indexed="8"/>
      </top>
      <bottom style="medium">
        <color indexed="8"/>
      </bottom>
      <diagonal/>
    </border>
    <border>
      <left style="thin">
        <color indexed="8"/>
      </left>
      <right style="thin">
        <color indexed="8"/>
      </right>
      <top style="medium">
        <color indexed="8"/>
      </top>
      <bottom style="thin">
        <color indexed="8"/>
      </bottom>
      <diagonal/>
    </border>
    <border>
      <left/>
      <right/>
      <top style="thin">
        <color indexed="8"/>
      </top>
      <bottom style="thin">
        <color indexed="8"/>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right/>
      <top style="double">
        <color indexed="64"/>
      </top>
      <bottom/>
      <diagonal/>
    </border>
    <border>
      <left/>
      <right style="double">
        <color indexed="64"/>
      </right>
      <top style="double">
        <color indexed="64"/>
      </top>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bottom/>
      <diagonal/>
    </border>
    <border>
      <left style="thin">
        <color indexed="64"/>
      </left>
      <right style="double">
        <color indexed="64"/>
      </right>
      <top style="thin">
        <color indexed="64"/>
      </top>
      <bottom style="double">
        <color indexed="64"/>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style="double">
        <color indexed="64"/>
      </top>
      <bottom style="thin">
        <color indexed="64"/>
      </bottom>
      <diagonal/>
    </border>
    <border>
      <left style="double">
        <color indexed="64"/>
      </left>
      <right/>
      <top/>
      <bottom/>
      <diagonal/>
    </border>
    <border>
      <left style="double">
        <color indexed="64"/>
      </left>
      <right/>
      <top/>
      <bottom style="double">
        <color indexed="64"/>
      </bottom>
      <diagonal/>
    </border>
    <border>
      <left style="double">
        <color indexed="64"/>
      </left>
      <right style="thin">
        <color indexed="64"/>
      </right>
      <top style="medium">
        <color indexed="9"/>
      </top>
      <bottom/>
      <diagonal/>
    </border>
    <border>
      <left style="double">
        <color indexed="64"/>
      </left>
      <right/>
      <top style="double">
        <color indexed="64"/>
      </top>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thin">
        <color indexed="64"/>
      </right>
      <top/>
      <bottom style="double">
        <color indexed="64"/>
      </bottom>
      <diagonal/>
    </border>
    <border>
      <left style="double">
        <color indexed="64"/>
      </left>
      <right style="hair">
        <color indexed="8"/>
      </right>
      <top style="double">
        <color indexed="64"/>
      </top>
      <bottom style="medium">
        <color indexed="9"/>
      </bottom>
      <diagonal/>
    </border>
    <border>
      <left/>
      <right/>
      <top style="double">
        <color indexed="64"/>
      </top>
      <bottom style="medium">
        <color indexed="9"/>
      </bottom>
      <diagonal/>
    </border>
    <border>
      <left/>
      <right style="double">
        <color indexed="64"/>
      </right>
      <top style="double">
        <color indexed="64"/>
      </top>
      <bottom style="medium">
        <color indexed="9"/>
      </bottom>
      <diagonal/>
    </border>
    <border>
      <left style="thin">
        <color indexed="64"/>
      </left>
      <right/>
      <top style="thin">
        <color indexed="8"/>
      </top>
      <bottom style="thin">
        <color indexed="8"/>
      </bottom>
      <diagonal/>
    </border>
    <border>
      <left/>
      <right style="medium">
        <color indexed="64"/>
      </right>
      <top style="thin">
        <color indexed="8"/>
      </top>
      <bottom style="thin">
        <color indexed="8"/>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8"/>
      </right>
      <top style="medium">
        <color indexed="64"/>
      </top>
      <bottom style="thin">
        <color indexed="64"/>
      </bottom>
      <diagonal/>
    </border>
    <border>
      <left/>
      <right style="medium">
        <color indexed="8"/>
      </right>
      <top style="thin">
        <color indexed="8"/>
      </top>
      <bottom style="thin">
        <color indexed="8"/>
      </bottom>
      <diagonal/>
    </border>
    <border>
      <left/>
      <right style="thin">
        <color indexed="64"/>
      </right>
      <top style="thin">
        <color indexed="8"/>
      </top>
      <bottom style="thin">
        <color indexed="8"/>
      </bottom>
      <diagonal/>
    </border>
    <border>
      <left style="thin">
        <color indexed="8"/>
      </left>
      <right/>
      <top/>
      <bottom style="thin">
        <color indexed="8"/>
      </bottom>
      <diagonal/>
    </border>
    <border>
      <left/>
      <right style="thin">
        <color indexed="64"/>
      </right>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bottom style="thin">
        <color indexed="8"/>
      </bottom>
      <diagonal/>
    </border>
    <border>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8"/>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style="thin">
        <color indexed="8"/>
      </left>
      <right/>
      <top style="thin">
        <color indexed="8"/>
      </top>
      <bottom style="medium">
        <color indexed="8"/>
      </bottom>
      <diagonal/>
    </border>
    <border>
      <left/>
      <right style="thin">
        <color indexed="64"/>
      </right>
      <top style="thin">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top/>
      <bottom style="thin">
        <color indexed="8"/>
      </bottom>
      <diagonal/>
    </border>
    <border>
      <left/>
      <right style="thin">
        <color indexed="8"/>
      </right>
      <top/>
      <bottom style="thin">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thin">
        <color indexed="64"/>
      </left>
      <right/>
      <top style="thin">
        <color indexed="64"/>
      </top>
      <bottom style="thin">
        <color indexed="8"/>
      </bottom>
      <diagonal/>
    </border>
    <border>
      <left/>
      <right/>
      <top style="thin">
        <color indexed="64"/>
      </top>
      <bottom style="thin">
        <color indexed="8"/>
      </bottom>
      <diagonal/>
    </border>
    <border>
      <left/>
      <right style="medium">
        <color indexed="8"/>
      </right>
      <top style="thin">
        <color indexed="64"/>
      </top>
      <bottom style="thin">
        <color indexed="64"/>
      </bottom>
      <diagonal/>
    </border>
    <border>
      <left/>
      <right style="medium">
        <color indexed="8"/>
      </right>
      <top style="thin">
        <color indexed="64"/>
      </top>
      <bottom style="thin">
        <color indexed="8"/>
      </bottom>
      <diagonal/>
    </border>
    <border>
      <left/>
      <right style="hair">
        <color indexed="8"/>
      </right>
      <top/>
      <bottom style="hair">
        <color indexed="8"/>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8"/>
      </left>
      <right style="hair">
        <color indexed="8"/>
      </right>
      <top style="hair">
        <color indexed="8"/>
      </top>
      <bottom/>
      <diagonal/>
    </border>
    <border>
      <left style="hair">
        <color indexed="8"/>
      </left>
      <right style="hair">
        <color indexed="8"/>
      </right>
      <top style="hair">
        <color indexed="8"/>
      </top>
      <bottom/>
      <diagonal/>
    </border>
    <border>
      <left style="hair">
        <color indexed="8"/>
      </left>
      <right style="thin">
        <color indexed="8"/>
      </right>
      <top style="hair">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diagonal/>
    </border>
    <border>
      <left style="thin">
        <color indexed="64"/>
      </left>
      <right style="medium">
        <color indexed="8"/>
      </right>
      <top style="medium">
        <color indexed="64"/>
      </top>
      <bottom style="thin">
        <color indexed="64"/>
      </bottom>
      <diagonal/>
    </border>
    <border>
      <left/>
      <right style="medium">
        <color indexed="8"/>
      </right>
      <top style="medium">
        <color indexed="64"/>
      </top>
      <bottom/>
      <diagonal/>
    </border>
    <border>
      <left style="thin">
        <color indexed="64"/>
      </left>
      <right style="medium">
        <color indexed="8"/>
      </right>
      <top style="thin">
        <color indexed="64"/>
      </top>
      <bottom style="thin">
        <color indexed="8"/>
      </bottom>
      <diagonal/>
    </border>
    <border>
      <left/>
      <right style="medium">
        <color indexed="8"/>
      </right>
      <top style="thin">
        <color indexed="64"/>
      </top>
      <bottom/>
      <diagonal/>
    </border>
    <border>
      <left style="thin">
        <color indexed="8"/>
      </left>
      <right style="thin">
        <color indexed="64"/>
      </right>
      <top style="thin">
        <color indexed="8"/>
      </top>
      <bottom style="thin">
        <color indexed="8"/>
      </bottom>
      <diagonal/>
    </border>
    <border>
      <left/>
      <right style="thin">
        <color indexed="64"/>
      </right>
      <top style="thin">
        <color indexed="8"/>
      </top>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right style="thin">
        <color indexed="64"/>
      </right>
      <top style="double">
        <color indexed="64"/>
      </top>
      <bottom/>
      <diagonal/>
    </border>
    <border>
      <left style="thin">
        <color indexed="8"/>
      </left>
      <right style="thin">
        <color indexed="64"/>
      </right>
      <top/>
      <bottom style="thin">
        <color indexed="8"/>
      </bottom>
      <diagonal/>
    </border>
    <border>
      <left/>
      <right style="thin">
        <color indexed="64"/>
      </right>
      <top/>
      <bottom/>
      <diagonal/>
    </border>
    <border>
      <left style="medium">
        <color indexed="8"/>
      </left>
      <right style="thin">
        <color indexed="8"/>
      </right>
      <top style="thin">
        <color indexed="8"/>
      </top>
      <bottom style="thin">
        <color indexed="8"/>
      </bottom>
      <diagonal/>
    </border>
    <border>
      <left/>
      <right style="medium">
        <color indexed="8"/>
      </right>
      <top style="thin">
        <color indexed="8"/>
      </top>
      <bottom/>
      <diagonal/>
    </border>
    <border>
      <left style="thin">
        <color indexed="64"/>
      </left>
      <right style="thin">
        <color indexed="64"/>
      </right>
      <top style="thin">
        <color indexed="8"/>
      </top>
      <bottom style="thin">
        <color indexed="8"/>
      </bottom>
      <diagonal/>
    </border>
    <border>
      <left style="thin">
        <color indexed="64"/>
      </left>
      <right style="medium">
        <color indexed="64"/>
      </right>
      <top style="thin">
        <color indexed="8"/>
      </top>
      <bottom style="medium">
        <color indexed="8"/>
      </bottom>
      <diagonal/>
    </border>
    <border>
      <left/>
      <right style="medium">
        <color indexed="64"/>
      </right>
      <top style="thin">
        <color indexed="8"/>
      </top>
      <bottom/>
      <diagonal/>
    </border>
    <border>
      <left style="thin">
        <color indexed="64"/>
      </left>
      <right style="medium">
        <color indexed="64"/>
      </right>
      <top style="thin">
        <color indexed="8"/>
      </top>
      <bottom style="thin">
        <color indexed="8"/>
      </bottom>
      <diagonal/>
    </border>
    <border>
      <left style="thin">
        <color indexed="8"/>
      </left>
      <right style="thin">
        <color indexed="64"/>
      </right>
      <top style="thin">
        <color indexed="8"/>
      </top>
      <bottom style="medium">
        <color indexed="8"/>
      </bottom>
      <diagonal/>
    </border>
    <border>
      <left style="thin">
        <color indexed="64"/>
      </left>
      <right style="medium">
        <color indexed="8"/>
      </right>
      <top style="thin">
        <color indexed="64"/>
      </top>
      <bottom style="thin">
        <color indexed="64"/>
      </bottom>
      <diagonal/>
    </border>
    <border>
      <left style="thin">
        <color indexed="8"/>
      </left>
      <right style="thin">
        <color indexed="8"/>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medium">
        <color indexed="8"/>
      </left>
      <right style="thin">
        <color indexed="8"/>
      </right>
      <top/>
      <bottom style="thin">
        <color indexed="8"/>
      </bottom>
      <diagonal/>
    </border>
    <border>
      <left style="thin">
        <color indexed="64"/>
      </left>
      <right style="medium">
        <color indexed="8"/>
      </right>
      <top style="thin">
        <color indexed="8"/>
      </top>
      <bottom style="thin">
        <color indexed="8"/>
      </bottom>
      <diagonal/>
    </border>
    <border>
      <left/>
      <right/>
      <top style="medium">
        <color indexed="8"/>
      </top>
      <bottom/>
      <diagonal/>
    </border>
    <border>
      <left/>
      <right style="thin">
        <color indexed="8"/>
      </right>
      <top style="medium">
        <color indexed="8"/>
      </top>
      <bottom/>
      <diagonal/>
    </border>
    <border>
      <left/>
      <right style="thin">
        <color indexed="8"/>
      </right>
      <top style="medium">
        <color indexed="8"/>
      </top>
      <bottom style="thin">
        <color indexed="8"/>
      </bottom>
      <diagonal/>
    </border>
    <border>
      <left/>
      <right style="medium">
        <color indexed="8"/>
      </right>
      <top style="medium">
        <color indexed="8"/>
      </top>
      <bottom/>
      <diagonal/>
    </border>
  </borders>
  <cellStyleXfs count="49">
    <xf numFmtId="0" fontId="2" fillId="0" borderId="0" applyAlignment="1">
      <alignment vertical="center"/>
    </xf>
    <xf numFmtId="0" fontId="3" fillId="2" borderId="0"/>
    <xf numFmtId="0" fontId="3" fillId="3" borderId="0"/>
    <xf numFmtId="0" fontId="3" fillId="4" borderId="0"/>
    <xf numFmtId="0" fontId="3" fillId="5" borderId="0"/>
    <xf numFmtId="0" fontId="3" fillId="6" borderId="0"/>
    <xf numFmtId="0" fontId="3" fillId="7" borderId="0"/>
    <xf numFmtId="0" fontId="3" fillId="8" borderId="0"/>
    <xf numFmtId="0" fontId="3" fillId="9" borderId="0"/>
    <xf numFmtId="0" fontId="3" fillId="10" borderId="0"/>
    <xf numFmtId="0" fontId="3" fillId="5" borderId="0"/>
    <xf numFmtId="0" fontId="3" fillId="8" borderId="0"/>
    <xf numFmtId="0" fontId="3" fillId="11" borderId="0"/>
    <xf numFmtId="0" fontId="4" fillId="12" borderId="0"/>
    <xf numFmtId="0" fontId="4" fillId="9" borderId="0"/>
    <xf numFmtId="0" fontId="4" fillId="10" borderId="0"/>
    <xf numFmtId="0" fontId="4" fillId="13" borderId="0"/>
    <xf numFmtId="0" fontId="4" fillId="14" borderId="0"/>
    <xf numFmtId="0" fontId="4" fillId="15" borderId="0"/>
    <xf numFmtId="0" fontId="4" fillId="16" borderId="0"/>
    <xf numFmtId="0" fontId="4" fillId="17" borderId="0"/>
    <xf numFmtId="0" fontId="4" fillId="18" borderId="0"/>
    <xf numFmtId="0" fontId="4" fillId="13" borderId="0"/>
    <xf numFmtId="0" fontId="4" fillId="14" borderId="0"/>
    <xf numFmtId="0" fontId="4" fillId="19" borderId="0"/>
    <xf numFmtId="0" fontId="5" fillId="3" borderId="0"/>
    <xf numFmtId="0" fontId="6" fillId="20" borderId="1"/>
    <xf numFmtId="0" fontId="7" fillId="21" borderId="2"/>
    <xf numFmtId="0" fontId="8" fillId="0" borderId="0"/>
    <xf numFmtId="0" fontId="9" fillId="4" borderId="0"/>
    <xf numFmtId="0" fontId="10" fillId="0" borderId="3"/>
    <xf numFmtId="0" fontId="11" fillId="0" borderId="4"/>
    <xf numFmtId="0" fontId="12" fillId="0" borderId="5"/>
    <xf numFmtId="0" fontId="12" fillId="0" borderId="0"/>
    <xf numFmtId="0" fontId="13" fillId="0" borderId="0"/>
    <xf numFmtId="0" fontId="14" fillId="7" borderId="1"/>
    <xf numFmtId="0" fontId="15" fillId="0" borderId="6"/>
    <xf numFmtId="0" fontId="16" fillId="22" borderId="0"/>
    <xf numFmtId="0" fontId="2" fillId="0" borderId="0"/>
    <xf numFmtId="0" fontId="2" fillId="0" borderId="0"/>
    <xf numFmtId="0" fontId="2" fillId="0" borderId="0"/>
    <xf numFmtId="0" fontId="2" fillId="0" borderId="0"/>
    <xf numFmtId="0" fontId="2" fillId="0" borderId="0"/>
    <xf numFmtId="0" fontId="2" fillId="23" borderId="7"/>
    <xf numFmtId="0" fontId="17" fillId="20" borderId="8"/>
    <xf numFmtId="0" fontId="18" fillId="0" borderId="0"/>
    <xf numFmtId="0" fontId="19" fillId="0" borderId="9"/>
    <xf numFmtId="0" fontId="20" fillId="0" borderId="0"/>
    <xf numFmtId="0" fontId="21" fillId="0" borderId="0"/>
  </cellStyleXfs>
  <cellXfs count="497">
    <xf numFmtId="0" fontId="0" fillId="0" borderId="0" applyAlignment="1" pivotButton="0" quotePrefix="0" xfId="0">
      <alignment vertical="center"/>
    </xf>
    <xf numFmtId="0" fontId="24" fillId="0" borderId="0" applyAlignment="1" pivotButton="0" quotePrefix="0" xfId="41">
      <alignment horizontal="center" vertical="center"/>
    </xf>
    <xf numFmtId="0" fontId="24" fillId="0" borderId="0" pivotButton="0" quotePrefix="0" xfId="41"/>
    <xf numFmtId="0" fontId="25" fillId="24" borderId="0" applyAlignment="1" pivotButton="0" quotePrefix="0" xfId="41">
      <alignment horizontal="left" indent="1"/>
    </xf>
    <xf numFmtId="0" fontId="26" fillId="0" borderId="0" applyAlignment="1" pivotButton="0" quotePrefix="0" xfId="41">
      <alignment horizontal="left" indent="1"/>
    </xf>
    <xf numFmtId="0" fontId="24" fillId="24" borderId="0" pivotButton="0" quotePrefix="0" xfId="41"/>
    <xf numFmtId="0" fontId="24" fillId="0" borderId="11" pivotButton="0" quotePrefix="0" xfId="41"/>
    <xf numFmtId="0" fontId="26" fillId="0" borderId="0" applyAlignment="1" pivotButton="0" quotePrefix="0" xfId="41">
      <alignment horizontal="left"/>
    </xf>
    <xf numFmtId="0" fontId="25" fillId="0" borderId="0" applyAlignment="1" pivotButton="0" quotePrefix="0" xfId="41">
      <alignment horizontal="left" indent="1"/>
    </xf>
    <xf numFmtId="0" fontId="24" fillId="0" borderId="0" applyAlignment="1" pivotButton="0" quotePrefix="0" xfId="41">
      <alignment vertical="center"/>
    </xf>
    <xf numFmtId="164" fontId="27" fillId="25" borderId="12" applyAlignment="1" pivotButton="0" quotePrefix="0" xfId="41">
      <alignment horizontal="center" vertical="center"/>
    </xf>
    <xf numFmtId="0" fontId="27" fillId="25" borderId="13" applyAlignment="1" pivotButton="0" quotePrefix="0" xfId="41">
      <alignment horizontal="center" vertical="center"/>
    </xf>
    <xf numFmtId="0" fontId="27" fillId="25" borderId="14" applyAlignment="1" pivotButton="0" quotePrefix="0" xfId="41">
      <alignment horizontal="center" vertical="center"/>
    </xf>
    <xf numFmtId="0" fontId="24" fillId="0" borderId="0" applyAlignment="1" pivotButton="0" quotePrefix="0" xfId="41">
      <alignment vertical="top"/>
    </xf>
    <xf numFmtId="49" fontId="24" fillId="0" borderId="15" applyAlignment="1" pivotButton="0" quotePrefix="0" xfId="41">
      <alignment vertical="top"/>
    </xf>
    <xf numFmtId="0" fontId="24" fillId="0" borderId="15" applyAlignment="1" pivotButton="0" quotePrefix="0" xfId="41">
      <alignment vertical="top"/>
    </xf>
    <xf numFmtId="15" fontId="24" fillId="0" borderId="15" applyAlignment="1" pivotButton="0" quotePrefix="0" xfId="41">
      <alignment vertical="top"/>
    </xf>
    <xf numFmtId="0" fontId="24" fillId="0" borderId="17" applyAlignment="1" pivotButton="0" quotePrefix="0" xfId="41">
      <alignment vertical="top"/>
    </xf>
    <xf numFmtId="49" fontId="24" fillId="0" borderId="19" applyAlignment="1" pivotButton="0" quotePrefix="0" xfId="41">
      <alignment vertical="top"/>
    </xf>
    <xf numFmtId="0" fontId="24" fillId="0" borderId="19" applyAlignment="1" pivotButton="0" quotePrefix="0" xfId="41">
      <alignment vertical="top"/>
    </xf>
    <xf numFmtId="0" fontId="24" fillId="0" borderId="20" applyAlignment="1" pivotButton="0" quotePrefix="0" xfId="41">
      <alignment vertical="top"/>
    </xf>
    <xf numFmtId="0" fontId="24" fillId="0" borderId="0" applyAlignment="1" pivotButton="0" quotePrefix="0" xfId="41">
      <alignment horizontal="left" indent="1"/>
    </xf>
    <xf numFmtId="0" fontId="24" fillId="24" borderId="0" applyAlignment="1" pivotButton="0" quotePrefix="0" xfId="41">
      <alignment horizontal="left"/>
    </xf>
    <xf numFmtId="0" fontId="24" fillId="24" borderId="0" applyAlignment="1" pivotButton="0" quotePrefix="0" xfId="41">
      <alignment horizontal="left" wrapText="1"/>
    </xf>
    <xf numFmtId="0" fontId="24" fillId="24" borderId="0" applyAlignment="1" pivotButton="0" quotePrefix="0" xfId="41">
      <alignment wrapText="1"/>
    </xf>
    <xf numFmtId="1" fontId="25" fillId="24" borderId="0" pivotButton="0" quotePrefix="0" xfId="41"/>
    <xf numFmtId="1" fontId="24" fillId="24" borderId="0" applyAlignment="1" applyProtection="1" pivotButton="0" quotePrefix="0" xfId="41">
      <alignment vertical="center"/>
      <protection locked="1" hidden="1"/>
    </xf>
    <xf numFmtId="0" fontId="24" fillId="24" borderId="0" applyAlignment="1" pivotButton="0" quotePrefix="0" xfId="41">
      <alignment horizontal="left" vertical="center"/>
    </xf>
    <xf numFmtId="0" fontId="24" fillId="24" borderId="0" applyAlignment="1" pivotButton="0" quotePrefix="0" xfId="41">
      <alignment horizontal="left" vertical="center" wrapText="1"/>
    </xf>
    <xf numFmtId="0" fontId="24" fillId="24" borderId="0" applyAlignment="1" pivotButton="0" quotePrefix="0" xfId="41">
      <alignment vertical="center"/>
    </xf>
    <xf numFmtId="1" fontId="27" fillId="26" borderId="12" applyAlignment="1" pivotButton="0" quotePrefix="0" xfId="41">
      <alignment horizontal="center" vertical="center"/>
    </xf>
    <xf numFmtId="1" fontId="27" fillId="26" borderId="21" applyAlignment="1" pivotButton="0" quotePrefix="0" xfId="41">
      <alignment horizontal="center" vertical="center" wrapText="1"/>
    </xf>
    <xf numFmtId="1" fontId="27" fillId="26" borderId="21" applyAlignment="1" pivotButton="0" quotePrefix="0" xfId="41">
      <alignment horizontal="center" vertical="center"/>
    </xf>
    <xf numFmtId="0" fontId="27" fillId="26" borderId="13" applyAlignment="1" pivotButton="0" quotePrefix="0" xfId="41">
      <alignment horizontal="center" vertical="center"/>
    </xf>
    <xf numFmtId="0" fontId="27" fillId="26" borderId="13" applyAlignment="1" pivotButton="0" quotePrefix="0" xfId="41">
      <alignment horizontal="center" vertical="center" wrapText="1"/>
    </xf>
    <xf numFmtId="0" fontId="27" fillId="26" borderId="22" applyAlignment="1" pivotButton="0" quotePrefix="0" xfId="41">
      <alignment horizontal="center" vertical="center"/>
    </xf>
    <xf numFmtId="0" fontId="27" fillId="26" borderId="14" applyAlignment="1" pivotButton="0" quotePrefix="0" xfId="41">
      <alignment horizontal="center" vertical="center"/>
    </xf>
    <xf numFmtId="0" fontId="30" fillId="24" borderId="0" applyAlignment="1" pivotButton="0" quotePrefix="0" xfId="41">
      <alignment horizontal="center"/>
    </xf>
    <xf numFmtId="1" fontId="24" fillId="24" borderId="23" applyAlignment="1" pivotButton="0" quotePrefix="0" xfId="41">
      <alignment vertical="center"/>
    </xf>
    <xf numFmtId="49" fontId="24" fillId="24" borderId="15" applyAlignment="1" pivotButton="0" quotePrefix="0" xfId="41">
      <alignment horizontal="left" vertical="center"/>
    </xf>
    <xf numFmtId="49" fontId="24" fillId="24" borderId="15" applyAlignment="1" pivotButton="0" quotePrefix="0" xfId="41">
      <alignment horizontal="left" vertical="center" wrapText="1"/>
    </xf>
    <xf numFmtId="0" fontId="24" fillId="24" borderId="17" applyAlignment="1" pivotButton="0" quotePrefix="0" xfId="41">
      <alignment horizontal="left" vertical="center"/>
    </xf>
    <xf numFmtId="0" fontId="24" fillId="24" borderId="15" applyAlignment="1" pivotButton="0" quotePrefix="0" xfId="41">
      <alignment horizontal="left" vertical="center"/>
    </xf>
    <xf numFmtId="1" fontId="24" fillId="24" borderId="24" applyAlignment="1" pivotButton="0" quotePrefix="0" xfId="41">
      <alignment vertical="center"/>
    </xf>
    <xf numFmtId="49" fontId="24" fillId="24" borderId="19" applyAlignment="1" pivotButton="0" quotePrefix="0" xfId="41">
      <alignment horizontal="left" vertical="center"/>
    </xf>
    <xf numFmtId="49" fontId="24" fillId="24" borderId="19" applyAlignment="1" pivotButton="0" quotePrefix="0" xfId="41">
      <alignment horizontal="left" vertical="center" wrapText="1"/>
    </xf>
    <xf numFmtId="0" fontId="24" fillId="24" borderId="19" applyAlignment="1" pivotButton="0" quotePrefix="0" xfId="41">
      <alignment horizontal="left" vertical="center"/>
    </xf>
    <xf numFmtId="0" fontId="24" fillId="24" borderId="20" applyAlignment="1" pivotButton="0" quotePrefix="0" xfId="41">
      <alignment horizontal="left" vertical="center"/>
    </xf>
    <xf numFmtId="1" fontId="24" fillId="24" borderId="0" pivotButton="0" quotePrefix="0" xfId="41"/>
    <xf numFmtId="0" fontId="24" fillId="24" borderId="0" pivotButton="0" quotePrefix="0" xfId="38"/>
    <xf numFmtId="164" fontId="24" fillId="24" borderId="0" pivotButton="0" quotePrefix="0" xfId="38"/>
    <xf numFmtId="0" fontId="25" fillId="24" borderId="0" pivotButton="0" quotePrefix="0" xfId="41"/>
    <xf numFmtId="0" fontId="26" fillId="24" borderId="0" pivotButton="0" quotePrefix="0" xfId="38"/>
    <xf numFmtId="0" fontId="27" fillId="25" borderId="21" applyAlignment="1" pivotButton="0" quotePrefix="0" xfId="41">
      <alignment horizontal="center"/>
    </xf>
    <xf numFmtId="0" fontId="27" fillId="25" borderId="13" applyAlignment="1" pivotButton="0" quotePrefix="0" xfId="41">
      <alignment horizontal="center"/>
    </xf>
    <xf numFmtId="0" fontId="27" fillId="25" borderId="13" applyAlignment="1" pivotButton="0" quotePrefix="0" xfId="41">
      <alignment horizontal="center" wrapText="1"/>
    </xf>
    <xf numFmtId="0" fontId="27" fillId="25" borderId="22" applyAlignment="1" pivotButton="0" quotePrefix="0" xfId="41">
      <alignment horizontal="center"/>
    </xf>
    <xf numFmtId="0" fontId="27" fillId="25" borderId="25" applyAlignment="1" pivotButton="0" quotePrefix="0" xfId="41">
      <alignment horizontal="center" wrapText="1"/>
    </xf>
    <xf numFmtId="0" fontId="24" fillId="24" borderId="23" applyAlignment="1" pivotButton="0" quotePrefix="0" xfId="41">
      <alignment horizontal="center"/>
    </xf>
    <xf numFmtId="0" fontId="24" fillId="24" borderId="15" applyAlignment="1" pivotButton="0" quotePrefix="0" xfId="41">
      <alignment horizontal="center"/>
    </xf>
    <xf numFmtId="0" fontId="24" fillId="24" borderId="26" applyAlignment="1" pivotButton="0" quotePrefix="0" xfId="41">
      <alignment horizontal="center"/>
    </xf>
    <xf numFmtId="0" fontId="31" fillId="25" borderId="24" applyAlignment="1" pivotButton="0" quotePrefix="0" xfId="41">
      <alignment horizontal="center"/>
    </xf>
    <xf numFmtId="0" fontId="31" fillId="25" borderId="19" applyAlignment="1" pivotButton="0" quotePrefix="0" xfId="41">
      <alignment horizontal="center"/>
    </xf>
    <xf numFmtId="0" fontId="24" fillId="24" borderId="0" applyAlignment="1" pivotButton="0" quotePrefix="0" xfId="41">
      <alignment horizontal="center"/>
    </xf>
    <xf numFmtId="10" fontId="24" fillId="24" borderId="0" applyAlignment="1" pivotButton="0" quotePrefix="0" xfId="41">
      <alignment horizontal="center"/>
    </xf>
    <xf numFmtId="9" fontId="24" fillId="24" borderId="0" applyAlignment="1" pivotButton="0" quotePrefix="0" xfId="41">
      <alignment horizontal="center"/>
    </xf>
    <xf numFmtId="0" fontId="32" fillId="24" borderId="0" applyAlignment="1" pivotButton="0" quotePrefix="0" xfId="41">
      <alignment horizontal="center" wrapText="1"/>
    </xf>
    <xf numFmtId="0" fontId="34" fillId="0" borderId="27" pivotButton="0" quotePrefix="0" xfId="41"/>
    <xf numFmtId="0" fontId="35" fillId="0" borderId="27" applyAlignment="1" pivotButton="0" quotePrefix="0" xfId="41">
      <alignment horizontal="left"/>
    </xf>
    <xf numFmtId="0" fontId="34" fillId="0" borderId="0" pivotButton="0" quotePrefix="0" xfId="41"/>
    <xf numFmtId="0" fontId="34" fillId="0" borderId="0" applyAlignment="1" pivotButton="0" quotePrefix="0" xfId="41">
      <alignment horizontal="right"/>
    </xf>
    <xf numFmtId="49" fontId="34" fillId="0" borderId="0" pivotButton="0" quotePrefix="0" xfId="41"/>
    <xf numFmtId="0" fontId="34" fillId="0" borderId="28" pivotButton="0" quotePrefix="0" xfId="41"/>
    <xf numFmtId="0" fontId="35" fillId="0" borderId="0" applyAlignment="1" pivotButton="0" quotePrefix="0" xfId="41">
      <alignment horizontal="left"/>
    </xf>
    <xf numFmtId="0" fontId="35" fillId="0" borderId="0" pivotButton="0" quotePrefix="0" xfId="41"/>
    <xf numFmtId="0" fontId="35" fillId="27" borderId="29" applyAlignment="1" pivotButton="0" quotePrefix="0" xfId="41">
      <alignment horizontal="left" vertical="top"/>
    </xf>
    <xf numFmtId="0" fontId="34" fillId="27" borderId="30" applyAlignment="1" pivotButton="0" quotePrefix="0" xfId="41">
      <alignment horizontal="center" vertical="top"/>
    </xf>
    <xf numFmtId="0" fontId="34" fillId="27" borderId="31" applyAlignment="1" pivotButton="0" quotePrefix="0" xfId="41">
      <alignment horizontal="right" vertical="top"/>
    </xf>
    <xf numFmtId="0" fontId="37" fillId="28" borderId="32" applyAlignment="1" pivotButton="0" quotePrefix="0" xfId="41">
      <alignment horizontal="right"/>
    </xf>
    <xf numFmtId="0" fontId="38" fillId="0" borderId="33" applyAlignment="1" pivotButton="0" quotePrefix="0" xfId="41">
      <alignment horizontal="center"/>
    </xf>
    <xf numFmtId="0" fontId="37" fillId="28" borderId="0" applyAlignment="1" pivotButton="0" quotePrefix="0" xfId="41">
      <alignment horizontal="right"/>
    </xf>
    <xf numFmtId="0" fontId="34" fillId="28" borderId="0" applyAlignment="1" pivotButton="0" quotePrefix="0" xfId="41">
      <alignment horizontal="right"/>
    </xf>
    <xf numFmtId="0" fontId="39" fillId="0" borderId="0" applyAlignment="1" pivotButton="0" quotePrefix="0" xfId="41">
      <alignment horizontal="center"/>
    </xf>
    <xf numFmtId="0" fontId="35" fillId="27" borderId="35" pivotButton="0" quotePrefix="0" xfId="41"/>
    <xf numFmtId="0" fontId="35" fillId="27" borderId="36" pivotButton="0" quotePrefix="0" xfId="41"/>
    <xf numFmtId="0" fontId="34" fillId="27" borderId="37" applyAlignment="1" pivotButton="0" quotePrefix="0" xfId="41">
      <alignment horizontal="right"/>
    </xf>
    <xf numFmtId="0" fontId="34" fillId="28" borderId="38" applyAlignment="1" pivotButton="0" quotePrefix="0" xfId="41">
      <alignment horizontal="left"/>
    </xf>
    <xf numFmtId="0" fontId="38" fillId="0" borderId="38" applyAlignment="1" pivotButton="0" quotePrefix="0" xfId="41">
      <alignment horizontal="center"/>
    </xf>
    <xf numFmtId="0" fontId="35" fillId="27" borderId="29" pivotButton="0" quotePrefix="0" xfId="41"/>
    <xf numFmtId="0" fontId="34" fillId="27" borderId="30" pivotButton="0" quotePrefix="0" xfId="41"/>
    <xf numFmtId="0" fontId="34" fillId="27" borderId="31" applyAlignment="1" pivotButton="0" quotePrefix="0" xfId="41">
      <alignment horizontal="right"/>
    </xf>
    <xf numFmtId="0" fontId="34" fillId="28" borderId="33" applyAlignment="1" pivotButton="0" quotePrefix="0" xfId="41">
      <alignment horizontal="left"/>
    </xf>
    <xf numFmtId="0" fontId="2" fillId="27" borderId="30" pivotButton="0" quotePrefix="0" xfId="41"/>
    <xf numFmtId="0" fontId="34" fillId="28" borderId="33" pivotButton="0" quotePrefix="0" xfId="41"/>
    <xf numFmtId="0" fontId="40" fillId="0" borderId="33" applyAlignment="1" pivotButton="0" quotePrefix="0" xfId="41">
      <alignment horizontal="center"/>
    </xf>
    <xf numFmtId="0" fontId="36" fillId="0" borderId="33" applyAlignment="1" pivotButton="0" quotePrefix="0" xfId="41">
      <alignment horizontal="left"/>
    </xf>
    <xf numFmtId="0" fontId="34" fillId="0" borderId="33" pivotButton="0" quotePrefix="0" xfId="41"/>
    <xf numFmtId="165" fontId="34" fillId="0" borderId="33" applyAlignment="1" pivotButton="0" quotePrefix="0" xfId="41">
      <alignment vertical="top" textRotation="255"/>
    </xf>
    <xf numFmtId="0" fontId="34" fillId="0" borderId="0" pivotButton="0" quotePrefix="0" xfId="42"/>
    <xf numFmtId="0" fontId="34" fillId="0" borderId="0" applyAlignment="1" pivotButton="0" quotePrefix="0" xfId="42">
      <alignment horizontal="right"/>
    </xf>
    <xf numFmtId="49" fontId="34" fillId="0" borderId="0" pivotButton="0" quotePrefix="0" xfId="42"/>
    <xf numFmtId="0" fontId="34" fillId="0" borderId="28" pivotButton="0" quotePrefix="0" xfId="42"/>
    <xf numFmtId="0" fontId="35" fillId="0" borderId="0" applyAlignment="1" pivotButton="0" quotePrefix="0" xfId="42">
      <alignment horizontal="left"/>
    </xf>
    <xf numFmtId="0" fontId="35" fillId="0" borderId="0" pivotButton="0" quotePrefix="0" xfId="42"/>
    <xf numFmtId="0" fontId="35" fillId="27" borderId="29" applyAlignment="1" pivotButton="0" quotePrefix="0" xfId="42">
      <alignment horizontal="left" vertical="top"/>
    </xf>
    <xf numFmtId="0" fontId="34" fillId="27" borderId="30" applyAlignment="1" pivotButton="0" quotePrefix="0" xfId="42">
      <alignment horizontal="center" vertical="top"/>
    </xf>
    <xf numFmtId="0" fontId="34" fillId="27" borderId="31" applyAlignment="1" pivotButton="0" quotePrefix="0" xfId="42">
      <alignment horizontal="right" vertical="top"/>
    </xf>
    <xf numFmtId="0" fontId="37" fillId="28" borderId="32" applyAlignment="1" pivotButton="0" quotePrefix="0" xfId="42">
      <alignment horizontal="right"/>
    </xf>
    <xf numFmtId="0" fontId="38" fillId="0" borderId="33" applyAlignment="1" pivotButton="0" quotePrefix="0" xfId="42">
      <alignment horizontal="center"/>
    </xf>
    <xf numFmtId="0" fontId="34" fillId="28" borderId="0" applyAlignment="1" pivotButton="0" quotePrefix="0" xfId="42">
      <alignment horizontal="right"/>
    </xf>
    <xf numFmtId="0" fontId="39" fillId="0" borderId="0" applyAlignment="1" pivotButton="0" quotePrefix="0" xfId="42">
      <alignment horizontal="center"/>
    </xf>
    <xf numFmtId="0" fontId="35" fillId="27" borderId="35" pivotButton="0" quotePrefix="0" xfId="42"/>
    <xf numFmtId="0" fontId="35" fillId="27" borderId="36" pivotButton="0" quotePrefix="0" xfId="42"/>
    <xf numFmtId="0" fontId="34" fillId="27" borderId="37" applyAlignment="1" pivotButton="0" quotePrefix="0" xfId="42">
      <alignment horizontal="right"/>
    </xf>
    <xf numFmtId="0" fontId="34" fillId="28" borderId="38" applyAlignment="1" pivotButton="0" quotePrefix="0" xfId="42">
      <alignment horizontal="left"/>
    </xf>
    <xf numFmtId="0" fontId="38" fillId="0" borderId="38" applyAlignment="1" pivotButton="0" quotePrefix="0" xfId="42">
      <alignment horizontal="center"/>
    </xf>
    <xf numFmtId="0" fontId="35" fillId="27" borderId="29" pivotButton="0" quotePrefix="0" xfId="42"/>
    <xf numFmtId="0" fontId="34" fillId="27" borderId="30" pivotButton="0" quotePrefix="0" xfId="42"/>
    <xf numFmtId="0" fontId="34" fillId="27" borderId="31" applyAlignment="1" pivotButton="0" quotePrefix="0" xfId="42">
      <alignment horizontal="right"/>
    </xf>
    <xf numFmtId="0" fontId="34" fillId="28" borderId="33" applyAlignment="1" pivotButton="0" quotePrefix="0" xfId="42">
      <alignment horizontal="left"/>
    </xf>
    <xf numFmtId="0" fontId="1" fillId="27" borderId="30" pivotButton="0" quotePrefix="0" xfId="42"/>
    <xf numFmtId="0" fontId="34" fillId="28" borderId="33" pivotButton="0" quotePrefix="0" xfId="42"/>
    <xf numFmtId="0" fontId="40" fillId="0" borderId="33" applyAlignment="1" pivotButton="0" quotePrefix="0" xfId="42">
      <alignment horizontal="center"/>
    </xf>
    <xf numFmtId="0" fontId="36" fillId="0" borderId="33" applyAlignment="1" pivotButton="0" quotePrefix="0" xfId="42">
      <alignment horizontal="left"/>
    </xf>
    <xf numFmtId="0" fontId="34" fillId="0" borderId="33" pivotButton="0" quotePrefix="0" xfId="42"/>
    <xf numFmtId="165" fontId="34" fillId="0" borderId="33" applyAlignment="1" pivotButton="0" quotePrefix="0" xfId="42">
      <alignment vertical="top" textRotation="255"/>
    </xf>
    <xf numFmtId="0" fontId="35" fillId="27" borderId="29" applyAlignment="1" pivotButton="0" quotePrefix="0" xfId="41">
      <alignment horizontal="right"/>
    </xf>
    <xf numFmtId="0" fontId="43" fillId="0" borderId="17" applyAlignment="1" pivotButton="0" quotePrefix="0" xfId="41">
      <alignment vertical="top" wrapText="1"/>
    </xf>
    <xf numFmtId="1" fontId="24" fillId="24" borderId="16" applyAlignment="1" pivotButton="0" quotePrefix="0" xfId="41">
      <alignment horizontal="center" vertical="center"/>
    </xf>
    <xf numFmtId="0" fontId="45" fillId="29" borderId="0" applyAlignment="1" pivotButton="0" quotePrefix="0" xfId="0">
      <alignment horizontal="center"/>
    </xf>
    <xf numFmtId="0" fontId="46" fillId="29" borderId="0" applyAlignment="1" pivotButton="0" quotePrefix="0" xfId="0">
      <alignment vertical="center"/>
    </xf>
    <xf numFmtId="0" fontId="47" fillId="29" borderId="0" applyAlignment="1" pivotButton="0" quotePrefix="0" xfId="0">
      <alignment vertical="center"/>
    </xf>
    <xf numFmtId="0" fontId="48" fillId="29" borderId="0" applyAlignment="1" pivotButton="0" quotePrefix="0" xfId="0">
      <alignment horizontal="justify"/>
    </xf>
    <xf numFmtId="0" fontId="49" fillId="29" borderId="0" applyAlignment="1" pivotButton="0" quotePrefix="0" xfId="0">
      <alignment vertical="center"/>
    </xf>
    <xf numFmtId="0" fontId="50" fillId="29" borderId="0" applyAlignment="1" pivotButton="0" quotePrefix="0" xfId="0">
      <alignment horizontal="justify"/>
    </xf>
    <xf numFmtId="0" fontId="50" fillId="29" borderId="0" applyAlignment="1" pivotButton="0" quotePrefix="0" xfId="0">
      <alignment vertical="center"/>
    </xf>
    <xf numFmtId="0" fontId="48" fillId="29" borderId="0" applyAlignment="1" pivotButton="0" quotePrefix="1" xfId="0">
      <alignment horizontal="justify"/>
    </xf>
    <xf numFmtId="0" fontId="24" fillId="29" borderId="0" applyAlignment="1" pivotButton="0" quotePrefix="0" xfId="0">
      <alignment horizontal="justify"/>
    </xf>
    <xf numFmtId="0" fontId="24" fillId="29" borderId="0" applyAlignment="1" pivotButton="0" quotePrefix="0" xfId="0">
      <alignment horizontal="justify" wrapText="1"/>
    </xf>
    <xf numFmtId="0" fontId="24" fillId="29" borderId="0" applyAlignment="1" pivotButton="0" quotePrefix="0" xfId="0">
      <alignment horizontal="left" wrapText="1"/>
    </xf>
    <xf numFmtId="0" fontId="30" fillId="29" borderId="0" applyAlignment="1" pivotButton="0" quotePrefix="0" xfId="0">
      <alignment horizontal="justify"/>
    </xf>
    <xf numFmtId="0" fontId="43" fillId="29" borderId="0" applyAlignment="1" pivotButton="0" quotePrefix="0" xfId="0">
      <alignment horizontal="justify"/>
    </xf>
    <xf numFmtId="0" fontId="51" fillId="29" borderId="0" applyAlignment="1" pivotButton="0" quotePrefix="0" xfId="0">
      <alignment vertical="center"/>
    </xf>
    <xf numFmtId="0" fontId="30" fillId="24" borderId="39" applyAlignment="1" pivotButton="0" quotePrefix="0" xfId="41">
      <alignment horizontal="left"/>
    </xf>
    <xf numFmtId="0" fontId="30" fillId="0" borderId="0" pivotButton="0" quotePrefix="0" xfId="41"/>
    <xf numFmtId="0" fontId="30" fillId="0" borderId="0" applyAlignment="1" pivotButton="0" quotePrefix="0" xfId="41">
      <alignment horizontal="left"/>
    </xf>
    <xf numFmtId="49" fontId="44" fillId="24" borderId="15" pivotButton="0" quotePrefix="0" xfId="34"/>
    <xf numFmtId="0" fontId="52" fillId="30" borderId="0" applyAlignment="1" pivotButton="0" quotePrefix="0" xfId="0">
      <alignment vertical="center"/>
    </xf>
    <xf numFmtId="0" fontId="50" fillId="0" borderId="33" applyAlignment="1" pivotButton="0" quotePrefix="0" xfId="41">
      <alignment horizontal="center"/>
    </xf>
    <xf numFmtId="0" fontId="50" fillId="0" borderId="38" applyAlignment="1" pivotButton="0" quotePrefix="0" xfId="41">
      <alignment horizontal="center"/>
    </xf>
    <xf numFmtId="0" fontId="49" fillId="27" borderId="30" pivotButton="0" quotePrefix="0" xfId="41"/>
    <xf numFmtId="0" fontId="34" fillId="0" borderId="33" applyAlignment="1" pivotButton="0" quotePrefix="0" xfId="41">
      <alignment horizontal="center"/>
    </xf>
    <xf numFmtId="0" fontId="34" fillId="24" borderId="41" applyAlignment="1" pivotButton="0" quotePrefix="0" xfId="41">
      <alignment horizontal="center" vertical="center"/>
    </xf>
    <xf numFmtId="0" fontId="34" fillId="0" borderId="0" applyAlignment="1" pivotButton="0" quotePrefix="0" xfId="41">
      <alignment horizontal="center"/>
    </xf>
    <xf numFmtId="0" fontId="30" fillId="24" borderId="39" applyAlignment="1" pivotButton="0" quotePrefix="0" xfId="41">
      <alignment horizontal="left" vertical="center"/>
    </xf>
    <xf numFmtId="0" fontId="30" fillId="24" borderId="39" applyAlignment="1" pivotButton="0" quotePrefix="0" xfId="41">
      <alignment vertical="center"/>
    </xf>
    <xf numFmtId="0" fontId="30" fillId="24" borderId="0" applyAlignment="1" pivotButton="0" quotePrefix="0" xfId="41">
      <alignment horizontal="left"/>
    </xf>
    <xf numFmtId="2" fontId="30" fillId="24" borderId="0" applyAlignment="1" pivotButton="0" quotePrefix="0" xfId="41">
      <alignment horizontal="right" wrapText="1"/>
    </xf>
    <xf numFmtId="0" fontId="35" fillId="27" borderId="44" pivotButton="0" quotePrefix="0" xfId="41"/>
    <xf numFmtId="0" fontId="34" fillId="27" borderId="32" pivotButton="0" quotePrefix="0" xfId="41"/>
    <xf numFmtId="0" fontId="34" fillId="27" borderId="45" applyAlignment="1" pivotButton="0" quotePrefix="0" xfId="41">
      <alignment horizontal="right"/>
    </xf>
    <xf numFmtId="0" fontId="34" fillId="28" borderId="46" applyAlignment="1" pivotButton="0" quotePrefix="0" xfId="41">
      <alignment horizontal="left"/>
    </xf>
    <xf numFmtId="0" fontId="34" fillId="0" borderId="47" applyAlignment="1" pivotButton="0" quotePrefix="0" xfId="41">
      <alignment horizontal="left"/>
    </xf>
    <xf numFmtId="0" fontId="34" fillId="0" borderId="47" applyAlignment="1" pivotButton="0" quotePrefix="0" xfId="41">
      <alignment horizontal="center"/>
    </xf>
    <xf numFmtId="0" fontId="53" fillId="0" borderId="0" applyAlignment="1" pivotButton="0" quotePrefix="0" xfId="41">
      <alignment vertical="top"/>
    </xf>
    <xf numFmtId="0" fontId="53" fillId="30" borderId="48" applyAlignment="1" pivotButton="0" quotePrefix="0" xfId="41">
      <alignment horizontal="left"/>
    </xf>
    <xf numFmtId="0" fontId="54" fillId="30" borderId="48" pivotButton="0" quotePrefix="0" xfId="41"/>
    <xf numFmtId="0" fontId="54" fillId="30" borderId="48" applyAlignment="1" pivotButton="0" quotePrefix="0" xfId="41">
      <alignment horizontal="right"/>
    </xf>
    <xf numFmtId="0" fontId="53" fillId="30" borderId="48" applyAlignment="1" pivotButton="0" quotePrefix="0" xfId="41">
      <alignment vertical="top" textRotation="180"/>
    </xf>
    <xf numFmtId="0" fontId="53" fillId="30" borderId="49" applyAlignment="1" pivotButton="0" quotePrefix="0" xfId="41">
      <alignment vertical="top" textRotation="180"/>
    </xf>
    <xf numFmtId="0" fontId="50" fillId="0" borderId="50" applyAlignment="1" pivotButton="0" quotePrefix="0" xfId="41">
      <alignment horizontal="center"/>
    </xf>
    <xf numFmtId="0" fontId="53" fillId="30" borderId="51" applyAlignment="1" pivotButton="0" quotePrefix="0" xfId="41">
      <alignment vertical="center"/>
    </xf>
    <xf numFmtId="0" fontId="50" fillId="0" borderId="53" applyAlignment="1" pivotButton="0" quotePrefix="0" xfId="41">
      <alignment horizontal="center"/>
    </xf>
    <xf numFmtId="0" fontId="34" fillId="0" borderId="55" applyAlignment="1" pivotButton="0" quotePrefix="0" xfId="41">
      <alignment horizontal="center"/>
    </xf>
    <xf numFmtId="0" fontId="53" fillId="30" borderId="56" applyAlignment="1" pivotButton="0" quotePrefix="0" xfId="41">
      <alignment vertical="top"/>
    </xf>
    <xf numFmtId="0" fontId="34" fillId="0" borderId="50" applyAlignment="1" pivotButton="0" quotePrefix="0" xfId="41">
      <alignment horizontal="center"/>
    </xf>
    <xf numFmtId="165" fontId="34" fillId="0" borderId="50" applyAlignment="1" pivotButton="0" quotePrefix="0" xfId="41">
      <alignment vertical="top" textRotation="255"/>
    </xf>
    <xf numFmtId="0" fontId="53" fillId="30" borderId="57" applyAlignment="1" pivotButton="0" quotePrefix="0" xfId="41">
      <alignment vertical="top"/>
    </xf>
    <xf numFmtId="0" fontId="34" fillId="0" borderId="34" pivotButton="0" quotePrefix="0" xfId="41"/>
    <xf numFmtId="0" fontId="34" fillId="0" borderId="34" applyAlignment="1" pivotButton="0" quotePrefix="0" xfId="41">
      <alignment textRotation="255"/>
    </xf>
    <xf numFmtId="0" fontId="34" fillId="0" borderId="52" applyAlignment="1" pivotButton="0" quotePrefix="0" xfId="41">
      <alignment textRotation="255"/>
    </xf>
    <xf numFmtId="0" fontId="53" fillId="30" borderId="51" applyAlignment="1" pivotButton="0" quotePrefix="0" xfId="41">
      <alignment vertical="top"/>
    </xf>
    <xf numFmtId="0" fontId="53" fillId="30" borderId="58" applyAlignment="1" pivotButton="0" quotePrefix="0" xfId="41">
      <alignment vertical="top"/>
    </xf>
    <xf numFmtId="0" fontId="53" fillId="30" borderId="58" applyAlignment="1" pivotButton="0" quotePrefix="0" xfId="41">
      <alignment vertical="center"/>
    </xf>
    <xf numFmtId="0" fontId="35" fillId="27" borderId="35" applyAlignment="1" pivotButton="0" quotePrefix="0" xfId="41">
      <alignment horizontal="left" vertical="top"/>
    </xf>
    <xf numFmtId="0" fontId="34" fillId="27" borderId="36" applyAlignment="1" pivotButton="0" quotePrefix="0" xfId="41">
      <alignment horizontal="center" vertical="top"/>
    </xf>
    <xf numFmtId="0" fontId="34" fillId="27" borderId="37" applyAlignment="1" pivotButton="0" quotePrefix="0" xfId="41">
      <alignment horizontal="right" vertical="top"/>
    </xf>
    <xf numFmtId="0" fontId="38" fillId="0" borderId="46" applyAlignment="1" pivotButton="0" quotePrefix="0" xfId="41">
      <alignment horizontal="center"/>
    </xf>
    <xf numFmtId="0" fontId="40" fillId="0" borderId="47" applyAlignment="1" pivotButton="0" quotePrefix="0" xfId="41">
      <alignment horizontal="center"/>
    </xf>
    <xf numFmtId="0" fontId="54" fillId="30" borderId="59" pivotButton="0" quotePrefix="0" xfId="41"/>
    <xf numFmtId="0" fontId="53" fillId="30" borderId="60" applyAlignment="1" pivotButton="0" quotePrefix="0" xfId="41">
      <alignment horizontal="left"/>
    </xf>
    <xf numFmtId="0" fontId="54" fillId="30" borderId="60" pivotButton="0" quotePrefix="0" xfId="41"/>
    <xf numFmtId="0" fontId="54" fillId="30" borderId="60" applyAlignment="1" pivotButton="0" quotePrefix="0" xfId="41">
      <alignment horizontal="right"/>
    </xf>
    <xf numFmtId="0" fontId="53" fillId="30" borderId="60" applyAlignment="1" pivotButton="0" quotePrefix="0" xfId="41">
      <alignment vertical="top" textRotation="180"/>
    </xf>
    <xf numFmtId="0" fontId="53" fillId="30" borderId="61" applyAlignment="1" pivotButton="0" quotePrefix="0" xfId="41">
      <alignment vertical="top" textRotation="180"/>
    </xf>
    <xf numFmtId="0" fontId="38" fillId="0" borderId="50" applyAlignment="1" pivotButton="0" quotePrefix="0" xfId="41">
      <alignment horizontal="center"/>
    </xf>
    <xf numFmtId="0" fontId="38" fillId="0" borderId="53" applyAlignment="1" pivotButton="0" quotePrefix="0" xfId="41">
      <alignment horizontal="center"/>
    </xf>
    <xf numFmtId="0" fontId="38" fillId="0" borderId="54" applyAlignment="1" pivotButton="0" quotePrefix="0" xfId="41">
      <alignment horizontal="center"/>
    </xf>
    <xf numFmtId="0" fontId="40" fillId="0" borderId="55" applyAlignment="1" pivotButton="0" quotePrefix="0" xfId="41">
      <alignment horizontal="center"/>
    </xf>
    <xf numFmtId="0" fontId="40" fillId="0" borderId="50" applyAlignment="1" pivotButton="0" quotePrefix="0" xfId="41">
      <alignment horizontal="center"/>
    </xf>
    <xf numFmtId="0" fontId="53" fillId="30" borderId="62" applyAlignment="1" pivotButton="0" quotePrefix="0" xfId="41">
      <alignment vertical="top"/>
    </xf>
    <xf numFmtId="164" fontId="27" fillId="25" borderId="63" applyAlignment="1" pivotButton="0" quotePrefix="0" xfId="41">
      <alignment horizontal="center" vertical="center"/>
    </xf>
    <xf numFmtId="0" fontId="53" fillId="30" borderId="64" applyAlignment="1" pivotButton="0" quotePrefix="0" xfId="41">
      <alignment horizontal="left"/>
    </xf>
    <xf numFmtId="0" fontId="54" fillId="30" borderId="64" pivotButton="0" quotePrefix="0" xfId="41"/>
    <xf numFmtId="0" fontId="54" fillId="30" borderId="64" applyAlignment="1" pivotButton="0" quotePrefix="0" xfId="41">
      <alignment horizontal="right"/>
    </xf>
    <xf numFmtId="0" fontId="53" fillId="30" borderId="64" applyAlignment="1" pivotButton="0" quotePrefix="0" xfId="41">
      <alignment vertical="top" textRotation="180"/>
    </xf>
    <xf numFmtId="0" fontId="53" fillId="30" borderId="65" applyAlignment="1" pivotButton="0" quotePrefix="0" xfId="41">
      <alignment vertical="top" textRotation="180"/>
    </xf>
    <xf numFmtId="0" fontId="34" fillId="24" borderId="41" applyAlignment="1" pivotButton="0" quotePrefix="0" xfId="42">
      <alignment horizontal="center" vertical="center"/>
    </xf>
    <xf numFmtId="0" fontId="35" fillId="27" borderId="44" pivotButton="0" quotePrefix="0" xfId="42"/>
    <xf numFmtId="0" fontId="34" fillId="27" borderId="32" pivotButton="0" quotePrefix="0" xfId="42"/>
    <xf numFmtId="0" fontId="34" fillId="27" borderId="45" applyAlignment="1" pivotButton="0" quotePrefix="0" xfId="42">
      <alignment horizontal="right"/>
    </xf>
    <xf numFmtId="0" fontId="34" fillId="28" borderId="46" applyAlignment="1" pivotButton="0" quotePrefix="0" xfId="42">
      <alignment horizontal="left"/>
    </xf>
    <xf numFmtId="0" fontId="38" fillId="0" borderId="46" applyAlignment="1" pivotButton="0" quotePrefix="0" xfId="42">
      <alignment horizontal="center"/>
    </xf>
    <xf numFmtId="0" fontId="34" fillId="0" borderId="47" applyAlignment="1" pivotButton="0" quotePrefix="0" xfId="42">
      <alignment horizontal="left"/>
    </xf>
    <xf numFmtId="0" fontId="40" fillId="0" borderId="47" applyAlignment="1" pivotButton="0" quotePrefix="0" xfId="42">
      <alignment horizontal="center"/>
    </xf>
    <xf numFmtId="0" fontId="54" fillId="30" borderId="59" pivotButton="0" quotePrefix="0" xfId="42"/>
    <xf numFmtId="0" fontId="53" fillId="30" borderId="48" applyAlignment="1" pivotButton="0" quotePrefix="0" xfId="42">
      <alignment horizontal="left"/>
    </xf>
    <xf numFmtId="0" fontId="54" fillId="30" borderId="48" pivotButton="0" quotePrefix="0" xfId="42"/>
    <xf numFmtId="0" fontId="54" fillId="30" borderId="48" applyAlignment="1" pivotButton="0" quotePrefix="0" xfId="42">
      <alignment horizontal="right"/>
    </xf>
    <xf numFmtId="0" fontId="53" fillId="30" borderId="48" applyAlignment="1" pivotButton="0" quotePrefix="0" xfId="42">
      <alignment vertical="top" textRotation="180"/>
    </xf>
    <xf numFmtId="0" fontId="53" fillId="30" borderId="49" applyAlignment="1" pivotButton="0" quotePrefix="0" xfId="42">
      <alignment vertical="top" textRotation="180"/>
    </xf>
    <xf numFmtId="0" fontId="53" fillId="30" borderId="58" applyAlignment="1" pivotButton="0" quotePrefix="0" xfId="42">
      <alignment vertical="center"/>
    </xf>
    <xf numFmtId="0" fontId="38" fillId="0" borderId="50" applyAlignment="1" pivotButton="0" quotePrefix="0" xfId="42">
      <alignment horizontal="center"/>
    </xf>
    <xf numFmtId="0" fontId="53" fillId="30" borderId="51" applyAlignment="1" pivotButton="0" quotePrefix="0" xfId="42">
      <alignment vertical="center"/>
    </xf>
    <xf numFmtId="0" fontId="53" fillId="30" borderId="58" applyAlignment="1" pivotButton="0" quotePrefix="0" xfId="42">
      <alignment vertical="top"/>
    </xf>
    <xf numFmtId="0" fontId="38" fillId="0" borderId="53" applyAlignment="1" pivotButton="0" quotePrefix="0" xfId="42">
      <alignment horizontal="center"/>
    </xf>
    <xf numFmtId="0" fontId="53" fillId="30" borderId="51" applyAlignment="1" pivotButton="0" quotePrefix="0" xfId="42">
      <alignment vertical="top"/>
    </xf>
    <xf numFmtId="0" fontId="38" fillId="0" borderId="54" applyAlignment="1" pivotButton="0" quotePrefix="0" xfId="42">
      <alignment horizontal="center"/>
    </xf>
    <xf numFmtId="0" fontId="40" fillId="0" borderId="55" applyAlignment="1" pivotButton="0" quotePrefix="0" xfId="42">
      <alignment horizontal="center"/>
    </xf>
    <xf numFmtId="0" fontId="53" fillId="30" borderId="56" applyAlignment="1" pivotButton="0" quotePrefix="0" xfId="42">
      <alignment vertical="top"/>
    </xf>
    <xf numFmtId="0" fontId="40" fillId="0" borderId="50" applyAlignment="1" pivotButton="0" quotePrefix="0" xfId="42">
      <alignment horizontal="center"/>
    </xf>
    <xf numFmtId="165" fontId="34" fillId="0" borderId="50" applyAlignment="1" pivotButton="0" quotePrefix="0" xfId="42">
      <alignment vertical="top" textRotation="255"/>
    </xf>
    <xf numFmtId="0" fontId="53" fillId="30" borderId="57" applyAlignment="1" pivotButton="0" quotePrefix="0" xfId="42">
      <alignment vertical="top"/>
    </xf>
    <xf numFmtId="0" fontId="34" fillId="0" borderId="34" pivotButton="0" quotePrefix="0" xfId="42"/>
    <xf numFmtId="0" fontId="34" fillId="0" borderId="34" applyAlignment="1" pivotButton="0" quotePrefix="0" xfId="42">
      <alignment textRotation="255"/>
    </xf>
    <xf numFmtId="0" fontId="34" fillId="0" borderId="52" applyAlignment="1" pivotButton="0" quotePrefix="0" xfId="42">
      <alignment textRotation="255"/>
    </xf>
    <xf numFmtId="0" fontId="57" fillId="30" borderId="64" applyAlignment="1" pivotButton="0" quotePrefix="0" xfId="41">
      <alignment vertical="top" textRotation="180"/>
    </xf>
    <xf numFmtId="0" fontId="24" fillId="24" borderId="15" applyAlignment="1" pivotButton="0" quotePrefix="0" xfId="34">
      <alignment horizontal="left" vertical="center"/>
    </xf>
    <xf numFmtId="0" fontId="58" fillId="30" borderId="64" applyAlignment="1" pivotButton="0" quotePrefix="0" xfId="41">
      <alignment vertical="top" textRotation="180"/>
    </xf>
    <xf numFmtId="0" fontId="1" fillId="27" borderId="32" pivotButton="0" quotePrefix="0" xfId="42"/>
    <xf numFmtId="0" fontId="34" fillId="28" borderId="46" pivotButton="0" quotePrefix="0" xfId="42"/>
    <xf numFmtId="0" fontId="34" fillId="24" borderId="43" applyAlignment="1" pivotButton="0" quotePrefix="0" xfId="39">
      <alignment horizontal="center" wrapText="1"/>
    </xf>
    <xf numFmtId="0" fontId="34" fillId="24" borderId="43" applyAlignment="1" pivotButton="0" quotePrefix="0" xfId="40">
      <alignment horizontal="center" wrapText="1"/>
    </xf>
    <xf numFmtId="14" fontId="24" fillId="0" borderId="11" applyAlignment="1" pivotButton="0" quotePrefix="0" xfId="41">
      <alignment horizontal="left"/>
    </xf>
    <xf numFmtId="0" fontId="24" fillId="0" borderId="11" applyAlignment="1" pivotButton="0" quotePrefix="0" xfId="41">
      <alignment horizontal="left"/>
    </xf>
    <xf numFmtId="0" fontId="22" fillId="31" borderId="10" applyAlignment="1" pivotButton="0" quotePrefix="0" xfId="41">
      <alignment horizontal="center" vertical="center"/>
    </xf>
    <xf numFmtId="0" fontId="24" fillId="24" borderId="10" applyAlignment="1" pivotButton="0" quotePrefix="0" xfId="41">
      <alignment horizontal="left"/>
    </xf>
    <xf numFmtId="0" fontId="24" fillId="24" borderId="43" applyAlignment="1" pivotButton="0" quotePrefix="0" xfId="41">
      <alignment horizontal="left"/>
    </xf>
    <xf numFmtId="0" fontId="24" fillId="24" borderId="11" applyAlignment="1" pivotButton="0" quotePrefix="0" xfId="41">
      <alignment horizontal="left"/>
    </xf>
    <xf numFmtId="1" fontId="24" fillId="32" borderId="0" applyProtection="1" pivotButton="0" quotePrefix="0" xfId="41">
      <protection locked="1" hidden="1"/>
    </xf>
    <xf numFmtId="0" fontId="24" fillId="32" borderId="0" applyAlignment="1" pivotButton="0" quotePrefix="0" xfId="41">
      <alignment horizontal="left"/>
    </xf>
    <xf numFmtId="0" fontId="23" fillId="32" borderId="0" applyAlignment="1" pivotButton="0" quotePrefix="0" xfId="41">
      <alignment horizontal="left"/>
    </xf>
    <xf numFmtId="0" fontId="28" fillId="32" borderId="0" applyAlignment="1" pivotButton="0" quotePrefix="0" xfId="41">
      <alignment horizontal="left"/>
    </xf>
    <xf numFmtId="0" fontId="24" fillId="32" borderId="0" applyAlignment="1" pivotButton="0" quotePrefix="0" xfId="41">
      <alignment horizontal="left" wrapText="1"/>
    </xf>
    <xf numFmtId="0" fontId="29" fillId="32" borderId="0" applyAlignment="1" pivotButton="0" quotePrefix="0" xfId="41">
      <alignment horizontal="left"/>
    </xf>
    <xf numFmtId="1" fontId="24" fillId="32" borderId="0" pivotButton="0" quotePrefix="0" xfId="41"/>
    <xf numFmtId="0" fontId="13" fillId="24" borderId="15" applyAlignment="1" pivotButton="0" quotePrefix="0" xfId="34">
      <alignment horizontal="left" vertical="center"/>
    </xf>
    <xf numFmtId="0" fontId="13" fillId="24" borderId="15" applyAlignment="1" pivotButton="0" quotePrefix="0" xfId="34">
      <alignment horizontal="left" vertical="center" wrapText="1"/>
    </xf>
    <xf numFmtId="0" fontId="13" fillId="24" borderId="15" applyAlignment="1" pivotButton="0" quotePrefix="0" xfId="34">
      <alignment horizontal="left" vertical="center"/>
    </xf>
    <xf numFmtId="0" fontId="59" fillId="24" borderId="15" applyAlignment="1" pivotButton="0" quotePrefix="0" xfId="34">
      <alignment horizontal="left" vertical="center"/>
    </xf>
    <xf numFmtId="49" fontId="44" fillId="24" borderId="23" pivotButton="0" quotePrefix="0" xfId="34"/>
    <xf numFmtId="0" fontId="24" fillId="24" borderId="99" applyAlignment="1" pivotButton="0" quotePrefix="0" xfId="41">
      <alignment horizontal="center"/>
    </xf>
    <xf numFmtId="49" fontId="13" fillId="24" borderId="15" applyAlignment="1" pivotButton="0" quotePrefix="0" xfId="34">
      <alignment horizontal="left" vertical="center" wrapText="1"/>
    </xf>
    <xf numFmtId="0" fontId="24" fillId="32" borderId="0" pivotButton="0" quotePrefix="0" xfId="41"/>
    <xf numFmtId="0" fontId="30" fillId="32" borderId="0" pivotButton="0" quotePrefix="0" xfId="38"/>
    <xf numFmtId="0" fontId="24" fillId="32" borderId="0" pivotButton="0" quotePrefix="0" xfId="38"/>
    <xf numFmtId="164" fontId="24" fillId="32" borderId="0" pivotButton="0" quotePrefix="0" xfId="38"/>
    <xf numFmtId="0" fontId="34" fillId="0" borderId="42" applyAlignment="1" pivotButton="0" quotePrefix="0" xfId="41">
      <alignment horizontal="center"/>
    </xf>
    <xf numFmtId="0" fontId="34" fillId="0" borderId="0" applyAlignment="1" pivotButton="0" quotePrefix="0" xfId="42">
      <alignment horizontal="center"/>
    </xf>
    <xf numFmtId="49" fontId="13" fillId="24" borderId="15" applyAlignment="1" pivotButton="0" quotePrefix="0" xfId="34">
      <alignment horizontal="left" vertical="center"/>
    </xf>
    <xf numFmtId="49" fontId="13" fillId="24" borderId="19" applyAlignment="1" pivotButton="0" quotePrefix="0" xfId="34">
      <alignment horizontal="left" vertical="center"/>
    </xf>
    <xf numFmtId="14" fontId="24" fillId="0" borderId="16" applyAlignment="1" pivotButton="0" quotePrefix="0" xfId="41">
      <alignment vertical="top" wrapText="1"/>
    </xf>
    <xf numFmtId="49" fontId="13" fillId="24" borderId="15" pivotButton="0" quotePrefix="0" xfId="34"/>
    <xf numFmtId="0" fontId="35" fillId="27" borderId="44" applyAlignment="1" pivotButton="0" quotePrefix="0" xfId="41">
      <alignment horizontal="left" vertical="top"/>
    </xf>
    <xf numFmtId="0" fontId="34" fillId="27" borderId="32" applyAlignment="1" pivotButton="0" quotePrefix="0" xfId="41">
      <alignment horizontal="center" vertical="top"/>
    </xf>
    <xf numFmtId="0" fontId="34" fillId="27" borderId="45" applyAlignment="1" pivotButton="0" quotePrefix="0" xfId="41">
      <alignment horizontal="right" vertical="top"/>
    </xf>
    <xf numFmtId="0" fontId="50" fillId="0" borderId="29" applyAlignment="1" pivotButton="0" quotePrefix="0" xfId="41">
      <alignment horizontal="center"/>
    </xf>
    <xf numFmtId="0" fontId="24" fillId="0" borderId="15" applyAlignment="1" pivotButton="0" quotePrefix="0" xfId="41">
      <alignment vertical="top" wrapText="1"/>
    </xf>
    <xf numFmtId="0" fontId="13" fillId="27" borderId="31" applyAlignment="1" pivotButton="0" quotePrefix="0" xfId="34">
      <alignment horizontal="right" vertical="top"/>
    </xf>
    <xf numFmtId="14" fontId="24" fillId="0" borderId="16" applyAlignment="1" pivotButton="0" quotePrefix="0" xfId="41">
      <alignment vertical="top"/>
    </xf>
    <xf numFmtId="0" fontId="13" fillId="27" borderId="31" applyAlignment="1" pivotButton="0" quotePrefix="0" xfId="34">
      <alignment horizontal="right"/>
    </xf>
    <xf numFmtId="0" fontId="13" fillId="24" borderId="19" applyAlignment="1" pivotButton="0" quotePrefix="0" xfId="34">
      <alignment horizontal="left" vertical="center"/>
    </xf>
    <xf numFmtId="14" fontId="34" fillId="27" borderId="31" applyAlignment="1" pivotButton="0" quotePrefix="0" xfId="41">
      <alignment horizontal="right" vertical="top"/>
    </xf>
    <xf numFmtId="14" fontId="24" fillId="0" borderId="18" applyAlignment="1" pivotButton="0" quotePrefix="0" xfId="41">
      <alignment vertical="top"/>
    </xf>
    <xf numFmtId="0" fontId="24" fillId="33" borderId="23" applyAlignment="1" pivotButton="0" quotePrefix="0" xfId="41">
      <alignment horizontal="center"/>
    </xf>
    <xf numFmtId="0" fontId="24" fillId="34" borderId="23" applyAlignment="1" pivotButton="0" quotePrefix="0" xfId="41">
      <alignment horizontal="center"/>
    </xf>
    <xf numFmtId="14" fontId="24" fillId="0" borderId="105" applyAlignment="1" pivotButton="0" quotePrefix="0" xfId="41">
      <alignment vertical="top"/>
    </xf>
    <xf numFmtId="49" fontId="24" fillId="0" borderId="106" applyAlignment="1" pivotButton="0" quotePrefix="0" xfId="41">
      <alignment vertical="top"/>
    </xf>
    <xf numFmtId="0" fontId="24" fillId="0" borderId="106" applyAlignment="1" pivotButton="0" quotePrefix="0" xfId="41">
      <alignment vertical="top"/>
    </xf>
    <xf numFmtId="0" fontId="24" fillId="0" borderId="107" applyAlignment="1" pivotButton="0" quotePrefix="0" xfId="41">
      <alignment vertical="top"/>
    </xf>
    <xf numFmtId="0" fontId="23" fillId="31" borderId="39" applyAlignment="1" pivotButton="0" quotePrefix="0" xfId="41">
      <alignment horizontal="center" vertical="center"/>
    </xf>
    <xf numFmtId="0" fontId="24" fillId="0" borderId="39" applyAlignment="1" pivotButton="0" quotePrefix="0" xfId="41">
      <alignment horizontal="left"/>
    </xf>
    <xf numFmtId="0" fontId="30" fillId="24" borderId="39" applyAlignment="1" pivotButton="0" quotePrefix="0" xfId="41">
      <alignment horizontal="left" vertical="center"/>
    </xf>
    <xf numFmtId="0" fontId="24" fillId="0" borderId="39" applyAlignment="1" pivotButton="0" quotePrefix="0" xfId="41">
      <alignment horizontal="left" vertical="center"/>
    </xf>
    <xf numFmtId="1" fontId="30" fillId="24" borderId="39" applyAlignment="1" pivotButton="0" quotePrefix="0" xfId="41">
      <alignment vertical="center" wrapText="1"/>
    </xf>
    <xf numFmtId="1" fontId="30" fillId="24" borderId="10" pivotButton="0" quotePrefix="0" xfId="41"/>
    <xf numFmtId="0" fontId="24" fillId="24" borderId="10" applyAlignment="1" pivotButton="0" quotePrefix="0" xfId="41">
      <alignment horizontal="left"/>
    </xf>
    <xf numFmtId="0" fontId="24" fillId="24" borderId="43" applyAlignment="1" pivotButton="0" quotePrefix="0" xfId="41">
      <alignment horizontal="left"/>
    </xf>
    <xf numFmtId="0" fontId="24" fillId="24" borderId="11" applyAlignment="1" pivotButton="0" quotePrefix="0" xfId="41">
      <alignment horizontal="left"/>
    </xf>
    <xf numFmtId="0" fontId="24" fillId="24" borderId="10" applyAlignment="1" pivotButton="0" quotePrefix="0" xfId="41">
      <alignment horizontal="left" vertical="top" wrapText="1"/>
    </xf>
    <xf numFmtId="0" fontId="24" fillId="24" borderId="43" applyAlignment="1" pivotButton="0" quotePrefix="0" xfId="41">
      <alignment horizontal="left" vertical="top" wrapText="1"/>
    </xf>
    <xf numFmtId="0" fontId="24" fillId="24" borderId="11" applyAlignment="1" pivotButton="0" quotePrefix="0" xfId="41">
      <alignment horizontal="left" vertical="top" wrapText="1"/>
    </xf>
    <xf numFmtId="1" fontId="30" fillId="24" borderId="10" applyAlignment="1" pivotButton="0" quotePrefix="0" xfId="41">
      <alignment horizontal="left"/>
    </xf>
    <xf numFmtId="1" fontId="30" fillId="24" borderId="43" applyAlignment="1" pivotButton="0" quotePrefix="0" xfId="41">
      <alignment horizontal="left"/>
    </xf>
    <xf numFmtId="1" fontId="30" fillId="24" borderId="11" applyAlignment="1" pivotButton="0" quotePrefix="0" xfId="41">
      <alignment horizontal="left"/>
    </xf>
    <xf numFmtId="14" fontId="24" fillId="24" borderId="10" applyAlignment="1" pivotButton="0" quotePrefix="0" xfId="41">
      <alignment horizontal="center" vertical="top"/>
    </xf>
    <xf numFmtId="14" fontId="24" fillId="24" borderId="43" applyAlignment="1" pivotButton="0" quotePrefix="0" xfId="41">
      <alignment horizontal="center" vertical="top"/>
    </xf>
    <xf numFmtId="14" fontId="24" fillId="24" borderId="11" applyAlignment="1" pivotButton="0" quotePrefix="0" xfId="41">
      <alignment horizontal="center" vertical="top"/>
    </xf>
    <xf numFmtId="0" fontId="24" fillId="24" borderId="39" applyAlignment="1" pivotButton="0" quotePrefix="0" xfId="41">
      <alignment horizontal="center"/>
    </xf>
    <xf numFmtId="0" fontId="30" fillId="24" borderId="39" applyAlignment="1" pivotButton="0" quotePrefix="0" xfId="41">
      <alignment horizontal="center"/>
    </xf>
    <xf numFmtId="0" fontId="43" fillId="24" borderId="39" applyAlignment="1" pivotButton="0" quotePrefix="0" xfId="38">
      <alignment vertical="top"/>
    </xf>
    <xf numFmtId="0" fontId="23" fillId="32" borderId="0" applyAlignment="1" pivotButton="0" quotePrefix="0" xfId="38">
      <alignment horizontal="center"/>
    </xf>
    <xf numFmtId="0" fontId="24" fillId="24" borderId="10" applyAlignment="1" pivotButton="0" quotePrefix="0" xfId="41">
      <alignment horizontal="center"/>
    </xf>
    <xf numFmtId="0" fontId="24" fillId="24" borderId="43" applyAlignment="1" pivotButton="0" quotePrefix="0" xfId="41">
      <alignment horizontal="center"/>
    </xf>
    <xf numFmtId="0" fontId="24" fillId="24" borderId="11" applyAlignment="1" pivotButton="0" quotePrefix="0" xfId="41">
      <alignment horizontal="center"/>
    </xf>
    <xf numFmtId="0" fontId="35" fillId="24" borderId="80" applyAlignment="1" pivotButton="0" quotePrefix="0" xfId="39">
      <alignment horizontal="left" wrapText="1"/>
    </xf>
    <xf numFmtId="0" fontId="35" fillId="24" borderId="69" applyAlignment="1" pivotButton="0" quotePrefix="0" xfId="39">
      <alignment horizontal="left" wrapText="1"/>
    </xf>
    <xf numFmtId="49" fontId="34" fillId="24" borderId="68" applyAlignment="1" pivotButton="0" quotePrefix="0" xfId="39">
      <alignment horizontal="center" wrapText="1"/>
    </xf>
    <xf numFmtId="0" fontId="34" fillId="24" borderId="69" applyAlignment="1" pivotButton="0" quotePrefix="0" xfId="39">
      <alignment horizontal="center" wrapText="1"/>
    </xf>
    <xf numFmtId="0" fontId="34" fillId="24" borderId="81" applyAlignment="1" pivotButton="0" quotePrefix="0" xfId="39">
      <alignment horizontal="center" wrapText="1"/>
    </xf>
    <xf numFmtId="0" fontId="34" fillId="0" borderId="33" applyAlignment="1" pivotButton="0" quotePrefix="0" xfId="41">
      <alignment horizontal="left"/>
    </xf>
    <xf numFmtId="0" fontId="34" fillId="24" borderId="84" applyAlignment="1" pivotButton="0" quotePrefix="0" xfId="41">
      <alignment horizontal="center" vertical="center"/>
    </xf>
    <xf numFmtId="0" fontId="34" fillId="24" borderId="78" applyAlignment="1" pivotButton="0" quotePrefix="0" xfId="41">
      <alignment horizontal="center" vertical="center"/>
    </xf>
    <xf numFmtId="0" fontId="34" fillId="24" borderId="86" applyAlignment="1" pivotButton="0" quotePrefix="0" xfId="41">
      <alignment horizontal="center" vertical="center"/>
    </xf>
    <xf numFmtId="0" fontId="34" fillId="24" borderId="87" applyAlignment="1" pivotButton="0" quotePrefix="0" xfId="41">
      <alignment horizontal="center" vertical="center"/>
    </xf>
    <xf numFmtId="0" fontId="35" fillId="24" borderId="75" applyAlignment="1" pivotButton="0" quotePrefix="0" xfId="39">
      <alignment horizontal="left" wrapText="1"/>
    </xf>
    <xf numFmtId="0" fontId="35" fillId="24" borderId="11" applyAlignment="1" pivotButton="0" quotePrefix="0" xfId="39">
      <alignment horizontal="left" wrapText="1"/>
    </xf>
    <xf numFmtId="0" fontId="34" fillId="24" borderId="10" applyAlignment="1" pivotButton="0" quotePrefix="0" xfId="39">
      <alignment horizontal="center" wrapText="1"/>
    </xf>
    <xf numFmtId="0" fontId="34" fillId="24" borderId="43" applyAlignment="1" pivotButton="0" quotePrefix="0" xfId="39">
      <alignment horizontal="center" wrapText="1"/>
    </xf>
    <xf numFmtId="0" fontId="34" fillId="0" borderId="33" applyAlignment="1" pivotButton="0" quotePrefix="0" xfId="41">
      <alignment horizontal="left" vertical="top"/>
    </xf>
    <xf numFmtId="0" fontId="34" fillId="0" borderId="34" applyAlignment="1" pivotButton="0" quotePrefix="0" xfId="41">
      <alignment horizontal="left" vertical="top"/>
    </xf>
    <xf numFmtId="0" fontId="34" fillId="0" borderId="47" applyAlignment="1" pivotButton="0" quotePrefix="0" xfId="41">
      <alignment horizontal="left"/>
    </xf>
    <xf numFmtId="0" fontId="34" fillId="24" borderId="73" applyAlignment="1" pivotButton="0" quotePrefix="0" xfId="39">
      <alignment horizontal="center" wrapText="1"/>
    </xf>
    <xf numFmtId="0" fontId="34" fillId="24" borderId="40" applyAlignment="1" pivotButton="0" quotePrefix="0" xfId="39">
      <alignment horizontal="center" wrapText="1"/>
    </xf>
    <xf numFmtId="0" fontId="34" fillId="24" borderId="74" applyAlignment="1" pivotButton="0" quotePrefix="0" xfId="39">
      <alignment horizontal="center" wrapText="1"/>
    </xf>
    <xf numFmtId="0" fontId="35" fillId="24" borderId="75" applyAlignment="1" pivotButton="0" quotePrefix="0" xfId="41">
      <alignment horizontal="center" vertical="center"/>
    </xf>
    <xf numFmtId="0" fontId="35" fillId="24" borderId="11" applyAlignment="1" pivotButton="0" quotePrefix="0" xfId="41">
      <alignment horizontal="center" vertical="center"/>
    </xf>
    <xf numFmtId="0" fontId="37" fillId="24" borderId="76" applyAlignment="1" pivotButton="0" quotePrefix="0" xfId="39">
      <alignment horizontal="left" wrapText="1"/>
    </xf>
    <xf numFmtId="0" fontId="37" fillId="24" borderId="77" applyAlignment="1" pivotButton="0" quotePrefix="0" xfId="39">
      <alignment horizontal="left" wrapText="1"/>
    </xf>
    <xf numFmtId="0" fontId="35" fillId="24" borderId="66" applyAlignment="1" pivotButton="0" quotePrefix="0" xfId="41">
      <alignment horizontal="center" vertical="center" wrapText="1"/>
    </xf>
    <xf numFmtId="0" fontId="35" fillId="24" borderId="43" applyAlignment="1" pivotButton="0" quotePrefix="0" xfId="41">
      <alignment horizontal="center" vertical="center" wrapText="1"/>
    </xf>
    <xf numFmtId="0" fontId="35" fillId="24" borderId="72" applyAlignment="1" pivotButton="0" quotePrefix="0" xfId="41">
      <alignment horizontal="center" vertical="center" wrapText="1"/>
    </xf>
    <xf numFmtId="0" fontId="34" fillId="24" borderId="41" applyAlignment="1" pivotButton="0" quotePrefix="0" xfId="41">
      <alignment horizontal="center" vertical="center"/>
    </xf>
    <xf numFmtId="0" fontId="34" fillId="24" borderId="79" applyAlignment="1" pivotButton="0" quotePrefix="0" xfId="41">
      <alignment horizontal="center" vertical="center"/>
    </xf>
    <xf numFmtId="0" fontId="35" fillId="24" borderId="67" applyAlignment="1" pivotButton="0" quotePrefix="0" xfId="41">
      <alignment horizontal="center" vertical="center" wrapText="1"/>
    </xf>
    <xf numFmtId="0" fontId="34" fillId="24" borderId="85" applyAlignment="1" pivotButton="0" quotePrefix="0" xfId="41">
      <alignment horizontal="center" vertical="center"/>
    </xf>
    <xf numFmtId="0" fontId="34" fillId="24" borderId="29" applyAlignment="1" pivotButton="0" quotePrefix="0" xfId="39">
      <alignment horizontal="center" wrapText="1"/>
    </xf>
    <xf numFmtId="0" fontId="34" fillId="24" borderId="30" applyAlignment="1" pivotButton="0" quotePrefix="0" xfId="39">
      <alignment horizontal="center" wrapText="1"/>
    </xf>
    <xf numFmtId="0" fontId="34" fillId="24" borderId="97" applyAlignment="1" pivotButton="0" quotePrefix="0" xfId="39">
      <alignment horizontal="center" wrapText="1"/>
    </xf>
    <xf numFmtId="49" fontId="34" fillId="24" borderId="69" applyAlignment="1" pivotButton="0" quotePrefix="0" xfId="39">
      <alignment horizontal="center" wrapText="1"/>
    </xf>
    <xf numFmtId="49" fontId="34" fillId="24" borderId="70" applyAlignment="1" pivotButton="0" quotePrefix="0" xfId="39">
      <alignment horizontal="center" wrapText="1"/>
    </xf>
    <xf numFmtId="0" fontId="35" fillId="24" borderId="10" applyAlignment="1" pivotButton="0" quotePrefix="0" xfId="41">
      <alignment horizontal="center" vertical="center" wrapText="1"/>
    </xf>
    <xf numFmtId="0" fontId="35" fillId="24" borderId="11" applyAlignment="1" pivotButton="0" quotePrefix="0" xfId="41">
      <alignment horizontal="center" vertical="center" wrapText="1"/>
    </xf>
    <xf numFmtId="0" fontId="35" fillId="24" borderId="29" applyAlignment="1" pivotButton="0" quotePrefix="0" xfId="39">
      <alignment horizontal="left" wrapText="1"/>
    </xf>
    <xf numFmtId="0" fontId="35" fillId="24" borderId="30" applyAlignment="1" pivotButton="0" quotePrefix="0" xfId="39">
      <alignment horizontal="left" wrapText="1"/>
    </xf>
    <xf numFmtId="0" fontId="35" fillId="24" borderId="31" applyAlignment="1" pivotButton="0" quotePrefix="0" xfId="39">
      <alignment horizontal="left" wrapText="1"/>
    </xf>
    <xf numFmtId="0" fontId="34" fillId="24" borderId="95" applyAlignment="1" pivotButton="0" quotePrefix="0" xfId="39">
      <alignment horizontal="center" wrapText="1"/>
    </xf>
    <xf numFmtId="0" fontId="34" fillId="24" borderId="96" applyAlignment="1" pivotButton="0" quotePrefix="0" xfId="39">
      <alignment horizontal="center" wrapText="1"/>
    </xf>
    <xf numFmtId="0" fontId="34" fillId="24" borderId="98" applyAlignment="1" pivotButton="0" quotePrefix="0" xfId="39">
      <alignment horizontal="center" wrapText="1"/>
    </xf>
    <xf numFmtId="0" fontId="35" fillId="24" borderId="68" applyAlignment="1" pivotButton="0" quotePrefix="0" xfId="39">
      <alignment horizontal="left" wrapText="1"/>
    </xf>
    <xf numFmtId="0" fontId="35" fillId="24" borderId="81" applyAlignment="1" pivotButton="0" quotePrefix="0" xfId="39">
      <alignment horizontal="left" wrapText="1"/>
    </xf>
    <xf numFmtId="0" fontId="34" fillId="24" borderId="66" applyAlignment="1" pivotButton="0" quotePrefix="0" xfId="39">
      <alignment horizontal="center" wrapText="1"/>
    </xf>
    <xf numFmtId="0" fontId="34" fillId="24" borderId="71" applyAlignment="1" pivotButton="0" quotePrefix="0" xfId="39">
      <alignment horizontal="center" wrapText="1"/>
    </xf>
    <xf numFmtId="0" fontId="35" fillId="24" borderId="90" applyAlignment="1" pivotButton="0" quotePrefix="0" xfId="39">
      <alignment horizontal="left" wrapText="1"/>
    </xf>
    <xf numFmtId="0" fontId="35" fillId="24" borderId="42" applyAlignment="1" pivotButton="0" quotePrefix="0" xfId="39">
      <alignment horizontal="left" wrapText="1"/>
    </xf>
    <xf numFmtId="49" fontId="34" fillId="24" borderId="42" applyAlignment="1" pivotButton="0" quotePrefix="0" xfId="39">
      <alignment horizontal="center" wrapText="1"/>
    </xf>
    <xf numFmtId="49" fontId="34" fillId="24" borderId="91" applyAlignment="1" pivotButton="0" quotePrefix="0" xfId="39">
      <alignment horizontal="center" wrapText="1"/>
    </xf>
    <xf numFmtId="0" fontId="33" fillId="0" borderId="42" applyAlignment="1" pivotButton="0" quotePrefix="0" xfId="0">
      <alignment horizontal="center" vertical="center"/>
    </xf>
    <xf numFmtId="0" fontId="35" fillId="24" borderId="35" applyAlignment="1" pivotButton="0" quotePrefix="0" xfId="39">
      <alignment horizontal="left" wrapText="1"/>
    </xf>
    <xf numFmtId="0" fontId="35" fillId="24" borderId="36" applyAlignment="1" pivotButton="0" quotePrefix="0" xfId="39">
      <alignment horizontal="left" wrapText="1"/>
    </xf>
    <xf numFmtId="0" fontId="35" fillId="24" borderId="37" applyAlignment="1" pivotButton="0" quotePrefix="0" xfId="39">
      <alignment horizontal="left" wrapText="1"/>
    </xf>
    <xf numFmtId="0" fontId="35" fillId="24" borderId="88" applyAlignment="1" pivotButton="0" quotePrefix="0" xfId="39">
      <alignment horizontal="left" wrapText="1"/>
    </xf>
    <xf numFmtId="0" fontId="35" fillId="24" borderId="89" applyAlignment="1" pivotButton="0" quotePrefix="0" xfId="39">
      <alignment horizontal="left" wrapText="1"/>
    </xf>
    <xf numFmtId="49" fontId="34" fillId="24" borderId="92" applyAlignment="1" pivotButton="0" quotePrefix="0" xfId="39">
      <alignment horizontal="center" wrapText="1"/>
    </xf>
    <xf numFmtId="49" fontId="34" fillId="24" borderId="93" applyAlignment="1" pivotButton="0" quotePrefix="0" xfId="39">
      <alignment horizontal="center" wrapText="1"/>
    </xf>
    <xf numFmtId="49" fontId="34" fillId="24" borderId="94" applyAlignment="1" pivotButton="0" quotePrefix="0" xfId="39">
      <alignment horizontal="center" wrapText="1"/>
    </xf>
    <xf numFmtId="0" fontId="35" fillId="24" borderId="10" applyAlignment="1" pivotButton="0" quotePrefix="0" xfId="42">
      <alignment horizontal="center" vertical="center" wrapText="1"/>
    </xf>
    <xf numFmtId="0" fontId="35" fillId="24" borderId="43" applyAlignment="1" pivotButton="0" quotePrefix="0" xfId="42">
      <alignment horizontal="center" vertical="center" wrapText="1"/>
    </xf>
    <xf numFmtId="0" fontId="35" fillId="24" borderId="72" applyAlignment="1" pivotButton="0" quotePrefix="0" xfId="42">
      <alignment horizontal="center" vertical="center" wrapText="1"/>
    </xf>
    <xf numFmtId="0" fontId="35" fillId="24" borderId="29" applyAlignment="1" pivotButton="0" quotePrefix="0" xfId="40">
      <alignment horizontal="left" wrapText="1"/>
    </xf>
    <xf numFmtId="0" fontId="35" fillId="24" borderId="30" applyAlignment="1" pivotButton="0" quotePrefix="0" xfId="40">
      <alignment horizontal="left" wrapText="1"/>
    </xf>
    <xf numFmtId="0" fontId="35" fillId="24" borderId="31" applyAlignment="1" pivotButton="0" quotePrefix="0" xfId="40">
      <alignment horizontal="left" wrapText="1"/>
    </xf>
    <xf numFmtId="0" fontId="35" fillId="24" borderId="66" applyAlignment="1" pivotButton="0" quotePrefix="0" xfId="42">
      <alignment horizontal="center" vertical="center" wrapText="1"/>
    </xf>
    <xf numFmtId="0" fontId="35" fillId="24" borderId="67" applyAlignment="1" pivotButton="0" quotePrefix="0" xfId="42">
      <alignment horizontal="center" vertical="center" wrapText="1"/>
    </xf>
    <xf numFmtId="0" fontId="34" fillId="24" borderId="66" applyAlignment="1" pivotButton="0" quotePrefix="0" xfId="40">
      <alignment horizontal="center" wrapText="1"/>
    </xf>
    <xf numFmtId="0" fontId="34" fillId="24" borderId="43" applyAlignment="1" pivotButton="0" quotePrefix="0" xfId="40">
      <alignment horizontal="center" wrapText="1"/>
    </xf>
    <xf numFmtId="0" fontId="34" fillId="24" borderId="71" applyAlignment="1" pivotButton="0" quotePrefix="0" xfId="40">
      <alignment horizontal="center" wrapText="1"/>
    </xf>
    <xf numFmtId="0" fontId="34" fillId="24" borderId="10" applyAlignment="1" pivotButton="0" quotePrefix="0" xfId="40">
      <alignment horizontal="center" wrapText="1"/>
    </xf>
    <xf numFmtId="0" fontId="34" fillId="0" borderId="33" applyAlignment="1" pivotButton="0" quotePrefix="0" xfId="42">
      <alignment horizontal="left"/>
    </xf>
    <xf numFmtId="0" fontId="34" fillId="0" borderId="33" applyAlignment="1" pivotButton="0" quotePrefix="0" xfId="42">
      <alignment horizontal="left" vertical="top"/>
    </xf>
    <xf numFmtId="0" fontId="34" fillId="24" borderId="84" applyAlignment="1" pivotButton="0" quotePrefix="0" xfId="42">
      <alignment horizontal="center" vertical="center"/>
    </xf>
    <xf numFmtId="0" fontId="34" fillId="24" borderId="78" applyAlignment="1" pivotButton="0" quotePrefix="0" xfId="42">
      <alignment horizontal="center" vertical="center"/>
    </xf>
    <xf numFmtId="0" fontId="34" fillId="24" borderId="86" applyAlignment="1" pivotButton="0" quotePrefix="0" xfId="42">
      <alignment horizontal="center" vertical="center"/>
    </xf>
    <xf numFmtId="0" fontId="34" fillId="24" borderId="87" applyAlignment="1" pivotButton="0" quotePrefix="0" xfId="42">
      <alignment horizontal="center" vertical="center"/>
    </xf>
    <xf numFmtId="0" fontId="35" fillId="24" borderId="11" applyAlignment="1" pivotButton="0" quotePrefix="0" xfId="42">
      <alignment horizontal="center" vertical="center" wrapText="1"/>
    </xf>
    <xf numFmtId="0" fontId="35" fillId="24" borderId="75" applyAlignment="1" pivotButton="0" quotePrefix="0" xfId="40">
      <alignment horizontal="left" wrapText="1"/>
    </xf>
    <xf numFmtId="0" fontId="35" fillId="24" borderId="11" applyAlignment="1" pivotButton="0" quotePrefix="0" xfId="40">
      <alignment horizontal="left" wrapText="1"/>
    </xf>
    <xf numFmtId="0" fontId="34" fillId="0" borderId="34" applyAlignment="1" pivotButton="0" quotePrefix="0" xfId="42">
      <alignment horizontal="left" vertical="top"/>
    </xf>
    <xf numFmtId="0" fontId="34" fillId="0" borderId="47" applyAlignment="1" pivotButton="0" quotePrefix="0" xfId="42">
      <alignment horizontal="left"/>
    </xf>
    <xf numFmtId="0" fontId="34" fillId="24" borderId="73" applyAlignment="1" pivotButton="0" quotePrefix="0" xfId="40">
      <alignment horizontal="center" wrapText="1"/>
    </xf>
    <xf numFmtId="0" fontId="34" fillId="24" borderId="40" applyAlignment="1" pivotButton="0" quotePrefix="0" xfId="40">
      <alignment horizontal="center" wrapText="1"/>
    </xf>
    <xf numFmtId="0" fontId="34" fillId="24" borderId="74" applyAlignment="1" pivotButton="0" quotePrefix="0" xfId="40">
      <alignment horizontal="center" wrapText="1"/>
    </xf>
    <xf numFmtId="0" fontId="34" fillId="0" borderId="0" applyAlignment="1" pivotButton="0" quotePrefix="0" xfId="42">
      <alignment horizontal="right"/>
    </xf>
    <xf numFmtId="0" fontId="35" fillId="24" borderId="75" applyAlignment="1" pivotButton="0" quotePrefix="0" xfId="42">
      <alignment horizontal="center" vertical="center"/>
    </xf>
    <xf numFmtId="0" fontId="35" fillId="24" borderId="11" applyAlignment="1" pivotButton="0" quotePrefix="0" xfId="42">
      <alignment horizontal="center" vertical="center"/>
    </xf>
    <xf numFmtId="0" fontId="37" fillId="24" borderId="76" applyAlignment="1" pivotButton="0" quotePrefix="0" xfId="40">
      <alignment horizontal="left" wrapText="1"/>
    </xf>
    <xf numFmtId="0" fontId="37" fillId="24" borderId="77" applyAlignment="1" pivotButton="0" quotePrefix="0" xfId="40">
      <alignment horizontal="left" wrapText="1"/>
    </xf>
    <xf numFmtId="0" fontId="34" fillId="24" borderId="41" applyAlignment="1" pivotButton="0" quotePrefix="0" xfId="42">
      <alignment horizontal="center" vertical="center"/>
    </xf>
    <xf numFmtId="0" fontId="34" fillId="24" borderId="79" applyAlignment="1" pivotButton="0" quotePrefix="0" xfId="42">
      <alignment horizontal="center" vertical="center"/>
    </xf>
    <xf numFmtId="0" fontId="34" fillId="24" borderId="85" applyAlignment="1" pivotButton="0" quotePrefix="0" xfId="42">
      <alignment horizontal="center" vertical="center"/>
    </xf>
    <xf numFmtId="0" fontId="35" fillId="24" borderId="82" applyAlignment="1" pivotButton="0" quotePrefix="0" xfId="39">
      <alignment horizontal="left" wrapText="1"/>
    </xf>
    <xf numFmtId="0" fontId="35" fillId="24" borderId="83" applyAlignment="1" pivotButton="0" quotePrefix="0" xfId="39">
      <alignment horizontal="left" wrapText="1"/>
    </xf>
    <xf numFmtId="0" fontId="34" fillId="24" borderId="70" applyAlignment="1" pivotButton="0" quotePrefix="0" xfId="39">
      <alignment horizontal="center" wrapText="1"/>
    </xf>
    <xf numFmtId="0" fontId="34" fillId="0" borderId="0" applyAlignment="1" pivotButton="0" quotePrefix="0" xfId="41">
      <alignment horizontal="right"/>
    </xf>
    <xf numFmtId="0" fontId="34" fillId="0" borderId="103" applyAlignment="1" pivotButton="0" quotePrefix="0" xfId="41">
      <alignment horizontal="left"/>
    </xf>
    <xf numFmtId="0" fontId="34" fillId="0" borderId="60" applyAlignment="1" pivotButton="0" quotePrefix="0" xfId="41">
      <alignment horizontal="left"/>
    </xf>
    <xf numFmtId="0" fontId="34" fillId="0" borderId="104" applyAlignment="1" pivotButton="0" quotePrefix="0" xfId="41">
      <alignment horizontal="left"/>
    </xf>
    <xf numFmtId="0" fontId="34" fillId="0" borderId="29" applyAlignment="1" pivotButton="0" quotePrefix="0" xfId="41">
      <alignment horizontal="left"/>
    </xf>
    <xf numFmtId="0" fontId="34" fillId="0" borderId="30" applyAlignment="1" pivotButton="0" quotePrefix="0" xfId="41">
      <alignment horizontal="left"/>
    </xf>
    <xf numFmtId="0" fontId="34" fillId="0" borderId="31" applyAlignment="1" pivotButton="0" quotePrefix="0" xfId="41">
      <alignment horizontal="left"/>
    </xf>
    <xf numFmtId="0" fontId="34" fillId="0" borderId="29" applyAlignment="1" pivotButton="0" quotePrefix="0" xfId="41">
      <alignment horizontal="left" vertical="top"/>
    </xf>
    <xf numFmtId="0" fontId="34" fillId="0" borderId="30" applyAlignment="1" pivotButton="0" quotePrefix="0" xfId="41">
      <alignment horizontal="left" vertical="top"/>
    </xf>
    <xf numFmtId="0" fontId="34" fillId="0" borderId="31" applyAlignment="1" pivotButton="0" quotePrefix="0" xfId="41">
      <alignment horizontal="left" vertical="top"/>
    </xf>
    <xf numFmtId="0" fontId="34" fillId="0" borderId="100" applyAlignment="1" pivotButton="0" quotePrefix="0" xfId="41">
      <alignment horizontal="left" vertical="top"/>
    </xf>
    <xf numFmtId="0" fontId="34" fillId="0" borderId="101" applyAlignment="1" pivotButton="0" quotePrefix="0" xfId="41">
      <alignment horizontal="left" vertical="top"/>
    </xf>
    <xf numFmtId="0" fontId="34" fillId="0" borderId="102" applyAlignment="1" pivotButton="0" quotePrefix="0" xfId="41">
      <alignment horizontal="left" vertical="top"/>
    </xf>
    <xf numFmtId="0" fontId="0" fillId="0" borderId="0" pivotButton="0" quotePrefix="0" xfId="0"/>
    <xf numFmtId="0" fontId="0" fillId="0" borderId="43" pivotButton="0" quotePrefix="0" xfId="0"/>
    <xf numFmtId="0" fontId="0" fillId="0" borderId="11" pivotButton="0" quotePrefix="0" xfId="0"/>
    <xf numFmtId="0" fontId="0" fillId="0" borderId="108" pivotButton="0" quotePrefix="0" xfId="0"/>
    <xf numFmtId="0" fontId="0" fillId="0" borderId="109" pivotButton="0" quotePrefix="0" xfId="0"/>
    <xf numFmtId="0" fontId="0" fillId="0" borderId="112" pivotButton="0" quotePrefix="0" xfId="0"/>
    <xf numFmtId="0" fontId="0" fillId="0" borderId="73" pivotButton="0" quotePrefix="0" xfId="0"/>
    <xf numFmtId="0" fontId="0" fillId="0" borderId="40" pivotButton="0" quotePrefix="0" xfId="0"/>
    <xf numFmtId="0" fontId="0" fillId="0" borderId="89" pivotButton="0" quotePrefix="0" xfId="0"/>
    <xf numFmtId="0" fontId="24" fillId="24" borderId="39" applyAlignment="1" pivotButton="0" quotePrefix="0" xfId="41">
      <alignment horizontal="left"/>
    </xf>
    <xf numFmtId="1" fontId="30" fillId="24" borderId="39" applyAlignment="1" pivotButton="0" quotePrefix="0" xfId="41">
      <alignment horizontal="left"/>
    </xf>
    <xf numFmtId="0" fontId="24" fillId="24" borderId="39" applyAlignment="1" pivotButton="0" quotePrefix="0" xfId="41">
      <alignment horizontal="left" vertical="top" wrapText="1"/>
    </xf>
    <xf numFmtId="14" fontId="24" fillId="24" borderId="39" applyAlignment="1" pivotButton="0" quotePrefix="0" xfId="41">
      <alignment horizontal="center" vertical="top"/>
    </xf>
    <xf numFmtId="0" fontId="0" fillId="0" borderId="69" pivotButton="0" quotePrefix="0" xfId="0"/>
    <xf numFmtId="49" fontId="34" fillId="24" borderId="120" applyAlignment="1" pivotButton="0" quotePrefix="0" xfId="39">
      <alignment horizontal="center" wrapText="1"/>
    </xf>
    <xf numFmtId="0" fontId="0" fillId="0" borderId="81" pivotButton="0" quotePrefix="0" xfId="0"/>
    <xf numFmtId="0" fontId="35" fillId="24" borderId="120" applyAlignment="1" pivotButton="0" quotePrefix="0" xfId="39">
      <alignment horizontal="left" wrapText="1"/>
    </xf>
    <xf numFmtId="49" fontId="34" fillId="24" borderId="114" applyAlignment="1" pivotButton="0" quotePrefix="0" xfId="39">
      <alignment horizontal="center" wrapText="1"/>
    </xf>
    <xf numFmtId="0" fontId="0" fillId="0" borderId="70" pivotButton="0" quotePrefix="0" xfId="0"/>
    <xf numFmtId="0" fontId="35" fillId="24" borderId="125" applyAlignment="1" pivotButton="0" quotePrefix="0" xfId="39">
      <alignment horizontal="left" wrapText="1"/>
    </xf>
    <xf numFmtId="0" fontId="34" fillId="24" borderId="123" applyAlignment="1" pivotButton="0" quotePrefix="0" xfId="39">
      <alignment horizontal="center" wrapText="1"/>
    </xf>
    <xf numFmtId="0" fontId="0" fillId="0" borderId="74" pivotButton="0" quotePrefix="0" xfId="0"/>
    <xf numFmtId="0" fontId="35" fillId="24" borderId="33" applyAlignment="1" pivotButton="0" quotePrefix="0" xfId="39">
      <alignment horizontal="left" wrapText="1"/>
    </xf>
    <xf numFmtId="0" fontId="0" fillId="0" borderId="30" pivotButton="0" quotePrefix="0" xfId="0"/>
    <xf numFmtId="0" fontId="0" fillId="0" borderId="31" pivotButton="0" quotePrefix="0" xfId="0"/>
    <xf numFmtId="0" fontId="34" fillId="24" borderId="132" applyAlignment="1" pivotButton="0" quotePrefix="0" xfId="39">
      <alignment horizontal="center" wrapText="1"/>
    </xf>
    <xf numFmtId="0" fontId="0" fillId="0" borderId="97" pivotButton="0" quotePrefix="0" xfId="0"/>
    <xf numFmtId="0" fontId="34" fillId="24" borderId="116" applyAlignment="1" pivotButton="0" quotePrefix="0" xfId="39">
      <alignment horizontal="center" wrapText="1"/>
    </xf>
    <xf numFmtId="0" fontId="0" fillId="0" borderId="96" pivotButton="0" quotePrefix="0" xfId="0"/>
    <xf numFmtId="0" fontId="0" fillId="0" borderId="98" pivotButton="0" quotePrefix="0" xfId="0"/>
    <xf numFmtId="0" fontId="0" fillId="0" borderId="71" pivotButton="0" quotePrefix="0" xfId="0"/>
    <xf numFmtId="0" fontId="35" fillId="24" borderId="125" applyAlignment="1" pivotButton="0" quotePrefix="0" xfId="41">
      <alignment horizontal="center" vertical="center"/>
    </xf>
    <xf numFmtId="0" fontId="35" fillId="24" borderId="39" applyAlignment="1" pivotButton="0" quotePrefix="0" xfId="41">
      <alignment horizontal="center" vertical="center" wrapText="1"/>
    </xf>
    <xf numFmtId="0" fontId="35" fillId="24" borderId="118" applyAlignment="1" pivotButton="0" quotePrefix="0" xfId="41">
      <alignment horizontal="center" vertical="center" wrapText="1"/>
    </xf>
    <xf numFmtId="0" fontId="0" fillId="0" borderId="72" pivotButton="0" quotePrefix="0" xfId="0"/>
    <xf numFmtId="0" fontId="35" fillId="24" borderId="127" applyAlignment="1" pivotButton="0" quotePrefix="0" xfId="41">
      <alignment horizontal="center" vertical="center" wrapText="1"/>
    </xf>
    <xf numFmtId="0" fontId="35" fillId="24" borderId="130" applyAlignment="1" pivotButton="0" quotePrefix="0" xfId="41">
      <alignment horizontal="center" vertical="center" wrapText="1"/>
    </xf>
    <xf numFmtId="0" fontId="0" fillId="0" borderId="67" pivotButton="0" quotePrefix="0" xfId="0"/>
    <xf numFmtId="0" fontId="34" fillId="24" borderId="134" applyAlignment="1" pivotButton="0" quotePrefix="0" xfId="41">
      <alignment horizontal="center" vertical="center"/>
    </xf>
    <xf numFmtId="0" fontId="0" fillId="0" borderId="86" pivotButton="0" quotePrefix="0" xfId="0"/>
    <xf numFmtId="0" fontId="34" fillId="24" borderId="133" applyAlignment="1" pivotButton="0" quotePrefix="0" xfId="41">
      <alignment horizontal="center" vertical="center"/>
    </xf>
    <xf numFmtId="0" fontId="0" fillId="0" borderId="78" pivotButton="0" quotePrefix="0" xfId="0"/>
    <xf numFmtId="0" fontId="34" fillId="24" borderId="131" applyAlignment="1" pivotButton="0" quotePrefix="0" xfId="41">
      <alignment horizontal="center" vertical="center"/>
    </xf>
    <xf numFmtId="0" fontId="0" fillId="0" borderId="85" pivotButton="0" quotePrefix="0" xfId="0"/>
    <xf numFmtId="0" fontId="34" fillId="24" borderId="128" applyAlignment="1" pivotButton="0" quotePrefix="0" xfId="41">
      <alignment horizontal="center" vertical="center"/>
    </xf>
    <xf numFmtId="0" fontId="0" fillId="0" borderId="79" pivotButton="0" quotePrefix="0" xfId="0"/>
    <xf numFmtId="0" fontId="0" fillId="0" borderId="60" pivotButton="0" quotePrefix="0" xfId="0"/>
    <xf numFmtId="0" fontId="0" fillId="0" borderId="104" pivotButton="0" quotePrefix="0" xfId="0"/>
    <xf numFmtId="0" fontId="0" fillId="0" borderId="101" pivotButton="0" quotePrefix="0" xfId="0"/>
    <xf numFmtId="0" fontId="0" fillId="0" borderId="102" pivotButton="0" quotePrefix="0" xfId="0"/>
    <xf numFmtId="0" fontId="0" fillId="0" borderId="139" pivotButton="0" quotePrefix="0" xfId="0"/>
    <xf numFmtId="0" fontId="0" fillId="0" borderId="93" pivotButton="0" quotePrefix="0" xfId="0"/>
    <xf numFmtId="0" fontId="35" fillId="24" borderId="135" applyAlignment="1" pivotButton="0" quotePrefix="0" xfId="39">
      <alignment horizontal="left" wrapText="1"/>
    </xf>
    <xf numFmtId="0" fontId="35" fillId="24" borderId="38" applyAlignment="1" pivotButton="0" quotePrefix="0" xfId="39">
      <alignment horizontal="left" wrapText="1"/>
    </xf>
    <xf numFmtId="0" fontId="0" fillId="0" borderId="36" pivotButton="0" quotePrefix="0" xfId="0"/>
    <xf numFmtId="0" fontId="0" fillId="0" borderId="37" pivotButton="0" quotePrefix="0" xfId="0"/>
    <xf numFmtId="0" fontId="34" fillId="24" borderId="136" applyAlignment="1" pivotButton="0" quotePrefix="0" xfId="39">
      <alignment horizontal="center" wrapText="1"/>
    </xf>
    <xf numFmtId="0" fontId="0" fillId="0" borderId="94" pivotButton="0" quotePrefix="0" xfId="0"/>
    <xf numFmtId="0" fontId="35" fillId="24" borderId="125" applyAlignment="1" pivotButton="0" quotePrefix="0" xfId="40">
      <alignment horizontal="left" wrapText="1"/>
    </xf>
    <xf numFmtId="0" fontId="34" fillId="24" borderId="123" applyAlignment="1" pivotButton="0" quotePrefix="0" xfId="40">
      <alignment horizontal="center" wrapText="1"/>
    </xf>
    <xf numFmtId="0" fontId="35" fillId="24" borderId="33" applyAlignment="1" pivotButton="0" quotePrefix="0" xfId="40">
      <alignment horizontal="left" wrapText="1"/>
    </xf>
    <xf numFmtId="0" fontId="34" fillId="24" borderId="136" applyAlignment="1" pivotButton="0" quotePrefix="0" xfId="40">
      <alignment horizontal="center" wrapText="1"/>
    </xf>
    <xf numFmtId="0" fontId="35" fillId="24" borderId="125" applyAlignment="1" pivotButton="0" quotePrefix="0" xfId="42">
      <alignment horizontal="center" vertical="center"/>
    </xf>
    <xf numFmtId="0" fontId="35" fillId="24" borderId="39" applyAlignment="1" pivotButton="0" quotePrefix="0" xfId="42">
      <alignment horizontal="center" vertical="center" wrapText="1"/>
    </xf>
    <xf numFmtId="0" fontId="35" fillId="24" borderId="118" applyAlignment="1" pivotButton="0" quotePrefix="0" xfId="42">
      <alignment horizontal="center" vertical="center" wrapText="1"/>
    </xf>
    <xf numFmtId="0" fontId="35" fillId="24" borderId="130" applyAlignment="1" pivotButton="0" quotePrefix="0" xfId="42">
      <alignment horizontal="center" vertical="center" wrapText="1"/>
    </xf>
    <xf numFmtId="0" fontId="34" fillId="24" borderId="134" applyAlignment="1" pivotButton="0" quotePrefix="0" xfId="42">
      <alignment horizontal="center" vertical="center"/>
    </xf>
    <xf numFmtId="0" fontId="34" fillId="24" borderId="133" applyAlignment="1" pivotButton="0" quotePrefix="0" xfId="42">
      <alignment horizontal="center" vertical="center"/>
    </xf>
    <xf numFmtId="0" fontId="34" fillId="24" borderId="131" applyAlignment="1" pivotButton="0" quotePrefix="0" xfId="42">
      <alignment horizontal="center" vertical="center"/>
    </xf>
    <xf numFmtId="0" fontId="34" fillId="24" borderId="128" applyAlignment="1" pivotButton="0" quotePrefix="0" xfId="42">
      <alignment horizontal="center" vertical="center"/>
    </xf>
    <xf numFmtId="0" fontId="0" fillId="0" borderId="83" pivotButton="0" quotePrefix="0" xfId="0"/>
  </cellXfs>
  <cellStyles count="49">
    <cellStyle name="Normal" xfId="0" builtinId="0"/>
    <cellStyle name="20% - Accent1" xfId="1" builtinId="30"/>
    <cellStyle name="20% - Accent2" xfId="2" builtinId="34"/>
    <cellStyle name="20% - Accent3" xfId="3" builtinId="38"/>
    <cellStyle name="20% - Accent4" xfId="4" builtinId="42"/>
    <cellStyle name="20% - Accent5" xfId="5" builtinId="46"/>
    <cellStyle name="20% - Accent6" xfId="6" builtinId="50"/>
    <cellStyle name="40% - Accent1" xfId="7" builtinId="31"/>
    <cellStyle name="40% - Accent2" xfId="8" builtinId="35"/>
    <cellStyle name="40% - Accent3" xfId="9" builtinId="39"/>
    <cellStyle name="40% - Accent4" xfId="10" builtinId="43"/>
    <cellStyle name="40% - Accent5" xfId="11" builtinId="47"/>
    <cellStyle name="40% - Accent6" xfId="12" builtinId="51"/>
    <cellStyle name="60% - Accent1" xfId="13" builtinId="32"/>
    <cellStyle name="60% - Accent2" xfId="14" builtinId="36"/>
    <cellStyle name="60% - Accent3" xfId="15" builtinId="40"/>
    <cellStyle name="60% - Accent4" xfId="16" builtinId="44"/>
    <cellStyle name="60% - Accent5" xfId="17" builtinId="48"/>
    <cellStyle name="60%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Bad" xfId="25" builtinId="27"/>
    <cellStyle name="Calculation" xfId="26" builtinId="22"/>
    <cellStyle name="Check Cell" xfId="27" builtinId="23"/>
    <cellStyle name="Explanatory Text" xfId="28" builtinId="53"/>
    <cellStyle name="Good" xfId="29" builtinId="26"/>
    <cellStyle name="Heading 1" xfId="30" builtinId="16"/>
    <cellStyle name="Heading 2" xfId="31" builtinId="17"/>
    <cellStyle name="Heading 3" xfId="32" builtinId="18"/>
    <cellStyle name="Heading 4" xfId="33" builtinId="19"/>
    <cellStyle name="Hyperlink" xfId="34" builtinId="8"/>
    <cellStyle name="Input" xfId="35" builtinId="20"/>
    <cellStyle name="Linked Cell" xfId="36" builtinId="24"/>
    <cellStyle name="Neutral" xfId="37" builtinId="28"/>
    <cellStyle name="Normal_Functional Test Case v1.0" xfId="38"/>
    <cellStyle name="Normal_Sheet1" xfId="39"/>
    <cellStyle name="Normal_Sheet1_Template_UnitTest Case_v0.9" xfId="40"/>
    <cellStyle name="Normal_Template_UnitTest Case_v0.9" xfId="41"/>
    <cellStyle name="Normal_Template_UnitTest Case_v0.9_Template_UnitTest Case_v0.9" xfId="42"/>
    <cellStyle name="Note" xfId="43" builtinId="10"/>
    <cellStyle name="Output" xfId="44" builtinId="21"/>
    <cellStyle name="Title" xfId="45" builtinId="15"/>
    <cellStyle name="Total" xfId="46" builtinId="25"/>
    <cellStyle name="Warning Text" xfId="47" builtinId="11"/>
    <cellStyle name="標準_結合試験(AllOvertheWorld)" xfId="4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styles" Target="styles.xml" Id="rId47" /><Relationship Type="http://schemas.openxmlformats.org/officeDocument/2006/relationships/theme" Target="theme/theme1.xml" Id="rId48" /></Relationships>
</file>

<file path=xl/charts/chart1.xml><?xml version="1.0" encoding="utf-8"?>
<chartSpace xmlns:a="http://schemas.openxmlformats.org/drawingml/2006/main" xmlns="http://schemas.openxmlformats.org/drawingml/2006/chart">
  <chart>
    <title>
      <tx>
        <rich>
          <a:bodyPr/>
          <a:lstStyle/>
          <a:p>
            <a:pPr>
              <a:defRPr sz="900" b="1" i="0" strike="noStrike" baseline="0">
                <a:solidFill>
                  <a:srgbClr val="000000"/>
                </a:solidFill>
                <a:latin typeface="ＭＳ Ｐゴシック"/>
                <a:ea typeface="ＭＳ Ｐゴシック"/>
                <a:cs typeface="ＭＳ Ｐゴシック"/>
              </a:defRPr>
            </a:pPr>
            <a:r>
              <a:rPr lang="en-US"/>
              <a:t>Test Type</a:t>
            </a:r>
          </a:p>
        </rich>
      </tx>
      <layout>
        <manualLayout>
          <xMode val="edge"/>
          <yMode val="edge"/>
          <wMode val="factor"/>
          <hMode val="factor"/>
          <x val="0.4183674182365429"/>
          <y val="0.03906234934918849"/>
        </manualLayout>
      </layout>
      <overlay val="0"/>
      <spPr>
        <a:noFill/>
        <a:ln w="25400">
          <a:noFill/>
          <a:prstDash val="solid"/>
        </a:ln>
      </spPr>
    </title>
    <plotArea>
      <layout>
        <manualLayout>
          <layoutTarget val="inner"/>
          <xMode val="edge"/>
          <yMode val="edge"/>
          <wMode val="factor"/>
          <hMode val="factor"/>
          <x val="0.201530612244898"/>
          <y val="0.2656255066404469"/>
          <w val="0.3979591836734694"/>
          <h val="0.60937616229279"/>
        </manualLayout>
      </layout>
      <pieChart>
        <varyColors val="1"/>
        <ser>
          <idx val="0"/>
          <order val="0"/>
          <spPr>
            <a:solidFill>
              <a:srgbClr val="9999FF"/>
            </a:solidFill>
            <a:ln w="12700">
              <a:solidFill>
                <a:srgbClr val="000000"/>
              </a:solidFill>
              <a:prstDash val="solid"/>
            </a:ln>
          </spPr>
          <dPt>
            <idx val="0"/>
            <bubble3D val="0"/>
            <spPr>
              <a:ln>
                <a:prstDash val="solid"/>
              </a:ln>
            </spPr>
          </dPt>
          <dPt>
            <idx val="1"/>
            <bubble3D val="0"/>
            <spPr>
              <a:solidFill>
                <a:srgbClr val="993366"/>
              </a:solidFill>
              <a:ln w="12700">
                <a:solidFill>
                  <a:srgbClr val="000000"/>
                </a:solidFill>
                <a:prstDash val="solid"/>
              </a:ln>
            </spPr>
          </dPt>
          <dPt>
            <idx val="2"/>
            <bubble3D val="0"/>
            <spPr>
              <a:solidFill>
                <a:srgbClr val="FFFFCC"/>
              </a:solidFill>
              <a:ln w="12700">
                <a:solidFill>
                  <a:srgbClr val="000000"/>
                </a:solidFill>
                <a:prstDash val="solid"/>
              </a:ln>
            </spPr>
          </dPt>
          <dLbls>
            <numFmt formatCode="0%"/>
            <spPr>
              <a:noFill/>
              <a:ln w="25400">
                <a:noFill/>
                <a:prstDash val="solid"/>
              </a:ln>
            </spPr>
            <txPr>
              <a:bodyPr wrap="square" lIns="38100" tIns="19050" rIns="38100" bIns="19050" anchor="ctr">
                <a:spAutoFit/>
              </a:bodyPr>
              <a:lstStyle/>
              <a:p>
                <a:pPr>
                  <a:defRPr sz="900" b="0" i="0" strike="noStrike" baseline="0">
                    <a:solidFill>
                      <a:srgbClr val="000000"/>
                    </a:solidFill>
                    <a:latin typeface="ＭＳ Ｐゴシック"/>
                    <a:ea typeface="ＭＳ Ｐゴシック"/>
                    <a:cs typeface="ＭＳ Ｐゴシック"/>
                  </a:defRPr>
                </a:pPr>
                <a:r>
                  <a:t/>
                </a:r>
                <a:endParaRPr lang="en-US"/>
              </a:p>
            </txPr>
            <showLegendKey val="0"/>
            <showVal val="0"/>
            <showCatName val="1"/>
            <showSerName val="0"/>
            <showPercent val="1"/>
            <showBubbleSize val="0"/>
            <showLeaderLines val="1"/>
          </dLbls>
          <cat>
            <strRef>
              <f>'Test Report'!$F$11:$H$11</f>
              <strCache>
                <ptCount val="3"/>
                <pt idx="0">
                  <v>N</v>
                </pt>
                <pt idx="1">
                  <v>A</v>
                </pt>
                <pt idx="2">
                  <v>B</v>
                </pt>
              </strCache>
            </strRef>
          </cat>
          <val>
            <numRef>
              <f>'Test Report'!$F$96:$H$96</f>
              <numCache>
                <formatCode>General</formatCode>
                <ptCount val="3"/>
                <pt idx="0">
                  <v>76</v>
                </pt>
                <pt idx="1">
                  <v>129</v>
                </pt>
                <pt idx="2">
                  <v>50</v>
                </pt>
              </numCache>
            </numRef>
          </val>
        </ser>
        <ser>
          <idx val="1"/>
          <order val="1"/>
          <spPr>
            <a:solidFill>
              <a:srgbClr val="993366"/>
            </a:solidFill>
            <a:ln w="12700">
              <a:solidFill>
                <a:srgbClr val="000000"/>
              </a:solidFill>
              <a:prstDash val="solid"/>
            </a:ln>
          </spPr>
          <dPt>
            <idx val="0"/>
            <bubble3D val="0"/>
            <spPr>
              <a:solidFill>
                <a:srgbClr val="9999FF"/>
              </a:solidFill>
              <a:ln w="12700">
                <a:solidFill>
                  <a:srgbClr val="000000"/>
                </a:solidFill>
                <a:prstDash val="solid"/>
              </a:ln>
            </spPr>
          </dPt>
          <dPt>
            <idx val="1"/>
            <bubble3D val="0"/>
            <spPr>
              <a:ln>
                <a:prstDash val="solid"/>
              </a:ln>
            </spPr>
          </dPt>
          <dPt>
            <idx val="2"/>
            <bubble3D val="0"/>
            <spPr>
              <a:solidFill>
                <a:srgbClr val="FFFFCC"/>
              </a:solidFill>
              <a:ln w="12700">
                <a:solidFill>
                  <a:srgbClr val="000000"/>
                </a:solidFill>
                <a:prstDash val="solid"/>
              </a:ln>
            </spPr>
          </dPt>
          <dLbls>
            <spPr>
              <a:noFill/>
              <a:ln w="25400">
                <a:noFill/>
                <a:prstDash val="solid"/>
              </a:ln>
            </spPr>
            <txPr>
              <a:bodyPr wrap="square" lIns="38100" tIns="19050" rIns="38100" bIns="19050" anchor="ctr">
                <a:spAutoFit/>
              </a:bodyPr>
              <a:lstStyle/>
              <a:p>
                <a:pPr>
                  <a:defRPr sz="900" b="0" i="0" strike="noStrike" baseline="0">
                    <a:solidFill>
                      <a:srgbClr val="000000"/>
                    </a:solidFill>
                    <a:latin typeface="ＭＳ Ｐゴシック"/>
                    <a:ea typeface="ＭＳ Ｐゴシック"/>
                    <a:cs typeface="ＭＳ Ｐゴシック"/>
                  </a:defRPr>
                </a:pPr>
                <a:r>
                  <a:t/>
                </a:r>
                <a:endParaRPr lang="en-US"/>
              </a:p>
            </txPr>
            <showLegendKey val="0"/>
            <showVal val="1"/>
            <showCatName val="1"/>
            <showSerName val="0"/>
            <showPercent val="0"/>
            <showBubbleSize val="0"/>
            <showLeaderLines val="1"/>
          </dLbls>
          <cat>
            <strRef>
              <f>'Test Report'!$F$11:$H$11</f>
              <strCache>
                <ptCount val="3"/>
                <pt idx="0">
                  <v>N</v>
                </pt>
                <pt idx="1">
                  <v>A</v>
                </pt>
                <pt idx="2">
                  <v>B</v>
                </pt>
              </strCache>
            </strRef>
          </cat>
          <val>
            <numRef>
              <f>'Test Report'!$F$95:$H$95</f>
              <numCache>
                <formatCode>General</formatCode>
                <ptCount val="3"/>
              </numCache>
            </numRef>
          </val>
        </ser>
        <ser>
          <idx val="2"/>
          <order val="2"/>
          <spPr>
            <a:solidFill>
              <a:srgbClr val="FFFFCC"/>
            </a:solidFill>
            <a:ln w="12700">
              <a:solidFill>
                <a:srgbClr val="000000"/>
              </a:solidFill>
              <a:prstDash val="solid"/>
            </a:ln>
          </spPr>
          <dPt>
            <idx val="0"/>
            <bubble3D val="0"/>
            <spPr>
              <a:solidFill>
                <a:srgbClr val="9999FF"/>
              </a:solidFill>
              <a:ln w="12700">
                <a:solidFill>
                  <a:srgbClr val="000000"/>
                </a:solidFill>
                <a:prstDash val="solid"/>
              </a:ln>
            </spPr>
          </dPt>
          <dPt>
            <idx val="1"/>
            <bubble3D val="0"/>
            <spPr>
              <a:ln>
                <a:prstDash val="solid"/>
              </a:ln>
            </spPr>
          </dPt>
          <dPt>
            <idx val="2"/>
            <bubble3D val="0"/>
            <spPr>
              <a:ln>
                <a:prstDash val="solid"/>
              </a:ln>
            </spPr>
          </dPt>
          <dLbls>
            <spPr>
              <a:noFill/>
              <a:ln w="25400">
                <a:noFill/>
                <a:prstDash val="solid"/>
              </a:ln>
            </spPr>
            <txPr>
              <a:bodyPr wrap="square" lIns="38100" tIns="19050" rIns="38100" bIns="19050" anchor="ctr">
                <a:spAutoFit/>
              </a:bodyPr>
              <a:lstStyle/>
              <a:p>
                <a:pPr>
                  <a:defRPr sz="900" b="0" i="0" strike="noStrike" baseline="0">
                    <a:solidFill>
                      <a:srgbClr val="000000"/>
                    </a:solidFill>
                    <a:latin typeface="ＭＳ Ｐゴシック"/>
                    <a:ea typeface="ＭＳ Ｐゴシック"/>
                    <a:cs typeface="ＭＳ Ｐゴシック"/>
                  </a:defRPr>
                </a:pPr>
                <a:r>
                  <a:t/>
                </a:r>
                <a:endParaRPr lang="en-US"/>
              </a:p>
            </txPr>
            <showLegendKey val="0"/>
            <showVal val="1"/>
            <showCatName val="1"/>
            <showSerName val="0"/>
            <showPercent val="0"/>
            <showBubbleSize val="0"/>
            <showLeaderLines val="1"/>
          </dLbls>
          <cat>
            <strRef>
              <f>'Test Report'!$F$11:$H$11</f>
              <strCache>
                <ptCount val="3"/>
                <pt idx="0">
                  <v>N</v>
                </pt>
                <pt idx="1">
                  <v>A</v>
                </pt>
                <pt idx="2">
                  <v>B</v>
                </pt>
              </strCache>
            </strRef>
          </cat>
          <val>
            <numRef>
              <f>'Test Report'!#REF!</f>
              <numCache>
                <formatCode>General</formatCode>
                <ptCount val="1"/>
                <pt idx="0">
                  <v>1</v>
                </pt>
              </numCache>
            </numRef>
          </val>
        </ser>
        <ser>
          <idx val="3"/>
          <order val="3"/>
          <spPr>
            <a:solidFill>
              <a:srgbClr val="CCFFFF"/>
            </a:solidFill>
            <a:ln w="12700">
              <a:solidFill>
                <a:srgbClr val="000000"/>
              </a:solidFill>
              <a:prstDash val="solid"/>
            </a:ln>
          </spPr>
          <dPt>
            <idx val="0"/>
            <bubble3D val="0"/>
            <spPr>
              <a:solidFill>
                <a:srgbClr val="9999FF"/>
              </a:solidFill>
              <a:ln w="12700">
                <a:solidFill>
                  <a:srgbClr val="000000"/>
                </a:solidFill>
                <a:prstDash val="solid"/>
              </a:ln>
            </spPr>
          </dPt>
          <dPt>
            <idx val="1"/>
            <bubble3D val="0"/>
            <spPr>
              <a:ln>
                <a:prstDash val="solid"/>
              </a:ln>
            </spPr>
          </dPt>
          <dPt>
            <idx val="2"/>
            <bubble3D val="0"/>
            <spPr>
              <a:ln>
                <a:prstDash val="solid"/>
              </a:ln>
            </spPr>
          </dPt>
          <dLbls>
            <spPr>
              <a:noFill/>
              <a:ln w="25400">
                <a:noFill/>
                <a:prstDash val="solid"/>
              </a:ln>
            </spPr>
            <txPr>
              <a:bodyPr wrap="square" lIns="38100" tIns="19050" rIns="38100" bIns="19050" anchor="ctr">
                <a:spAutoFit/>
              </a:bodyPr>
              <a:lstStyle/>
              <a:p>
                <a:pPr>
                  <a:defRPr sz="900" b="0" i="0" strike="noStrike" baseline="0">
                    <a:solidFill>
                      <a:srgbClr val="000000"/>
                    </a:solidFill>
                    <a:latin typeface="ＭＳ Ｐゴシック"/>
                    <a:ea typeface="ＭＳ Ｐゴシック"/>
                    <a:cs typeface="ＭＳ Ｐゴシック"/>
                  </a:defRPr>
                </a:pPr>
                <a:r>
                  <a:t/>
                </a:r>
                <a:endParaRPr lang="en-US"/>
              </a:p>
            </txPr>
            <showLegendKey val="0"/>
            <showVal val="1"/>
            <showCatName val="1"/>
            <showSerName val="0"/>
            <showPercent val="0"/>
            <showBubbleSize val="0"/>
            <showLeaderLines val="1"/>
          </dLbls>
          <cat>
            <strRef>
              <f>'Test Report'!$F$11:$H$11</f>
              <strCache>
                <ptCount val="3"/>
                <pt idx="0">
                  <v>N</v>
                </pt>
                <pt idx="1">
                  <v>A</v>
                </pt>
                <pt idx="2">
                  <v>B</v>
                </pt>
              </strCache>
            </strRef>
          </cat>
          <val>
            <numRef>
              <f>'Test Report'!#REF!</f>
              <numCache>
                <formatCode>General</formatCode>
                <ptCount val="1"/>
                <pt idx="0">
                  <v>1</v>
                </pt>
              </numCache>
            </numRef>
          </val>
        </ser>
        <ser>
          <idx val="4"/>
          <order val="4"/>
          <spPr>
            <a:solidFill>
              <a:srgbClr val="660066"/>
            </a:solidFill>
            <a:ln w="12700">
              <a:solidFill>
                <a:srgbClr val="000000"/>
              </a:solidFill>
              <a:prstDash val="solid"/>
            </a:ln>
          </spPr>
          <dPt>
            <idx val="0"/>
            <bubble3D val="0"/>
            <spPr>
              <a:solidFill>
                <a:srgbClr val="9999FF"/>
              </a:solidFill>
              <a:ln w="12700">
                <a:solidFill>
                  <a:srgbClr val="000000"/>
                </a:solidFill>
                <a:prstDash val="solid"/>
              </a:ln>
            </spPr>
          </dPt>
          <dPt>
            <idx val="1"/>
            <bubble3D val="0"/>
            <spPr>
              <a:solidFill>
                <a:srgbClr val="993366"/>
              </a:solidFill>
              <a:ln w="12700">
                <a:solidFill>
                  <a:srgbClr val="000000"/>
                </a:solidFill>
                <a:prstDash val="solid"/>
              </a:ln>
            </spPr>
          </dPt>
          <dPt>
            <idx val="2"/>
            <bubble3D val="0"/>
            <spPr>
              <a:solidFill>
                <a:srgbClr val="FFFFCC"/>
              </a:solidFill>
              <a:ln w="12700">
                <a:solidFill>
                  <a:srgbClr val="000000"/>
                </a:solidFill>
                <a:prstDash val="solid"/>
              </a:ln>
            </spPr>
          </dPt>
          <dLbls>
            <spPr>
              <a:noFill/>
              <a:ln w="25400">
                <a:noFill/>
                <a:prstDash val="solid"/>
              </a:ln>
            </spPr>
            <txPr>
              <a:bodyPr wrap="square" lIns="38100" tIns="19050" rIns="38100" bIns="19050" anchor="ctr">
                <a:spAutoFit/>
              </a:bodyPr>
              <a:lstStyle/>
              <a:p>
                <a:pPr>
                  <a:defRPr sz="900" b="0" i="0" strike="noStrike" baseline="0">
                    <a:solidFill>
                      <a:srgbClr val="000000"/>
                    </a:solidFill>
                    <a:latin typeface="ＭＳ Ｐゴシック"/>
                    <a:ea typeface="ＭＳ Ｐゴシック"/>
                    <a:cs typeface="ＭＳ Ｐゴシック"/>
                  </a:defRPr>
                </a:pPr>
                <a:r>
                  <a:t/>
                </a:r>
                <a:endParaRPr lang="en-US"/>
              </a:p>
            </txPr>
            <showLegendKey val="0"/>
            <showVal val="1"/>
            <showCatName val="1"/>
            <showSerName val="0"/>
            <showPercent val="0"/>
            <showBubbleSize val="0"/>
            <showLeaderLines val="1"/>
          </dLbls>
          <cat>
            <strRef>
              <f>'Test Report'!$F$11:$H$11</f>
              <strCache>
                <ptCount val="3"/>
                <pt idx="0">
                  <v>N</v>
                </pt>
                <pt idx="1">
                  <v>A</v>
                </pt>
                <pt idx="2">
                  <v>B</v>
                </pt>
              </strCache>
            </strRef>
          </cat>
          <val>
            <numRef>
              <f>'Test Report'!$F$96:$H$96</f>
              <numCache>
                <formatCode>General</formatCode>
                <ptCount val="3"/>
                <pt idx="0">
                  <v>76</v>
                </pt>
                <pt idx="1">
                  <v>129</v>
                </pt>
                <pt idx="2">
                  <v>50</v>
                </pt>
              </numCache>
            </numRef>
          </val>
        </ser>
        <dLbls>
          <showLegendKey val="0"/>
          <showVal val="0"/>
          <showCatName val="0"/>
          <showSerName val="0"/>
          <showPercent val="0"/>
          <showBubbleSize val="0"/>
          <showLeaderLines val="1"/>
        </dLbls>
        <firstSliceAng val="0"/>
      </pieChart>
    </plotArea>
    <legend>
      <legendPos val="r"/>
      <layout>
        <manualLayout>
          <xMode val="edge"/>
          <yMode val="edge"/>
          <wMode val="factor"/>
          <hMode val="factor"/>
          <x val="0.6596754247824285"/>
          <y val="0.2982202129676756"/>
          <w val="0.3091794999309297"/>
          <h val="0.5090661956228856"/>
        </manualLayout>
      </layout>
      <overlay val="0"/>
      <spPr>
        <a:solidFill>
          <a:srgbClr val="FFFFFF"/>
        </a:solidFill>
        <a:ln w="3175">
          <a:solidFill>
            <a:srgbClr val="000000"/>
          </a:solidFill>
          <a:prstDash val="solid"/>
        </a:ln>
      </spPr>
      <txPr>
        <a:bodyPr/>
        <a:lstStyle/>
        <a:p>
          <a:pPr>
            <a:defRPr sz="630" b="0" i="0" strike="noStrike" baseline="0">
              <a:solidFill>
                <a:srgbClr val="000000"/>
              </a:solidFill>
              <a:latin typeface="ＭＳ Ｐゴシック"/>
              <a:ea typeface="ＭＳ Ｐゴシック"/>
              <a:cs typeface="ＭＳ Ｐゴシック"/>
            </a:defRPr>
          </a:pPr>
          <a:r>
            <a:t/>
          </a:r>
          <a:endParaRPr lang="en-US"/>
        </a:p>
      </txPr>
    </legend>
    <plotVisOnly val="1"/>
    <dispBlanksAs val="zero"/>
  </chart>
  <spPr>
    <a:solidFill>
      <a:srgbClr val="FFFFFF"/>
    </a:solidFill>
    <a:ln w="3175">
      <a:solidFill>
        <a:srgbClr val="000000"/>
      </a:solidFill>
      <a:prstDash val="solid"/>
    </a:ln>
  </spPr>
</chartSpace>
</file>

<file path=xl/charts/chart2.xml><?xml version="1.0" encoding="utf-8"?>
<chartSpace xmlns:a="http://schemas.openxmlformats.org/drawingml/2006/main" xmlns="http://schemas.openxmlformats.org/drawingml/2006/chart">
  <chart>
    <title>
      <tx>
        <rich>
          <a:bodyPr/>
          <a:lstStyle/>
          <a:p>
            <a:pPr>
              <a:defRPr sz="1100" b="1" i="0" strike="noStrike" baseline="0">
                <a:solidFill>
                  <a:srgbClr val="000000"/>
                </a:solidFill>
                <a:latin typeface="ＭＳ Ｐゴシック"/>
                <a:ea typeface="ＭＳ Ｐゴシック"/>
                <a:cs typeface="ＭＳ Ｐゴシック"/>
              </a:defRPr>
            </a:pPr>
            <a:r>
              <a:rPr lang="en-US"/>
              <a:t>Passed Percent</a:t>
            </a:r>
          </a:p>
        </rich>
      </tx>
      <layout>
        <manualLayout>
          <xMode val="edge"/>
          <yMode val="edge"/>
          <wMode val="factor"/>
          <hMode val="factor"/>
          <x val="0.3654709131507815"/>
          <y val="0.03952592713475583"/>
        </manualLayout>
      </layout>
      <overlay val="0"/>
      <spPr>
        <a:noFill/>
        <a:ln w="25400">
          <a:noFill/>
          <a:prstDash val="solid"/>
        </a:ln>
      </spPr>
    </title>
    <plotArea>
      <layout>
        <manualLayout>
          <layoutTarget val="inner"/>
          <xMode val="edge"/>
          <yMode val="edge"/>
          <wMode val="factor"/>
          <hMode val="factor"/>
          <x val="0.2309417040358744"/>
          <y val="0.2806329526790867"/>
          <w val="0.3385650224215246"/>
          <h val="0.5968390965428463"/>
        </manualLayout>
      </layout>
      <pieChart>
        <varyColors val="1"/>
        <ser>
          <idx val="0"/>
          <order val="0"/>
          <spPr>
            <a:solidFill>
              <a:srgbClr val="9999FF"/>
            </a:solidFill>
            <a:ln w="12700">
              <a:solidFill>
                <a:srgbClr val="000000"/>
              </a:solidFill>
              <a:prstDash val="solid"/>
            </a:ln>
          </spPr>
          <dPt>
            <idx val="0"/>
            <bubble3D val="0"/>
            <spPr>
              <a:ln>
                <a:prstDash val="solid"/>
              </a:ln>
            </spPr>
          </dPt>
          <dPt>
            <idx val="1"/>
            <bubble3D val="0"/>
            <spPr>
              <a:solidFill>
                <a:srgbClr val="993366"/>
              </a:solidFill>
              <a:ln w="12700">
                <a:solidFill>
                  <a:srgbClr val="000000"/>
                </a:solidFill>
                <a:prstDash val="solid"/>
              </a:ln>
            </spPr>
          </dPt>
          <dPt>
            <idx val="2"/>
            <bubble3D val="0"/>
            <spPr>
              <a:solidFill>
                <a:srgbClr val="FFFFCC"/>
              </a:solidFill>
              <a:ln w="12700">
                <a:solidFill>
                  <a:srgbClr val="000000"/>
                </a:solidFill>
                <a:prstDash val="solid"/>
              </a:ln>
            </spPr>
          </dPt>
          <dLbls>
            <numFmt formatCode="0%"/>
            <spPr>
              <a:noFill/>
              <a:ln w="25400">
                <a:noFill/>
                <a:prstDash val="solid"/>
              </a:ln>
            </spPr>
            <txPr>
              <a:bodyPr wrap="square" lIns="38100" tIns="19050" rIns="38100" bIns="19050" anchor="ctr">
                <a:spAutoFit/>
              </a:bodyPr>
              <a:lstStyle/>
              <a:p>
                <a:pPr>
                  <a:defRPr sz="900" b="0" i="0" strike="noStrike" baseline="0">
                    <a:solidFill>
                      <a:srgbClr val="000000"/>
                    </a:solidFill>
                    <a:latin typeface="ＭＳ Ｐゴシック"/>
                    <a:ea typeface="ＭＳ Ｐゴシック"/>
                    <a:cs typeface="ＭＳ Ｐゴシック"/>
                  </a:defRPr>
                </a:pPr>
                <a:r>
                  <a:t/>
                </a:r>
                <a:endParaRPr lang="en-US"/>
              </a:p>
            </txPr>
            <showLegendKey val="0"/>
            <showVal val="0"/>
            <showCatName val="1"/>
            <showSerName val="0"/>
            <showPercent val="1"/>
            <showBubbleSize val="0"/>
            <showLeaderLines val="1"/>
          </dLbls>
          <cat>
            <strRef>
              <f>'Test Report'!$C$11:$E$11</f>
              <strCache>
                <ptCount val="3"/>
                <pt idx="0">
                  <v>Passed</v>
                </pt>
                <pt idx="1">
                  <v>Failed</v>
                </pt>
                <pt idx="2">
                  <v>Untested</v>
                </pt>
              </strCache>
            </strRef>
          </cat>
          <val>
            <numRef>
              <f>'Test Report'!$C$96:$E$96</f>
              <numCache>
                <formatCode>General</formatCode>
                <ptCount val="3"/>
                <pt idx="0">
                  <v>255</v>
                </pt>
                <pt idx="1">
                  <v>0</v>
                </pt>
                <pt idx="2">
                  <v>0</v>
                </pt>
              </numCache>
            </numRef>
          </val>
        </ser>
        <ser>
          <idx val="1"/>
          <order val="1"/>
          <spPr>
            <a:solidFill>
              <a:srgbClr val="993366"/>
            </a:solidFill>
            <a:ln w="12700">
              <a:solidFill>
                <a:srgbClr val="000000"/>
              </a:solidFill>
              <a:prstDash val="solid"/>
            </a:ln>
          </spPr>
          <dPt>
            <idx val="0"/>
            <bubble3D val="0"/>
            <spPr>
              <a:solidFill>
                <a:srgbClr val="9999FF"/>
              </a:solidFill>
              <a:ln w="12700">
                <a:solidFill>
                  <a:srgbClr val="000000"/>
                </a:solidFill>
                <a:prstDash val="solid"/>
              </a:ln>
            </spPr>
          </dPt>
          <dPt>
            <idx val="1"/>
            <bubble3D val="0"/>
            <spPr>
              <a:ln>
                <a:prstDash val="solid"/>
              </a:ln>
            </spPr>
          </dPt>
          <dPt>
            <idx val="2"/>
            <bubble3D val="0"/>
            <spPr>
              <a:solidFill>
                <a:srgbClr val="FFFFCC"/>
              </a:solidFill>
              <a:ln w="12700">
                <a:solidFill>
                  <a:srgbClr val="000000"/>
                </a:solidFill>
                <a:prstDash val="solid"/>
              </a:ln>
            </spPr>
          </dPt>
          <dLbls>
            <numFmt formatCode="0%"/>
            <spPr>
              <a:noFill/>
              <a:ln w="25400">
                <a:noFill/>
                <a:prstDash val="solid"/>
              </a:ln>
            </spPr>
            <txPr>
              <a:bodyPr wrap="square" lIns="38100" tIns="19050" rIns="38100" bIns="19050" anchor="ctr">
                <a:spAutoFit/>
              </a:bodyPr>
              <a:lstStyle/>
              <a:p>
                <a:pPr>
                  <a:defRPr sz="1100" b="0" i="0" strike="noStrike" baseline="0">
                    <a:solidFill>
                      <a:srgbClr val="000000"/>
                    </a:solidFill>
                    <a:latin typeface="ＭＳ Ｐゴシック"/>
                    <a:ea typeface="ＭＳ Ｐゴシック"/>
                    <a:cs typeface="ＭＳ Ｐゴシック"/>
                  </a:defRPr>
                </a:pPr>
                <a:r>
                  <a:t/>
                </a:r>
                <a:endParaRPr lang="en-US"/>
              </a:p>
            </txPr>
            <showLegendKey val="0"/>
            <showVal val="0"/>
            <showCatName val="1"/>
            <showSerName val="0"/>
            <showPercent val="1"/>
            <showBubbleSize val="0"/>
            <showLeaderLines val="1"/>
          </dLbls>
          <cat>
            <strRef>
              <f>'Test Report'!$C$11:$E$11</f>
              <strCache>
                <ptCount val="3"/>
                <pt idx="0">
                  <v>Passed</v>
                </pt>
                <pt idx="1">
                  <v>Failed</v>
                </pt>
                <pt idx="2">
                  <v>Untested</v>
                </pt>
              </strCache>
            </strRef>
          </cat>
          <val>
            <numRef>
              <f>'Test Report'!$C$95:$E$95</f>
              <numCache>
                <formatCode>General</formatCode>
                <ptCount val="3"/>
              </numCache>
            </numRef>
          </val>
        </ser>
        <ser>
          <idx val="2"/>
          <order val="2"/>
          <spPr>
            <a:solidFill>
              <a:srgbClr val="FFFFCC"/>
            </a:solidFill>
            <a:ln w="12700">
              <a:solidFill>
                <a:srgbClr val="000000"/>
              </a:solidFill>
              <a:prstDash val="solid"/>
            </a:ln>
          </spPr>
          <dPt>
            <idx val="0"/>
            <bubble3D val="0"/>
            <spPr>
              <a:solidFill>
                <a:srgbClr val="9999FF"/>
              </a:solidFill>
              <a:ln w="12700">
                <a:solidFill>
                  <a:srgbClr val="000000"/>
                </a:solidFill>
                <a:prstDash val="solid"/>
              </a:ln>
            </spPr>
          </dPt>
          <dPt>
            <idx val="1"/>
            <bubble3D val="0"/>
            <spPr>
              <a:ln>
                <a:prstDash val="solid"/>
              </a:ln>
            </spPr>
          </dPt>
          <dPt>
            <idx val="2"/>
            <bubble3D val="0"/>
            <spPr>
              <a:ln>
                <a:prstDash val="solid"/>
              </a:ln>
            </spPr>
          </dPt>
          <dLbls>
            <numFmt formatCode="0%"/>
            <spPr>
              <a:noFill/>
              <a:ln w="25400">
                <a:noFill/>
                <a:prstDash val="solid"/>
              </a:ln>
            </spPr>
            <txPr>
              <a:bodyPr wrap="square" lIns="38100" tIns="19050" rIns="38100" bIns="19050" anchor="ctr">
                <a:spAutoFit/>
              </a:bodyPr>
              <a:lstStyle/>
              <a:p>
                <a:pPr>
                  <a:defRPr sz="1100" b="0" i="0" strike="noStrike" baseline="0">
                    <a:solidFill>
                      <a:srgbClr val="000000"/>
                    </a:solidFill>
                    <a:latin typeface="ＭＳ Ｐゴシック"/>
                    <a:ea typeface="ＭＳ Ｐゴシック"/>
                    <a:cs typeface="ＭＳ Ｐゴシック"/>
                  </a:defRPr>
                </a:pPr>
                <a:r>
                  <a:t/>
                </a:r>
                <a:endParaRPr lang="en-US"/>
              </a:p>
            </txPr>
            <showLegendKey val="0"/>
            <showVal val="0"/>
            <showCatName val="1"/>
            <showSerName val="0"/>
            <showPercent val="1"/>
            <showBubbleSize val="0"/>
            <showLeaderLines val="1"/>
          </dLbls>
          <cat>
            <strRef>
              <f>'Test Report'!$C$11:$E$11</f>
              <strCache>
                <ptCount val="3"/>
                <pt idx="0">
                  <v>Passed</v>
                </pt>
                <pt idx="1">
                  <v>Failed</v>
                </pt>
                <pt idx="2">
                  <v>Untested</v>
                </pt>
              </strCache>
            </strRef>
          </cat>
          <val>
            <numRef>
              <f>'Test Report'!#REF!</f>
              <numCache>
                <formatCode>General</formatCode>
                <ptCount val="1"/>
                <pt idx="0">
                  <v>1</v>
                </pt>
              </numCache>
            </numRef>
          </val>
        </ser>
        <ser>
          <idx val="3"/>
          <order val="3"/>
          <spPr>
            <a:solidFill>
              <a:srgbClr val="CCFFFF"/>
            </a:solidFill>
            <a:ln w="12700">
              <a:solidFill>
                <a:srgbClr val="000000"/>
              </a:solidFill>
              <a:prstDash val="solid"/>
            </a:ln>
          </spPr>
          <dPt>
            <idx val="0"/>
            <bubble3D val="0"/>
            <spPr>
              <a:solidFill>
                <a:srgbClr val="9999FF"/>
              </a:solidFill>
              <a:ln w="12700">
                <a:solidFill>
                  <a:srgbClr val="000000"/>
                </a:solidFill>
                <a:prstDash val="solid"/>
              </a:ln>
            </spPr>
          </dPt>
          <dPt>
            <idx val="1"/>
            <bubble3D val="0"/>
            <spPr>
              <a:ln>
                <a:prstDash val="solid"/>
              </a:ln>
            </spPr>
          </dPt>
          <dPt>
            <idx val="2"/>
            <bubble3D val="0"/>
            <spPr>
              <a:ln>
                <a:prstDash val="solid"/>
              </a:ln>
            </spPr>
          </dPt>
          <dLbls>
            <numFmt formatCode="0%"/>
            <spPr>
              <a:noFill/>
              <a:ln w="25400">
                <a:noFill/>
                <a:prstDash val="solid"/>
              </a:ln>
            </spPr>
            <txPr>
              <a:bodyPr wrap="square" lIns="38100" tIns="19050" rIns="38100" bIns="19050" anchor="ctr">
                <a:spAutoFit/>
              </a:bodyPr>
              <a:lstStyle/>
              <a:p>
                <a:pPr>
                  <a:defRPr sz="1100" b="0" i="0" strike="noStrike" baseline="0">
                    <a:solidFill>
                      <a:srgbClr val="000000"/>
                    </a:solidFill>
                    <a:latin typeface="ＭＳ Ｐゴシック"/>
                    <a:ea typeface="ＭＳ Ｐゴシック"/>
                    <a:cs typeface="ＭＳ Ｐゴシック"/>
                  </a:defRPr>
                </a:pPr>
                <a:r>
                  <a:t/>
                </a:r>
                <a:endParaRPr lang="en-US"/>
              </a:p>
            </txPr>
            <showLegendKey val="0"/>
            <showVal val="0"/>
            <showCatName val="1"/>
            <showSerName val="0"/>
            <showPercent val="1"/>
            <showBubbleSize val="0"/>
            <showLeaderLines val="1"/>
          </dLbls>
          <cat>
            <strRef>
              <f>'Test Report'!$C$11:$E$11</f>
              <strCache>
                <ptCount val="3"/>
                <pt idx="0">
                  <v>Passed</v>
                </pt>
                <pt idx="1">
                  <v>Failed</v>
                </pt>
                <pt idx="2">
                  <v>Untested</v>
                </pt>
              </strCache>
            </strRef>
          </cat>
          <val>
            <numRef>
              <f>'Test Report'!#REF!</f>
              <numCache>
                <formatCode>General</formatCode>
                <ptCount val="1"/>
                <pt idx="0">
                  <v>1</v>
                </pt>
              </numCache>
            </numRef>
          </val>
        </ser>
        <ser>
          <idx val="4"/>
          <order val="4"/>
          <spPr>
            <a:solidFill>
              <a:srgbClr val="660066"/>
            </a:solidFill>
            <a:ln w="12700">
              <a:solidFill>
                <a:srgbClr val="000000"/>
              </a:solidFill>
              <a:prstDash val="solid"/>
            </a:ln>
          </spPr>
          <dPt>
            <idx val="0"/>
            <bubble3D val="0"/>
            <spPr>
              <a:solidFill>
                <a:srgbClr val="9999FF"/>
              </a:solidFill>
              <a:ln w="12700">
                <a:solidFill>
                  <a:srgbClr val="000000"/>
                </a:solidFill>
                <a:prstDash val="solid"/>
              </a:ln>
            </spPr>
          </dPt>
          <dPt>
            <idx val="1"/>
            <bubble3D val="0"/>
            <spPr>
              <a:solidFill>
                <a:srgbClr val="993366"/>
              </a:solidFill>
              <a:ln w="12700">
                <a:solidFill>
                  <a:srgbClr val="000000"/>
                </a:solidFill>
                <a:prstDash val="solid"/>
              </a:ln>
            </spPr>
          </dPt>
          <dPt>
            <idx val="2"/>
            <bubble3D val="0"/>
            <spPr>
              <a:solidFill>
                <a:srgbClr val="FFFFCC"/>
              </a:solidFill>
              <a:ln w="12700">
                <a:solidFill>
                  <a:srgbClr val="000000"/>
                </a:solidFill>
                <a:prstDash val="solid"/>
              </a:ln>
            </spPr>
          </dPt>
          <dLbls>
            <numFmt formatCode="0%"/>
            <spPr>
              <a:noFill/>
              <a:ln w="25400">
                <a:noFill/>
                <a:prstDash val="solid"/>
              </a:ln>
            </spPr>
            <txPr>
              <a:bodyPr wrap="square" lIns="38100" tIns="19050" rIns="38100" bIns="19050" anchor="ctr">
                <a:spAutoFit/>
              </a:bodyPr>
              <a:lstStyle/>
              <a:p>
                <a:pPr>
                  <a:defRPr sz="1100" b="0" i="0" strike="noStrike" baseline="0">
                    <a:solidFill>
                      <a:srgbClr val="000000"/>
                    </a:solidFill>
                    <a:latin typeface="ＭＳ Ｐゴシック"/>
                    <a:ea typeface="ＭＳ Ｐゴシック"/>
                    <a:cs typeface="ＭＳ Ｐゴシック"/>
                  </a:defRPr>
                </a:pPr>
                <a:r>
                  <a:t/>
                </a:r>
                <a:endParaRPr lang="en-US"/>
              </a:p>
            </txPr>
            <showLegendKey val="0"/>
            <showVal val="0"/>
            <showCatName val="1"/>
            <showSerName val="0"/>
            <showPercent val="1"/>
            <showBubbleSize val="0"/>
            <showLeaderLines val="1"/>
          </dLbls>
          <cat>
            <strRef>
              <f>'Test Report'!$C$11:$E$11</f>
              <strCache>
                <ptCount val="3"/>
                <pt idx="0">
                  <v>Passed</v>
                </pt>
                <pt idx="1">
                  <v>Failed</v>
                </pt>
                <pt idx="2">
                  <v>Untested</v>
                </pt>
              </strCache>
            </strRef>
          </cat>
          <val>
            <numRef>
              <f>'Test Report'!$C$96:$E$96</f>
              <numCache>
                <formatCode>General</formatCode>
                <ptCount val="3"/>
                <pt idx="0">
                  <v>255</v>
                </pt>
                <pt idx="1">
                  <v>0</v>
                </pt>
                <pt idx="2">
                  <v>0</v>
                </pt>
              </numCache>
            </numRef>
          </val>
        </ser>
        <dLbls>
          <showLegendKey val="0"/>
          <showVal val="0"/>
          <showCatName val="0"/>
          <showSerName val="0"/>
          <showPercent val="0"/>
          <showBubbleSize val="0"/>
          <showLeaderLines val="1"/>
        </dLbls>
        <firstSliceAng val="0"/>
      </pieChart>
    </plotArea>
    <legend>
      <legendPos val="r"/>
      <layout>
        <manualLayout>
          <xMode val="edge"/>
          <yMode val="edge"/>
          <wMode val="factor"/>
          <hMode val="factor"/>
          <x val="0.7802938320237273"/>
          <y val="0.4365213990528924"/>
          <w val="0.1905890106954506"/>
          <h val="0.3015966029819984"/>
        </manualLayout>
      </layout>
      <overlay val="0"/>
      <spPr>
        <a:solidFill>
          <a:srgbClr val="FFFFFF"/>
        </a:solidFill>
        <a:ln w="3175">
          <a:solidFill>
            <a:srgbClr val="000000"/>
          </a:solidFill>
          <a:prstDash val="solid"/>
        </a:ln>
      </spPr>
      <txPr>
        <a:bodyPr/>
        <a:lstStyle/>
        <a:p>
          <a:pPr>
            <a:defRPr sz="780" b="0" i="0" strike="noStrike" baseline="0">
              <a:solidFill>
                <a:srgbClr val="000000"/>
              </a:solidFill>
              <a:latin typeface="ＭＳ Ｐゴシック"/>
              <a:ea typeface="ＭＳ Ｐゴシック"/>
              <a:cs typeface="ＭＳ Ｐゴシック"/>
            </a:defRPr>
          </a:pPr>
          <a:r>
            <a:t/>
          </a:r>
          <a:endParaRPr lang="en-US"/>
        </a:p>
      </txPr>
    </legend>
    <plotVisOnly val="1"/>
    <dispBlanksAs val="zero"/>
  </chart>
  <spPr>
    <a:solidFill>
      <a:srgbClr val="FFFFFF"/>
    </a:solidFill>
    <a:ln w="3175">
      <a:solidFill>
        <a:srgbClr val="000000"/>
      </a:solidFill>
      <a:prstDash val="solid"/>
    </a:ln>
  </spPr>
</chartSpace>
</file>

<file path=xl/comments/comment1.xml><?xml version="1.0" encoding="utf-8"?>
<comments xmlns="http://schemas.openxmlformats.org/spreadsheetml/2006/main">
  <authors>
    <author>None</author>
  </authors>
  <commentList>
    <comment ref="D11" authorId="0" shapeId="0">
      <text>
        <t xml:space="preserve">*A: Add
  M: Modify
  D: Delete
</t>
      </text>
    </comment>
  </commentList>
</comments>
</file>

<file path=xl/comments/comment2.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Not mandatory</t>
      </text>
    </comment>
  </commentList>
</comments>
</file>

<file path=xl/comments/comment3.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Not mandatory</t>
      </text>
    </comment>
  </commentList>
</comments>
</file>

<file path=xl/comments/comment4.xml><?xml version="1.0" encoding="utf-8"?>
<comments xmlns="http://schemas.openxmlformats.org/spreadsheetml/2006/main">
  <authors>
    <author>Nguyen Hoang Anh</author>
    <author>ANa</author>
  </authors>
  <commentList>
    <comment ref="A5" authorId="0" shapeId="0">
      <text>
        <t xml:space="preserve">
Not mandatory
</t>
      </text>
    </comment>
    <comment ref="C10" authorId="1" shapeId="0">
      <text>
        <t xml:space="preserve">
Not mandatory</t>
      </text>
    </comment>
  </commentList>
</comments>
</file>

<file path=xl/comments/comment5.xml><?xml version="1.0" encoding="utf-8"?>
<comments xmlns="http://schemas.openxmlformats.org/spreadsheetml/2006/main">
  <authors>
    <author>Nguyen Hoang Anh</author>
    <author>ANa</author>
  </authors>
  <commentList>
    <comment ref="A5" authorId="0" shapeId="0">
      <text>
        <t xml:space="preserve">
Not mandatory
</t>
      </text>
    </comment>
    <comment ref="C10" authorId="1" shapeId="0">
      <text>
        <t>Not mandatory</t>
      </text>
    </comment>
  </commentList>
</comments>
</file>

<file path=xl/comments/comment6.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7.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8.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9.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10.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11.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12.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13.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14.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15.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16.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17.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18.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19.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20.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21.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22.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23.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24.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25.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26.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27.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28.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29.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30.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31.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32.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33.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34.xml><?xml version="1.0" encoding="utf-8"?>
<comments xmlns="http://schemas.openxmlformats.org/spreadsheetml/2006/main">
  <authors>
    <author>Nguyen Hoang Anh</author>
    <author>ANa</author>
  </authors>
  <commentList>
    <comment ref="A4" authorId="0" shapeId="0">
      <text>
        <t xml:space="preserve">Not mandatory
</t>
      </text>
    </comment>
    <comment ref="C9" authorId="1" shapeId="0">
      <text>
        <t xml:space="preserve">
Not mandatory</t>
      </text>
    </comment>
  </commentList>
</comments>
</file>

<file path=xl/comments/comment35.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36.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37.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38.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39.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40.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41.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Not mandatory</t>
      </text>
    </comment>
  </commentList>
</comments>
</file>

<file path=xl/comments/comment42.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Not mandatory</t>
      </text>
    </comment>
  </commentList>
</comments>
</file>

<file path=xl/comments/comment43.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Not mandatory</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17</col>
      <colOff>98425</colOff>
      <row>1</row>
      <rowOff>222250</rowOff>
    </from>
    <to>
      <col>23</col>
      <colOff>12700</colOff>
      <row>16</row>
      <rowOff>28575</rowOff>
    </to>
    <graphicFrame>
      <nvGraphicFramePr>
        <cNvPr id="1" name="Chart 1"/>
        <cNvGraphicFramePr/>
      </nvGraphicFramePr>
      <xfrm/>
      <a:graphic>
        <a:graphicData uri="http://schemas.openxmlformats.org/drawingml/2006/chart">
          <c:chart r:id="rId1"/>
        </a:graphicData>
      </a:graphic>
    </graphicFrame>
    <clientData/>
  </twoCellAnchor>
  <twoCellAnchor>
    <from>
      <col>9</col>
      <colOff>1752600</colOff>
      <row>1</row>
      <rowOff>139700</rowOff>
    </from>
    <to>
      <col>16</col>
      <colOff>285749</colOff>
      <row>16</row>
      <rowOff>146050</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List Contracts'!A1" TargetMode="External" Id="rId1" /><Relationship Type="http://schemas.openxmlformats.org/officeDocument/2006/relationships/hyperlink" Target="#'Fund Milestone'!A1" TargetMode="External" Id="rId2" /><Relationship Type="http://schemas.openxmlformats.org/officeDocument/2006/relationships/hyperlink" Target="#'Audit Spec'!A1" TargetMode="External" Id="rId3"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4.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5.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6.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7.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8.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9.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0.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1.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2.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3.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4.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5.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6.xml.rels><Relationships xmlns="http://schemas.openxmlformats.org/package/2006/relationships"><Relationship Type="http://schemas.openxmlformats.org/officeDocument/2006/relationships/hyperlink" Target="mailto:test@example.com" TargetMode="External" Id="rId1" /><Relationship Type="http://schemas.openxmlformats.org/officeDocument/2006/relationships/hyperlink" Target="mailto:nonexistent@example.com" TargetMode="External" Id="rId2" /><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7.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28.xml.rels><Relationships xmlns="http://schemas.openxmlformats.org/package/2006/relationships"><Relationship Type="http://schemas.openxmlformats.org/officeDocument/2006/relationships/hyperlink" Target="mailto:test@example.com" TargetMode="External" Id="rId1" /><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29.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30.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31.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2.xml.rels><Relationships xmlns="http://schemas.openxmlformats.org/package/2006/relationships"><Relationship Type="http://schemas.openxmlformats.org/officeDocument/2006/relationships/hyperlink" Target="mailto:user@example.com" TargetMode="External" Id="rId1" /><Relationship Type="http://schemas.openxmlformats.org/officeDocument/2006/relationships/hyperlink" Target="mailto:invalid@example.com" TargetMode="External" Id="rId2" /><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3.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4.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5.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6.xml.rels><Relationships xmlns="http://schemas.openxmlformats.org/package/2006/relationships"><Relationship Type="http://schemas.openxmlformats.org/officeDocument/2006/relationships/hyperlink" Target="mailto:user1@example.com" TargetMode="External" Id="rId1" /><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37.xml.rels><Relationships xmlns="http://schemas.openxmlformats.org/package/2006/relationships"><Relationship Type="http://schemas.openxmlformats.org/officeDocument/2006/relationships/hyperlink" Target="http://example.com/file.pdf" TargetMode="External" Id="rId1" /><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38.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39.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40.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41.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42.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_rels/sheet43.xml.rels><Relationships xmlns="http://schemas.openxmlformats.org/package/2006/relationships"><Relationship Type="http://schemas.openxmlformats.org/officeDocument/2006/relationships/comments" Target="/xl/comments/comment40.xml" Id="comments" /><Relationship Type="http://schemas.openxmlformats.org/officeDocument/2006/relationships/vmlDrawing" Target="/xl/drawings/commentsDrawing40.vml" Id="anysvml" /></Relationships>
</file>

<file path=xl/worksheets/_rels/sheet44.xml.rels><Relationships xmlns="http://schemas.openxmlformats.org/package/2006/relationships"><Relationship Type="http://schemas.openxmlformats.org/officeDocument/2006/relationships/comments" Target="/xl/comments/comment41.xml" Id="comments" /><Relationship Type="http://schemas.openxmlformats.org/officeDocument/2006/relationships/vmlDrawing" Target="/xl/drawings/commentsDrawing41.vml" Id="anysvml" /></Relationships>
</file>

<file path=xl/worksheets/_rels/sheet45.xml.rels><Relationships xmlns="http://schemas.openxmlformats.org/package/2006/relationships"><Relationship Type="http://schemas.openxmlformats.org/officeDocument/2006/relationships/comments" Target="/xl/comments/comment42.xml" Id="comments" /><Relationship Type="http://schemas.openxmlformats.org/officeDocument/2006/relationships/vmlDrawing" Target="/xl/drawings/commentsDrawing42.vml" Id="anysvml" /></Relationships>
</file>

<file path=xl/worksheets/_rels/sheet46.xml.rels><Relationships xmlns="http://schemas.openxmlformats.org/package/2006/relationships"><Relationship Type="http://schemas.openxmlformats.org/officeDocument/2006/relationships/comments" Target="/xl/comments/comment43.xml" Id="comments" /><Relationship Type="http://schemas.openxmlformats.org/officeDocument/2006/relationships/vmlDrawing" Target="/xl/drawings/commentsDrawing43.vml" Id="anysvml" /></Relationships>
</file>

<file path=xl/worksheets/sheet1.xml><?xml version="1.0" encoding="utf-8"?>
<worksheet xmlns="http://schemas.openxmlformats.org/spreadsheetml/2006/main">
  <sheetPr>
    <outlinePr summaryBelow="1" summaryRight="1"/>
    <pageSetUpPr/>
  </sheetPr>
  <dimension ref="A1:D49"/>
  <sheetViews>
    <sheetView topLeftCell="A4" zoomScale="115" zoomScaleNormal="115" workbookViewId="0">
      <selection activeCell="A47" sqref="A47"/>
    </sheetView>
  </sheetViews>
  <sheetFormatPr baseColWidth="8" defaultColWidth="9" defaultRowHeight="14"/>
  <cols>
    <col width="119.453125" customWidth="1" style="133" min="1" max="1"/>
    <col width="11" customWidth="1" style="133" min="2" max="256"/>
    <col width="9" customWidth="1" style="133" min="257" max="16384"/>
  </cols>
  <sheetData>
    <row r="1" ht="22" customFormat="1" customHeight="1" s="130">
      <c r="A1" s="129" t="inlineStr">
        <is>
          <t>Guideline to make and understand Unit Test Case</t>
        </is>
      </c>
    </row>
    <row r="2" ht="22" customFormat="1" customHeight="1" s="130">
      <c r="A2" s="129" t="n"/>
    </row>
    <row r="3" ht="17.5" customFormat="1" customHeight="1" s="131">
      <c r="A3" s="134" t="inlineStr">
        <is>
          <t>1. Overview</t>
        </is>
      </c>
    </row>
    <row r="4" ht="15" customHeight="1" s="426">
      <c r="A4" s="137" t="inlineStr">
        <is>
          <t xml:space="preserve"> - In the template, Unit test cases are based on functions. Each sheet presents test cases for one function.</t>
        </is>
      </c>
    </row>
    <row r="5" ht="15" customHeight="1" s="426">
      <c r="A5" s="137" t="inlineStr">
        <is>
          <t xml:space="preserve"> - Cover: General information of the project and Unit Test cases</t>
        </is>
      </c>
    </row>
    <row r="6" ht="37.5" customHeight="1" s="426">
      <c r="A6" s="138" t="inlineStr">
        <is>
          <t xml:space="preserve"> - FunctionList: The list of Classes and Functions in the document. 
     + To control that the number of Unit TC meets customer's requirement or the norm, user should fill value for  
     'Normal number of Test cases/KLOC'. </t>
        </is>
      </c>
    </row>
    <row r="7" ht="29.25" customHeight="1" s="426">
      <c r="A7" s="138" t="inlineStr">
        <is>
          <t xml:space="preserve">     + Click on Function link to open the related Test cases of the function.  
     Note: You should create new Function sheet before creating the link</t>
        </is>
      </c>
    </row>
    <row r="8" ht="30" customHeight="1" s="426">
      <c r="A8" s="139" t="inlineStr">
        <is>
          <t xml:space="preserve"> - Test Report: provive the overview results of Functions Unit test: Test coverage, Test successful coverage 
    (Summary, for normal/abnormal/boundary cases)</t>
        </is>
      </c>
    </row>
    <row r="9" ht="16.5" customFormat="1" customHeight="1" s="142">
      <c r="A9" s="141" t="inlineStr">
        <is>
          <t xml:space="preserve">     Note:  Should check the formula of "Sub Total" if you add more functions</t>
        </is>
      </c>
    </row>
    <row r="10" ht="16.5" customHeight="1" s="426">
      <c r="A10" s="132" t="n"/>
    </row>
    <row r="11" ht="17.5" customFormat="1" customHeight="1" s="131">
      <c r="A11" s="134" t="inlineStr">
        <is>
          <t>2. Content in Test function sheet</t>
        </is>
      </c>
    </row>
    <row r="12" ht="15" customFormat="1" customHeight="1" s="135">
      <c r="A12" s="140" t="inlineStr">
        <is>
          <t>2.1 Combination of test cases.</t>
        </is>
      </c>
    </row>
    <row r="13" ht="37.5" customHeight="1" s="426">
      <c r="A13" s="137" t="inlineStr">
        <is>
          <t xml:space="preserve"> - To verify that number of Unit TC meets customer's requirement or not. User has to fill number LOC of tested function and fill value of 'Normal number test cases/KLOC' item in FunctionList sheet, which is required by customer or normal value. The number of lacked TC is shown in 'Lack of test cases' item.</t>
        </is>
      </c>
    </row>
    <row r="14">
      <c r="A14" s="137" t="inlineStr">
        <is>
          <t xml:space="preserve"> - If the number of Unit TC does not meet the requirement, creator should explain the reasons.</t>
        </is>
      </c>
    </row>
    <row r="15" ht="25" customHeight="1" s="426">
      <c r="A15" s="138" t="inlineStr">
        <is>
          <t xml:space="preserve"> - If the number of  'Normal number test cases/KLOC' item in FunctionList sheet is not recorded, the number in 'Lack of test cases' is not calculated.</t>
        </is>
      </c>
    </row>
    <row r="16">
      <c r="A16" s="132" t="n"/>
    </row>
    <row r="17" ht="15" customFormat="1" customHeight="1" s="135">
      <c r="A17" s="140" t="inlineStr">
        <is>
          <t xml:space="preserve"> 2.2 Condition and confirmation of Test cases.</t>
        </is>
      </c>
    </row>
    <row r="18">
      <c r="A18" s="137" t="inlineStr">
        <is>
          <t xml:space="preserve"> Each test case is the combination of condition and confirmation.</t>
        </is>
      </c>
      <c r="B18" s="132" t="n"/>
    </row>
    <row r="19">
      <c r="A19" s="140" t="inlineStr">
        <is>
          <t>a. Condition:</t>
        </is>
      </c>
    </row>
    <row r="20">
      <c r="A20" s="137" t="inlineStr">
        <is>
          <t xml:space="preserve">        - Condition is combination of precondition and values of inputs.</t>
        </is>
      </c>
      <c r="B20" s="132" t="n"/>
    </row>
    <row r="21" ht="25" customHeight="1" s="426">
      <c r="A21" s="138" t="inlineStr">
        <is>
          <t xml:space="preserve">        - Precondition: it is setting condition that must exist before execution of the test case. 
                    Example: file A is precondition for the test case that needs to access file A.</t>
        </is>
      </c>
    </row>
    <row r="22">
      <c r="A22" s="137" t="inlineStr">
        <is>
          <t xml:space="preserve">        - Values of inputs: it includes 3 types of values: normal, boundary and abnormal.</t>
        </is>
      </c>
      <c r="B22" s="136" t="n"/>
    </row>
    <row r="23">
      <c r="A23" s="137" t="inlineStr">
        <is>
          <t xml:space="preserve">                . Normal values are values of inputs used mainly and usually to ensure the function works.</t>
        </is>
      </c>
      <c r="B23" s="132" t="n"/>
    </row>
    <row r="24">
      <c r="A24" s="137" t="inlineStr">
        <is>
          <t xml:space="preserve">                . Boundary values are limited values that contain upper and lower values.</t>
        </is>
      </c>
      <c r="B24" s="132" t="n"/>
    </row>
    <row r="25">
      <c r="A25" s="137" t="inlineStr">
        <is>
          <t xml:space="preserve">                . Abnormal values are non-expected values. And normally it processes exception cases.   </t>
        </is>
      </c>
      <c r="B25" s="132" t="n"/>
      <c r="C25" s="132" t="inlineStr">
        <is>
          <t> </t>
        </is>
      </c>
      <c r="D25" s="132" t="inlineStr">
        <is>
          <t> </t>
        </is>
      </c>
    </row>
    <row r="26">
      <c r="A26" s="137" t="inlineStr">
        <is>
          <t xml:space="preserve">        - For examples:</t>
        </is>
      </c>
    </row>
    <row r="27">
      <c r="A27" s="137" t="inlineStr">
        <is>
          <t xml:space="preserve">            Input value belongs to 5&lt;= input &lt;=10.</t>
        </is>
      </c>
      <c r="B27" s="132" t="n"/>
    </row>
    <row r="28">
      <c r="A28" s="137" t="inlineStr">
        <is>
          <t xml:space="preserve">               . 6,7,8,9 are normal values.</t>
        </is>
      </c>
    </row>
    <row r="29">
      <c r="A29" s="137" t="inlineStr">
        <is>
          <t xml:space="preserve">               . 5, 10 are boundary values.</t>
        </is>
      </c>
    </row>
    <row r="30">
      <c r="A30" s="137" t="inlineStr">
        <is>
          <t xml:space="preserve">               . -1, 11,... are abnormal values.   </t>
        </is>
      </c>
      <c r="B30" s="132" t="n"/>
      <c r="C30" s="132" t="inlineStr">
        <is>
          <t> </t>
        </is>
      </c>
    </row>
    <row r="31">
      <c r="A31" s="140" t="inlineStr">
        <is>
          <t xml:space="preserve">b. Confirmation: </t>
        </is>
      </c>
    </row>
    <row r="32" ht="30" customHeight="1" s="426">
      <c r="A32" s="138" t="inlineStr">
        <is>
          <t xml:space="preserve">        - It is combination of expected result to check output of each function. 
          If the results are the same with confirmation, the test case is passed, other case it is failed. </t>
        </is>
      </c>
    </row>
    <row r="33">
      <c r="A33" s="137" t="inlineStr">
        <is>
          <t xml:space="preserve">        - Confirmation can include:</t>
        </is>
      </c>
    </row>
    <row r="34">
      <c r="A34" s="137" t="inlineStr">
        <is>
          <t xml:space="preserve">                + Output result of the function.</t>
        </is>
      </c>
    </row>
    <row r="35">
      <c r="A35" s="137" t="inlineStr">
        <is>
          <t xml:space="preserve">                + Output log messages in log file.</t>
        </is>
      </c>
      <c r="B35" s="132" t="n"/>
    </row>
    <row r="36">
      <c r="A36" s="137" t="inlineStr">
        <is>
          <t xml:space="preserve">                + Output screen message...</t>
        </is>
      </c>
      <c r="B36" s="132" t="n"/>
    </row>
    <row r="37">
      <c r="A37" s="140" t="inlineStr">
        <is>
          <t>c. Type of test cases and result:</t>
        </is>
      </c>
    </row>
    <row r="38">
      <c r="A38" s="137" t="inlineStr">
        <is>
          <t xml:space="preserve">        - Type of test case: It includes normal, boundary and abnormal test cases. User selects the type based on the type of input data.</t>
        </is>
      </c>
    </row>
    <row r="39" ht="37.5" customHeight="1" s="426">
      <c r="A39" s="139" t="inlineStr">
        <is>
          <t xml:space="preserve">        - Test case result: the actual output results comparing with the Confirmation.
                 P for Passed and F for Failed cases.
          It can 'OK' or 'NG' (it depends on habit of the teams or customers)</t>
        </is>
      </c>
      <c r="B39" s="132" t="n"/>
    </row>
    <row r="40">
      <c r="A40" s="139" t="n"/>
      <c r="B40" s="132" t="n"/>
    </row>
    <row r="41" ht="15" customFormat="1" customHeight="1" s="135">
      <c r="A41" s="140" t="inlineStr">
        <is>
          <t xml:space="preserve"> 2.3. Other items:</t>
        </is>
      </c>
    </row>
    <row r="42">
      <c r="A42" s="137" t="inlineStr">
        <is>
          <t xml:space="preserve"> - Function Code: it is ID of the function and updated automatically according to FunctionList sheet.</t>
        </is>
      </c>
    </row>
    <row r="43">
      <c r="A43" s="137" t="inlineStr">
        <is>
          <t xml:space="preserve"> - Function Name: it is name  of the function and updated automatically according to FunctionList sheet.</t>
        </is>
      </c>
    </row>
    <row r="44">
      <c r="A44" s="137" t="inlineStr">
        <is>
          <t xml:space="preserve"> - Created By: Name of creator.</t>
        </is>
      </c>
    </row>
    <row r="45">
      <c r="A45" s="137" t="inlineStr">
        <is>
          <t xml:space="preserve"> - Executed By: Name of person who executes the unit test</t>
        </is>
      </c>
    </row>
    <row r="46">
      <c r="A46" s="137" t="inlineStr">
        <is>
          <t xml:space="preserve"> - Lines of code: Number of Code line of the function.</t>
        </is>
      </c>
    </row>
    <row r="47">
      <c r="A47" s="137" t="inlineStr">
        <is>
          <t xml:space="preserve"> - Test requirement: Brief description about requirements which are tested in this function, it is not mandatory.</t>
        </is>
      </c>
    </row>
    <row r="48">
      <c r="A48" s="132" t="inlineStr">
        <is>
          <t>         </t>
        </is>
      </c>
    </row>
    <row r="49">
      <c r="A49" s="132" t="n"/>
    </row>
  </sheetData>
  <pageMargins left="0.75" right="0.75" top="0.7" bottom="0.65" header="0.5" footer="0.5"/>
  <pageSetup orientation="portrait"/>
</worksheet>
</file>

<file path=xl/worksheets/sheet2.xml><?xml version="1.0" encoding="utf-8"?>
<worksheet xmlns="http://schemas.openxmlformats.org/spreadsheetml/2006/main">
  <sheetPr>
    <outlinePr summaryBelow="1" summaryRight="1"/>
    <pageSetUpPr/>
  </sheetPr>
  <dimension ref="A2:F26"/>
  <sheetViews>
    <sheetView topLeftCell="A2" zoomScaleNormal="100" workbookViewId="0">
      <selection activeCell="F7" sqref="F7"/>
    </sheetView>
  </sheetViews>
  <sheetFormatPr baseColWidth="8" defaultColWidth="9" defaultRowHeight="12.5"/>
  <cols>
    <col width="28.1796875" customWidth="1" style="21" min="1" max="1"/>
    <col width="10" customWidth="1" style="2" min="2" max="2"/>
    <col width="14.453125" customWidth="1" style="2" min="3" max="3"/>
    <col width="8" customWidth="1" style="2" min="4" max="4"/>
    <col width="100.90625" customWidth="1" style="2" min="5" max="5"/>
    <col width="48.1796875" customWidth="1" style="2" min="6" max="6"/>
    <col width="11" customWidth="1" style="2" min="7" max="256"/>
    <col width="9" customWidth="1" style="2" min="257" max="16384"/>
  </cols>
  <sheetData>
    <row r="2" ht="75.75" customFormat="1" customHeight="1" s="1">
      <c r="A2" s="245" t="n"/>
      <c r="B2" s="290" t="inlineStr">
        <is>
          <t>UNIT TEST CASE</t>
        </is>
      </c>
      <c r="C2" s="427" t="n"/>
      <c r="D2" s="427" t="n"/>
      <c r="E2" s="427" t="n"/>
      <c r="F2" s="428" t="n"/>
    </row>
    <row r="3">
      <c r="A3" s="3" t="n"/>
      <c r="B3" s="4" t="n"/>
      <c r="E3" s="5" t="n"/>
    </row>
    <row r="4" ht="14.25" customHeight="1" s="426">
      <c r="A4" s="143" t="inlineStr">
        <is>
          <t>Project Name</t>
        </is>
      </c>
      <c r="B4" s="291" t="inlineStr">
        <is>
          <t>Edu Resource Management</t>
        </is>
      </c>
      <c r="C4" s="427" t="n"/>
      <c r="D4" s="428" t="n"/>
      <c r="E4" s="143" t="inlineStr">
        <is>
          <t>Creator</t>
        </is>
      </c>
      <c r="F4" s="6" t="inlineStr">
        <is>
          <t>Nguyễn Hữu Duy</t>
        </is>
      </c>
    </row>
    <row r="5" ht="14.25" customHeight="1" s="426">
      <c r="A5" s="143" t="inlineStr">
        <is>
          <t>Project Code</t>
        </is>
      </c>
      <c r="B5" s="291" t="inlineStr">
        <is>
          <t>ERM</t>
        </is>
      </c>
      <c r="C5" s="427" t="n"/>
      <c r="D5" s="428" t="n"/>
      <c r="E5" s="143" t="inlineStr">
        <is>
          <t>Reviewer/Approver</t>
        </is>
      </c>
      <c r="F5" s="6" t="inlineStr">
        <is>
          <t>Nguyễn Chí Hậu</t>
        </is>
      </c>
    </row>
    <row r="6" ht="15.75" customHeight="1" s="426">
      <c r="A6" s="292" t="inlineStr">
        <is>
          <t>Document Code</t>
        </is>
      </c>
      <c r="B6" s="293">
        <f>B5&amp;"_"&amp;"XXX"&amp;"_"&amp;"vx.x"</f>
        <v/>
      </c>
      <c r="C6" s="429" t="n"/>
      <c r="D6" s="430" t="n"/>
      <c r="E6" s="143" t="inlineStr">
        <is>
          <t>Issue Date</t>
        </is>
      </c>
      <c r="F6" s="243" t="n">
        <v>45694</v>
      </c>
    </row>
    <row r="7" ht="13.5" customHeight="1" s="426">
      <c r="A7" s="431" t="n"/>
      <c r="B7" s="432" t="n"/>
      <c r="C7" s="433" t="n"/>
      <c r="D7" s="434" t="n"/>
      <c r="E7" s="143" t="inlineStr">
        <is>
          <t>Version</t>
        </is>
      </c>
      <c r="F7" s="244" t="n">
        <v>1.7</v>
      </c>
    </row>
    <row r="8">
      <c r="A8" s="144" t="n"/>
      <c r="B8" s="7" t="n"/>
      <c r="E8" s="8" t="n"/>
      <c r="F8" s="4" t="n"/>
    </row>
    <row r="9">
      <c r="A9" s="2" t="n"/>
    </row>
    <row r="10">
      <c r="A10" s="145" t="inlineStr">
        <is>
          <t>Record of change</t>
        </is>
      </c>
    </row>
    <row r="11" customFormat="1" s="9">
      <c r="A11" s="10" t="inlineStr">
        <is>
          <t>Effective Date</t>
        </is>
      </c>
      <c r="B11" s="11" t="inlineStr">
        <is>
          <t>Version</t>
        </is>
      </c>
      <c r="C11" s="11" t="inlineStr">
        <is>
          <t>Change Item</t>
        </is>
      </c>
      <c r="D11" s="11" t="inlineStr">
        <is>
          <t>*A,D,M</t>
        </is>
      </c>
      <c r="E11" s="11" t="inlineStr">
        <is>
          <t>Change description</t>
        </is>
      </c>
      <c r="F11" s="12" t="inlineStr">
        <is>
          <t>Reference</t>
        </is>
      </c>
    </row>
    <row r="12" ht="26.25" customFormat="1" customHeight="1" s="13">
      <c r="A12" s="271" t="n">
        <v>45700</v>
      </c>
      <c r="B12" s="14" t="inlineStr">
        <is>
          <t>1</t>
        </is>
      </c>
      <c r="C12" s="15" t="n"/>
      <c r="D12" s="15" t="inlineStr">
        <is>
          <t>A</t>
        </is>
      </c>
      <c r="E12" s="16" t="inlineStr">
        <is>
          <t>Add Test for Get All Room, Get Room Detail, Add Room, Update Room and Entry Excel To Room</t>
        </is>
      </c>
      <c r="F12" s="127" t="inlineStr">
        <is>
          <t>ERM_V.1</t>
        </is>
      </c>
    </row>
    <row r="13" ht="21.75" customFormat="1" customHeight="1" s="13">
      <c r="A13" s="279" t="n">
        <v>45700</v>
      </c>
      <c r="B13" s="14" t="inlineStr">
        <is>
          <t>1.2</t>
        </is>
      </c>
      <c r="C13" s="15" t="n"/>
      <c r="D13" s="15" t="inlineStr">
        <is>
          <t>A</t>
        </is>
      </c>
      <c r="E13" s="15" t="inlineStr">
        <is>
          <t>Add Test for Get All Roles, Get Roles Detail, Add New Role, Update Role</t>
        </is>
      </c>
      <c r="F13" s="17" t="n"/>
    </row>
    <row r="14" ht="19.5" customFormat="1" customHeight="1" s="13">
      <c r="A14" s="279" t="n">
        <v>45700</v>
      </c>
      <c r="B14" s="14" t="inlineStr">
        <is>
          <t>1.3</t>
        </is>
      </c>
      <c r="C14" s="15" t="n"/>
      <c r="D14" s="15" t="inlineStr">
        <is>
          <t>A</t>
        </is>
      </c>
      <c r="E14" s="15" t="inlineStr">
        <is>
          <t>Add Test for Get Facilities, Get Facility By Id, Add New Facility, Update Facility, Get Available Facility, Get All Facilities</t>
        </is>
      </c>
      <c r="F14" s="17" t="n"/>
    </row>
    <row r="15" ht="43" customFormat="1" customHeight="1" s="13">
      <c r="A15" s="279" t="n">
        <v>45702</v>
      </c>
      <c r="B15" s="14" t="inlineStr">
        <is>
          <t>1.4</t>
        </is>
      </c>
      <c r="C15" s="15" t="n"/>
      <c r="D15" s="15" t="inlineStr">
        <is>
          <t>A</t>
        </is>
      </c>
      <c r="E15" s="277" t="inlineStr">
        <is>
          <t>Add Test for Get Room Facilities By Room Id, Get Room Facility Detail, Add New Room Facility, Update Room Facility
and Delete Room Facility</t>
        </is>
      </c>
      <c r="F15" s="17" t="n"/>
    </row>
    <row r="16" ht="37" customFormat="1" customHeight="1" s="13">
      <c r="A16" s="279" t="n">
        <v>45706</v>
      </c>
      <c r="B16" s="14" t="inlineStr">
        <is>
          <t>1.5</t>
        </is>
      </c>
      <c r="C16" s="15" t="n"/>
      <c r="D16" s="15" t="inlineStr">
        <is>
          <t>A</t>
        </is>
      </c>
      <c r="E16" s="277" t="inlineStr">
        <is>
          <t>Add Test for Get User by Email, Get User by Usercode, Get All Users, Add New User, Edit Password, Get User Profile,
Update User Profile, Change User Status, Entry Excel to User and Login</t>
        </is>
      </c>
      <c r="F16" s="17" t="n"/>
    </row>
    <row r="17" ht="21.75" customFormat="1" customHeight="1" s="13">
      <c r="A17" s="279" t="n">
        <v>45708</v>
      </c>
      <c r="B17" s="14" t="inlineStr">
        <is>
          <t>1.6</t>
        </is>
      </c>
      <c r="C17" s="15" t="n"/>
      <c r="D17" s="15" t="inlineStr">
        <is>
          <t>A</t>
        </is>
      </c>
      <c r="E17" s="15" t="inlineStr">
        <is>
          <t>Add Test Cases for Borrowing</t>
        </is>
      </c>
      <c r="F17" s="17" t="n"/>
    </row>
    <row r="18" ht="21.75" customFormat="1" customHeight="1" s="13">
      <c r="A18" s="283" t="n">
        <v>45709</v>
      </c>
      <c r="B18" s="18" t="inlineStr">
        <is>
          <t>1.7</t>
        </is>
      </c>
      <c r="C18" s="19" t="n"/>
      <c r="D18" s="19" t="inlineStr">
        <is>
          <t>A</t>
        </is>
      </c>
      <c r="E18" s="19" t="inlineStr">
        <is>
          <t>Add Test Cases for Permissions</t>
        </is>
      </c>
      <c r="F18" s="289" t="n"/>
    </row>
    <row r="19" ht="21.75" customFormat="1" customHeight="1" s="13">
      <c r="A19" s="283" t="n"/>
      <c r="B19" s="287" t="n"/>
      <c r="C19" s="288" t="n"/>
      <c r="D19" s="288" t="n"/>
      <c r="E19" s="288" t="n"/>
      <c r="F19" s="289" t="n"/>
    </row>
    <row r="20" ht="21.75" customFormat="1" customHeight="1" s="13">
      <c r="A20" s="286" t="n"/>
      <c r="B20" s="287" t="n"/>
      <c r="C20" s="288" t="n"/>
      <c r="D20" s="288" t="n"/>
      <c r="E20" s="288" t="n"/>
      <c r="F20" s="289" t="n"/>
    </row>
    <row r="21" ht="21.75" customFormat="1" customHeight="1" s="13">
      <c r="A21" s="286" t="n"/>
      <c r="B21" s="287" t="n"/>
      <c r="C21" s="288" t="n"/>
      <c r="D21" s="288" t="n"/>
      <c r="E21" s="288" t="n"/>
      <c r="F21" s="289" t="n"/>
    </row>
    <row r="22" ht="21.75" customFormat="1" customHeight="1" s="13">
      <c r="A22" s="286" t="n"/>
      <c r="B22" s="287" t="n"/>
      <c r="C22" s="288" t="n"/>
      <c r="D22" s="288" t="n"/>
      <c r="E22" s="288" t="n"/>
      <c r="F22" s="289" t="n"/>
    </row>
    <row r="23" ht="21.75" customFormat="1" customHeight="1" s="13">
      <c r="A23" s="286" t="n"/>
      <c r="B23" s="287" t="n"/>
      <c r="C23" s="288" t="n"/>
      <c r="D23" s="288" t="n"/>
      <c r="E23" s="288" t="n"/>
      <c r="F23" s="289" t="n"/>
    </row>
    <row r="24" ht="21.75" customFormat="1" customHeight="1" s="13">
      <c r="A24" s="286" t="n"/>
      <c r="B24" s="287" t="n"/>
      <c r="C24" s="288" t="n"/>
      <c r="D24" s="288" t="n"/>
      <c r="E24" s="288" t="n"/>
      <c r="F24" s="289" t="n"/>
    </row>
    <row r="25" ht="21.75" customFormat="1" customHeight="1" s="13">
      <c r="A25" s="286" t="n"/>
      <c r="B25" s="287" t="n"/>
      <c r="C25" s="288" t="n"/>
      <c r="D25" s="288" t="n"/>
      <c r="E25" s="288" t="n"/>
      <c r="F25" s="289" t="n"/>
    </row>
    <row r="26" ht="19.5" customFormat="1" customHeight="1" s="13">
      <c r="A26" s="283" t="n"/>
      <c r="B26" s="18" t="n"/>
      <c r="C26" s="19" t="n"/>
      <c r="D26" s="19" t="n"/>
      <c r="E26" s="19" t="n"/>
      <c r="F26" s="20" t="n"/>
    </row>
  </sheetData>
  <mergeCells count="5">
    <mergeCell ref="B5:D5"/>
    <mergeCell ref="B6:D7"/>
    <mergeCell ref="B2:F2"/>
    <mergeCell ref="B4:D4"/>
    <mergeCell ref="A6:A7"/>
  </mergeCells>
  <pageMargins left="0.4701388888888889" right="0.4701388888888889" top="0.5" bottom="0.3513888888888889" header="0.5118055555555556" footer="0.1701388888888889"/>
  <pageSetup orientation="landscape" paperSize="9" firstPageNumber="0" horizontalDpi="300" verticalDpi="300"/>
  <headerFooter alignWithMargins="0">
    <oddHeader/>
    <oddFooter>&amp;L&amp;"Tahoma,Regular"&amp;8 02ae-BM/PM/HDCV/FSOFT v2/1&amp;C&amp;"Tahoma,Regular"&amp;8 Internal use&amp;R&amp;"tahomaTahoma,Regular"&amp;8 &amp;P/&amp;N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105"/>
  <sheetViews>
    <sheetView tabSelected="1" topLeftCell="A10" zoomScaleNormal="100" workbookViewId="0">
      <selection activeCell="L54" sqref="L54"/>
    </sheetView>
  </sheetViews>
  <sheetFormatPr baseColWidth="8" defaultColWidth="9" defaultRowHeight="12.5"/>
  <cols>
    <col width="7.1796875" customWidth="1" style="48" min="1" max="1"/>
    <col width="22.81640625" customWidth="1" style="48" min="2" max="2"/>
    <col width="19.36328125" customWidth="1" style="48" min="3" max="3"/>
    <col width="30.81640625" customWidth="1" style="22" min="4" max="4"/>
    <col width="24.90625" customWidth="1" style="23" min="5" max="5"/>
    <col width="31.81640625" customWidth="1" style="22" min="6" max="6"/>
    <col width="30.6328125" customWidth="1" style="22" min="7" max="7"/>
    <col width="33.81640625" customWidth="1" style="22" min="8" max="8"/>
    <col width="11" customWidth="1" style="5" min="9" max="256"/>
    <col width="9" customWidth="1" style="5" min="257" max="16384"/>
  </cols>
  <sheetData>
    <row r="1">
      <c r="A1" s="255" t="n"/>
      <c r="B1" s="255" t="n"/>
      <c r="C1" s="255" t="n"/>
      <c r="D1" s="250" t="n"/>
      <c r="E1" s="253" t="n"/>
      <c r="F1" s="250" t="n"/>
      <c r="G1" s="250" t="n"/>
      <c r="H1" s="250" t="n"/>
    </row>
    <row r="2" ht="24.5" customHeight="1" s="426">
      <c r="A2" s="249" t="n"/>
      <c r="B2" s="249" t="n"/>
      <c r="C2" s="249" t="n"/>
      <c r="D2" s="250" t="n"/>
      <c r="E2" s="251" t="inlineStr">
        <is>
          <t>UNIT TEST CASE LIST</t>
        </is>
      </c>
      <c r="F2" s="251" t="n"/>
      <c r="G2" s="252" t="n"/>
      <c r="H2" s="250" t="n"/>
    </row>
    <row r="3" ht="13.5" customHeight="1" s="426">
      <c r="A3" s="249" t="n"/>
      <c r="B3" s="249" t="n"/>
      <c r="C3" s="249" t="n"/>
      <c r="D3" s="250" t="n"/>
      <c r="E3" s="253" t="n"/>
      <c r="F3" s="254" t="n"/>
      <c r="G3" s="254" t="n"/>
      <c r="H3" s="250" t="n"/>
    </row>
    <row r="4" ht="14.25" customHeight="1" s="426">
      <c r="A4" s="295" t="inlineStr">
        <is>
          <t>Project Name</t>
        </is>
      </c>
      <c r="B4" s="427" t="n"/>
      <c r="C4" s="427" t="n"/>
      <c r="D4" s="427" t="n"/>
      <c r="E4" s="435" t="inlineStr">
        <is>
          <t>Edu Resource Management</t>
        </is>
      </c>
      <c r="F4" s="427" t="n"/>
      <c r="G4" s="427" t="n"/>
      <c r="H4" s="428" t="n"/>
    </row>
    <row r="5" ht="14.25" customHeight="1" s="426">
      <c r="A5" s="295" t="inlineStr">
        <is>
          <t>Project Code</t>
        </is>
      </c>
      <c r="B5" s="427" t="n"/>
      <c r="C5" s="427" t="n"/>
      <c r="D5" s="427" t="n"/>
      <c r="E5" s="435" t="inlineStr">
        <is>
          <t>ERM</t>
        </is>
      </c>
      <c r="F5" s="427" t="n"/>
      <c r="G5" s="427" t="n"/>
      <c r="H5" s="428" t="n"/>
    </row>
    <row r="6" ht="14.25" customHeight="1" s="426">
      <c r="A6" s="436" t="inlineStr">
        <is>
          <t xml:space="preserve">Normal number of Test cases/KLOC </t>
        </is>
      </c>
      <c r="B6" s="427" t="n"/>
      <c r="C6" s="427" t="n"/>
      <c r="D6" s="428" t="n"/>
      <c r="E6" s="296" t="n">
        <v>300</v>
      </c>
      <c r="F6" s="297" t="n"/>
      <c r="G6" s="297" t="n"/>
      <c r="H6" s="298" t="n"/>
    </row>
    <row r="7" ht="12.75" customFormat="1" customHeight="1" s="24">
      <c r="A7" s="294" t="inlineStr">
        <is>
          <t>Test Environment Setup Description</t>
        </is>
      </c>
      <c r="B7" s="427" t="n"/>
      <c r="C7" s="427" t="n"/>
      <c r="D7" s="428" t="n"/>
      <c r="E7" s="437" t="inlineStr">
        <is>
          <t>1. SQL Server</t>
        </is>
      </c>
      <c r="F7" s="427" t="n"/>
      <c r="G7" s="427" t="n"/>
      <c r="H7" s="428" t="n"/>
    </row>
    <row r="8" ht="12.75" customHeight="1" s="426">
      <c r="A8" s="25" t="n"/>
      <c r="B8" s="25" t="n"/>
      <c r="C8" s="25" t="n"/>
      <c r="D8" s="5" t="n"/>
      <c r="E8" s="24" t="n"/>
      <c r="F8" s="5" t="n"/>
      <c r="G8" s="5" t="n"/>
      <c r="H8" s="5" t="n"/>
    </row>
    <row r="9" ht="12.75" customFormat="1" customHeight="1" s="29">
      <c r="A9" s="26" t="n"/>
      <c r="B9" s="26" t="n"/>
      <c r="C9" s="26" t="n"/>
      <c r="D9" s="27" t="n"/>
      <c r="E9" s="28" t="n"/>
      <c r="F9" s="27" t="n"/>
      <c r="G9" s="27" t="n"/>
      <c r="H9" s="27" t="n"/>
    </row>
    <row r="10" ht="24" customFormat="1" customHeight="1" s="37">
      <c r="A10" s="30" t="inlineStr">
        <is>
          <t>No</t>
        </is>
      </c>
      <c r="B10" s="31" t="inlineStr">
        <is>
          <t>Requirement
Name</t>
        </is>
      </c>
      <c r="C10" s="32" t="inlineStr">
        <is>
          <t>Class Name</t>
        </is>
      </c>
      <c r="D10" s="33" t="inlineStr">
        <is>
          <t>Function Name</t>
        </is>
      </c>
      <c r="E10" s="34" t="inlineStr">
        <is>
          <t xml:space="preserve"> Function Code(Optional)</t>
        </is>
      </c>
      <c r="F10" s="33" t="inlineStr">
        <is>
          <t>Sheet Name</t>
        </is>
      </c>
      <c r="G10" s="35" t="inlineStr">
        <is>
          <t>Description</t>
        </is>
      </c>
      <c r="H10" s="36" t="inlineStr">
        <is>
          <t>Pre-Condition</t>
        </is>
      </c>
    </row>
    <row r="11" ht="13" customHeight="1" s="426">
      <c r="A11" s="128" t="n">
        <v>1</v>
      </c>
      <c r="B11" s="38" t="n"/>
      <c r="C11" s="38" t="inlineStr">
        <is>
          <t>Room</t>
        </is>
      </c>
      <c r="D11" s="39" t="inlineStr">
        <is>
          <t>Get All Room</t>
        </is>
      </c>
      <c r="E11" s="40" t="inlineStr">
        <is>
          <t>Room - 1</t>
        </is>
      </c>
      <c r="F11" s="258" t="inlineStr">
        <is>
          <t>Get All Room</t>
        </is>
      </c>
      <c r="G11" s="237" t="inlineStr">
        <is>
          <t>Get All Room with Detail</t>
        </is>
      </c>
      <c r="H11" s="41" t="inlineStr">
        <is>
          <t>Login as Authorize Account</t>
        </is>
      </c>
    </row>
    <row r="12" ht="13" customHeight="1" s="426">
      <c r="A12" s="128" t="n">
        <v>2</v>
      </c>
      <c r="B12" s="38" t="n"/>
      <c r="C12" s="38" t="inlineStr">
        <is>
          <t>Room</t>
        </is>
      </c>
      <c r="D12" s="39" t="inlineStr">
        <is>
          <t>Get Room Detail</t>
        </is>
      </c>
      <c r="E12" s="40" t="inlineStr">
        <is>
          <t>Room - 2</t>
        </is>
      </c>
      <c r="F12" s="257" t="inlineStr">
        <is>
          <t>Get Room Detail</t>
        </is>
      </c>
      <c r="G12" s="237" t="inlineStr">
        <is>
          <t>Get Room Detail of One Room</t>
        </is>
      </c>
      <c r="H12" s="41" t="inlineStr">
        <is>
          <t>Login as Authorize Account</t>
        </is>
      </c>
    </row>
    <row r="13" ht="13" customHeight="1" s="426">
      <c r="A13" s="128" t="n">
        <v>3</v>
      </c>
      <c r="B13" s="38" t="n"/>
      <c r="C13" s="38" t="inlineStr">
        <is>
          <t>Room</t>
        </is>
      </c>
      <c r="D13" s="39" t="inlineStr">
        <is>
          <t>Add Room</t>
        </is>
      </c>
      <c r="E13" s="40" t="inlineStr">
        <is>
          <t>Room - 3</t>
        </is>
      </c>
      <c r="F13" s="258" t="inlineStr">
        <is>
          <t>Add Room</t>
        </is>
      </c>
      <c r="G13" s="237" t="inlineStr">
        <is>
          <t>Add New Room</t>
        </is>
      </c>
      <c r="H13" s="41" t="inlineStr">
        <is>
          <t>Login as Authorize Account</t>
        </is>
      </c>
    </row>
    <row r="14" ht="13" customHeight="1" s="426">
      <c r="A14" s="128" t="n">
        <v>4</v>
      </c>
      <c r="B14" s="38" t="n"/>
      <c r="C14" s="38" t="inlineStr">
        <is>
          <t>Room</t>
        </is>
      </c>
      <c r="D14" s="39" t="inlineStr">
        <is>
          <t>Update Room</t>
        </is>
      </c>
      <c r="E14" s="40" t="inlineStr">
        <is>
          <t>Room - 4</t>
        </is>
      </c>
      <c r="F14" s="258" t="inlineStr">
        <is>
          <t>Update Room</t>
        </is>
      </c>
      <c r="G14" s="237" t="inlineStr">
        <is>
          <t>Update Existing Room</t>
        </is>
      </c>
      <c r="H14" s="41" t="inlineStr">
        <is>
          <t>Login as Authorize Account</t>
        </is>
      </c>
    </row>
    <row r="15" ht="13" customHeight="1" s="426">
      <c r="A15" s="128" t="n">
        <v>5</v>
      </c>
      <c r="B15" s="38" t="n"/>
      <c r="C15" s="38" t="inlineStr">
        <is>
          <t>Room</t>
        </is>
      </c>
      <c r="D15" s="39" t="inlineStr">
        <is>
          <t>Entry Excel To Room</t>
        </is>
      </c>
      <c r="E15" s="40" t="inlineStr">
        <is>
          <t>Room - 5</t>
        </is>
      </c>
      <c r="F15" s="258" t="inlineStr">
        <is>
          <t>Entry Excel To Room</t>
        </is>
      </c>
      <c r="G15" s="259" t="inlineStr">
        <is>
          <t>Entry Excel To Room</t>
        </is>
      </c>
      <c r="H15" s="41" t="inlineStr">
        <is>
          <t>Login as Authorize Account</t>
        </is>
      </c>
    </row>
    <row r="16" ht="13" customHeight="1" s="426">
      <c r="A16" s="128" t="n">
        <v>6</v>
      </c>
      <c r="B16" s="38" t="n"/>
      <c r="C16" s="38" t="inlineStr">
        <is>
          <t>Role</t>
        </is>
      </c>
      <c r="D16" s="39" t="inlineStr">
        <is>
          <t>Get All Role</t>
        </is>
      </c>
      <c r="E16" s="40" t="inlineStr">
        <is>
          <t>Role - 1</t>
        </is>
      </c>
      <c r="F16" s="258" t="inlineStr">
        <is>
          <t>Get All Roles</t>
        </is>
      </c>
      <c r="G16" s="42" t="inlineStr">
        <is>
          <t>Get All Roles</t>
        </is>
      </c>
      <c r="H16" s="41" t="inlineStr">
        <is>
          <t>Login as Authorize Account</t>
        </is>
      </c>
    </row>
    <row r="17" ht="13" customHeight="1" s="426">
      <c r="A17" s="128" t="n">
        <v>7</v>
      </c>
      <c r="B17" s="38" t="n"/>
      <c r="C17" s="38" t="inlineStr">
        <is>
          <t>Role</t>
        </is>
      </c>
      <c r="D17" s="39" t="inlineStr">
        <is>
          <t>Get Role Detail</t>
        </is>
      </c>
      <c r="E17" s="40" t="inlineStr">
        <is>
          <t>Role - 2</t>
        </is>
      </c>
      <c r="F17" s="258" t="inlineStr">
        <is>
          <t>Get Role Detail</t>
        </is>
      </c>
      <c r="G17" s="42" t="inlineStr">
        <is>
          <t>Get Role Detail</t>
        </is>
      </c>
      <c r="H17" s="41" t="inlineStr">
        <is>
          <t>Login as Authorize Account</t>
        </is>
      </c>
    </row>
    <row r="18" ht="13" customHeight="1" s="426">
      <c r="A18" s="128" t="n">
        <v>8</v>
      </c>
      <c r="B18" s="38" t="n"/>
      <c r="C18" s="38" t="inlineStr">
        <is>
          <t>Role</t>
        </is>
      </c>
      <c r="D18" s="39" t="inlineStr">
        <is>
          <t>Add New Role</t>
        </is>
      </c>
      <c r="E18" s="40" t="inlineStr">
        <is>
          <t>Role - 3</t>
        </is>
      </c>
      <c r="F18" s="258" t="inlineStr">
        <is>
          <t>Add New Role</t>
        </is>
      </c>
      <c r="G18" s="42" t="inlineStr">
        <is>
          <t>Add New Role into Database</t>
        </is>
      </c>
      <c r="H18" s="41" t="inlineStr">
        <is>
          <t>Login as Authorize Account</t>
        </is>
      </c>
    </row>
    <row r="19" ht="13" customHeight="1" s="426">
      <c r="A19" s="128" t="n">
        <v>9</v>
      </c>
      <c r="B19" s="38" t="n"/>
      <c r="C19" s="38" t="inlineStr">
        <is>
          <t>Role</t>
        </is>
      </c>
      <c r="D19" s="39" t="inlineStr">
        <is>
          <t>Update Role</t>
        </is>
      </c>
      <c r="E19" s="40" t="inlineStr">
        <is>
          <t>Role - 4</t>
        </is>
      </c>
      <c r="F19" s="258" t="inlineStr">
        <is>
          <t>Update Role</t>
        </is>
      </c>
      <c r="G19" s="42" t="inlineStr">
        <is>
          <t>Update Existing Role</t>
        </is>
      </c>
      <c r="H19" s="41" t="inlineStr">
        <is>
          <t>Login as Authorize Account</t>
        </is>
      </c>
    </row>
    <row r="20" ht="13" customHeight="1" s="426">
      <c r="A20" s="128" t="n">
        <v>10</v>
      </c>
      <c r="B20" s="38" t="n"/>
      <c r="C20" s="38" t="inlineStr">
        <is>
          <t>Facility</t>
        </is>
      </c>
      <c r="D20" s="39" t="inlineStr">
        <is>
          <t>Get Facilities</t>
        </is>
      </c>
      <c r="E20" s="40" t="inlineStr">
        <is>
          <t>Facility - 1</t>
        </is>
      </c>
      <c r="F20" s="258" t="inlineStr">
        <is>
          <t>Get Facilities</t>
        </is>
      </c>
      <c r="G20" s="42" t="inlineStr">
        <is>
          <t>Get Facility List by Role id</t>
        </is>
      </c>
      <c r="H20" s="41" t="inlineStr">
        <is>
          <t>Login as Authorize Account</t>
        </is>
      </c>
    </row>
    <row r="21" ht="13" customHeight="1" s="426">
      <c r="A21" s="128" t="n">
        <v>11</v>
      </c>
      <c r="B21" s="38" t="n"/>
      <c r="C21" s="38" t="inlineStr">
        <is>
          <t>Facility</t>
        </is>
      </c>
      <c r="D21" s="39" t="inlineStr">
        <is>
          <t>Get Facility By Id</t>
        </is>
      </c>
      <c r="E21" s="40" t="inlineStr">
        <is>
          <t>Facility - 2</t>
        </is>
      </c>
      <c r="F21" s="258" t="inlineStr">
        <is>
          <t>Get Facility By Id</t>
        </is>
      </c>
      <c r="G21" s="42" t="inlineStr">
        <is>
          <t>Get One Facility by Id</t>
        </is>
      </c>
      <c r="H21" s="41" t="inlineStr">
        <is>
          <t>Login as Authorize Account</t>
        </is>
      </c>
    </row>
    <row r="22" ht="13" customHeight="1" s="426">
      <c r="A22" s="128" t="n">
        <v>12</v>
      </c>
      <c r="B22" s="38" t="n"/>
      <c r="C22" s="38" t="inlineStr">
        <is>
          <t>Facility</t>
        </is>
      </c>
      <c r="D22" s="39" t="inlineStr">
        <is>
          <t>Add New Facility</t>
        </is>
      </c>
      <c r="E22" s="40" t="inlineStr">
        <is>
          <t>Facility - 3</t>
        </is>
      </c>
      <c r="F22" s="269" t="inlineStr">
        <is>
          <t>Add New Facility</t>
        </is>
      </c>
      <c r="G22" s="42" t="inlineStr">
        <is>
          <t>Add New Facility</t>
        </is>
      </c>
      <c r="H22" s="41" t="inlineStr">
        <is>
          <t>Login as Authorize Account</t>
        </is>
      </c>
    </row>
    <row r="23" ht="13" customHeight="1" s="426">
      <c r="A23" s="128" t="n">
        <v>13</v>
      </c>
      <c r="B23" s="43" t="n"/>
      <c r="C23" s="38" t="inlineStr">
        <is>
          <t>Facility</t>
        </is>
      </c>
      <c r="D23" s="44" t="inlineStr">
        <is>
          <t>Update Facility</t>
        </is>
      </c>
      <c r="E23" s="40" t="inlineStr">
        <is>
          <t>Facility - 4</t>
        </is>
      </c>
      <c r="F23" s="270" t="inlineStr">
        <is>
          <t>Update Facility</t>
        </is>
      </c>
      <c r="G23" s="46" t="inlineStr">
        <is>
          <t>Update Existing Facility</t>
        </is>
      </c>
      <c r="H23" s="41" t="inlineStr">
        <is>
          <t>Login as Authorize Account</t>
        </is>
      </c>
    </row>
    <row r="24" ht="13" customHeight="1" s="426">
      <c r="A24" s="128" t="n">
        <v>14</v>
      </c>
      <c r="B24" s="43" t="n"/>
      <c r="C24" s="38" t="inlineStr">
        <is>
          <t>Facility</t>
        </is>
      </c>
      <c r="D24" s="44" t="inlineStr">
        <is>
          <t>Get Available Facility</t>
        </is>
      </c>
      <c r="E24" s="40" t="inlineStr">
        <is>
          <t>Facility - 5</t>
        </is>
      </c>
      <c r="F24" s="270" t="inlineStr">
        <is>
          <t>Get Available Facility</t>
        </is>
      </c>
      <c r="G24" s="46" t="inlineStr">
        <is>
          <t>Get Available Facilities</t>
        </is>
      </c>
      <c r="H24" s="41" t="inlineStr">
        <is>
          <t>Login as Authorize Account</t>
        </is>
      </c>
    </row>
    <row r="25" ht="13" customHeight="1" s="426">
      <c r="A25" s="128" t="n">
        <v>15</v>
      </c>
      <c r="B25" s="43" t="n"/>
      <c r="C25" s="38" t="inlineStr">
        <is>
          <t>Facility</t>
        </is>
      </c>
      <c r="D25" s="44" t="inlineStr">
        <is>
          <t>Get All Facilities</t>
        </is>
      </c>
      <c r="E25" s="40" t="inlineStr">
        <is>
          <t>Facility - 6</t>
        </is>
      </c>
      <c r="F25" s="270" t="inlineStr">
        <is>
          <t>Get All Facilities</t>
        </is>
      </c>
      <c r="G25" s="46" t="inlineStr">
        <is>
          <t>Get List of all Facilities</t>
        </is>
      </c>
      <c r="H25" s="41" t="inlineStr">
        <is>
          <t>Login as Authorize Account</t>
        </is>
      </c>
    </row>
    <row r="26" ht="13" customHeight="1" s="426">
      <c r="A26" s="128" t="n">
        <v>16</v>
      </c>
      <c r="B26" s="43" t="n"/>
      <c r="C26" s="43" t="inlineStr">
        <is>
          <t>RoomFacility</t>
        </is>
      </c>
      <c r="D26" s="44" t="inlineStr">
        <is>
          <t>Get Room Facility By Room Id</t>
        </is>
      </c>
      <c r="E26" s="45" t="inlineStr">
        <is>
          <t>RoomFacility - 1</t>
        </is>
      </c>
      <c r="F26" s="270" t="inlineStr">
        <is>
          <t>Get Room Facility By Room Id</t>
        </is>
      </c>
      <c r="G26" s="44" t="inlineStr">
        <is>
          <t>Get Room Facility By Room Id</t>
        </is>
      </c>
      <c r="H26" s="41" t="inlineStr">
        <is>
          <t>Login as Authorize Account</t>
        </is>
      </c>
    </row>
    <row r="27" ht="13" customHeight="1" s="426">
      <c r="A27" s="128" t="n">
        <v>17</v>
      </c>
      <c r="B27" s="43" t="n"/>
      <c r="C27" s="43" t="inlineStr">
        <is>
          <t>RoomFacility</t>
        </is>
      </c>
      <c r="D27" s="44" t="inlineStr">
        <is>
          <t>Get Room Facility Detail</t>
        </is>
      </c>
      <c r="E27" s="45" t="inlineStr">
        <is>
          <t>RoomFacility - 2</t>
        </is>
      </c>
      <c r="F27" s="270" t="inlineStr">
        <is>
          <t>Get Room Facility Detail</t>
        </is>
      </c>
      <c r="G27" s="44" t="inlineStr">
        <is>
          <t>Get Room Facility Detail</t>
        </is>
      </c>
      <c r="H27" s="41" t="inlineStr">
        <is>
          <t>Login as Authorize Account</t>
        </is>
      </c>
    </row>
    <row r="28" ht="13" customHeight="1" s="426">
      <c r="A28" s="128" t="n">
        <v>18</v>
      </c>
      <c r="B28" s="43" t="n"/>
      <c r="C28" s="43" t="inlineStr">
        <is>
          <t>RoomFacility</t>
        </is>
      </c>
      <c r="D28" s="44" t="inlineStr">
        <is>
          <t>Add New Room Facility</t>
        </is>
      </c>
      <c r="E28" s="45" t="inlineStr">
        <is>
          <t>RoomFacility - 3</t>
        </is>
      </c>
      <c r="F28" s="270" t="inlineStr">
        <is>
          <t>Add New Room Facility</t>
        </is>
      </c>
      <c r="G28" s="44" t="inlineStr">
        <is>
          <t>Add New Room Facility</t>
        </is>
      </c>
      <c r="H28" s="41" t="inlineStr">
        <is>
          <t>Login as Authorize Account</t>
        </is>
      </c>
    </row>
    <row r="29" ht="13" customHeight="1" s="426">
      <c r="A29" s="128" t="n">
        <v>19</v>
      </c>
      <c r="B29" s="43" t="n"/>
      <c r="C29" s="43" t="inlineStr">
        <is>
          <t>RoomFacility</t>
        </is>
      </c>
      <c r="D29" s="44" t="inlineStr">
        <is>
          <t>Update Room Facility</t>
        </is>
      </c>
      <c r="E29" s="45" t="inlineStr">
        <is>
          <t>RoomFacility - 4</t>
        </is>
      </c>
      <c r="F29" s="270" t="inlineStr">
        <is>
          <t>Update Room Facility</t>
        </is>
      </c>
      <c r="G29" s="44" t="inlineStr">
        <is>
          <t>Update Room Facility</t>
        </is>
      </c>
      <c r="H29" s="41" t="inlineStr">
        <is>
          <t>Login as Authorize Account</t>
        </is>
      </c>
    </row>
    <row r="30" ht="13" customHeight="1" s="426">
      <c r="A30" s="128" t="n">
        <v>20</v>
      </c>
      <c r="B30" s="43" t="n"/>
      <c r="C30" s="43" t="inlineStr">
        <is>
          <t>RoomFacility</t>
        </is>
      </c>
      <c r="D30" s="44" t="inlineStr">
        <is>
          <t>Delete Room Facility</t>
        </is>
      </c>
      <c r="E30" s="45" t="inlineStr">
        <is>
          <t>RoomFacility - 5</t>
        </is>
      </c>
      <c r="F30" s="270" t="inlineStr">
        <is>
          <t>Delete Room Facility</t>
        </is>
      </c>
      <c r="G30" s="44" t="inlineStr">
        <is>
          <t>Delete Room Facility</t>
        </is>
      </c>
      <c r="H30" s="41" t="inlineStr">
        <is>
          <t>Login as Authorize Account</t>
        </is>
      </c>
    </row>
    <row r="31" ht="13" customHeight="1" s="426">
      <c r="A31" s="128" t="n">
        <v>21</v>
      </c>
      <c r="B31" s="43" t="n"/>
      <c r="C31" s="43" t="inlineStr">
        <is>
          <t>User</t>
        </is>
      </c>
      <c r="D31" s="44" t="inlineStr">
        <is>
          <t>Get User By Email</t>
        </is>
      </c>
      <c r="E31" s="45" t="inlineStr">
        <is>
          <t>User - 1</t>
        </is>
      </c>
      <c r="F31" s="270" t="inlineStr">
        <is>
          <t>Get User By Email</t>
        </is>
      </c>
      <c r="G31" s="44" t="inlineStr">
        <is>
          <t>Get User By Email</t>
        </is>
      </c>
      <c r="H31" s="41" t="inlineStr">
        <is>
          <t>Login as Authorize Account</t>
        </is>
      </c>
    </row>
    <row r="32" ht="13" customHeight="1" s="426">
      <c r="A32" s="128" t="n">
        <v>22</v>
      </c>
      <c r="B32" s="43" t="n"/>
      <c r="C32" s="43" t="inlineStr">
        <is>
          <t>User</t>
        </is>
      </c>
      <c r="D32" s="44" t="inlineStr">
        <is>
          <t>Get All Users</t>
        </is>
      </c>
      <c r="E32" s="45" t="inlineStr">
        <is>
          <t>User - 2</t>
        </is>
      </c>
      <c r="F32" s="270" t="inlineStr">
        <is>
          <t>Get All Users</t>
        </is>
      </c>
      <c r="G32" s="44" t="inlineStr">
        <is>
          <t>Get All Users</t>
        </is>
      </c>
      <c r="H32" s="41" t="inlineStr">
        <is>
          <t>Login as Authorize Account</t>
        </is>
      </c>
    </row>
    <row r="33" ht="13" customHeight="1" s="426">
      <c r="A33" s="128" t="n">
        <v>23</v>
      </c>
      <c r="B33" s="43" t="n"/>
      <c r="C33" s="43" t="inlineStr">
        <is>
          <t>User</t>
        </is>
      </c>
      <c r="D33" s="44" t="inlineStr">
        <is>
          <t>Add New User</t>
        </is>
      </c>
      <c r="E33" s="45" t="inlineStr">
        <is>
          <t>User - 3</t>
        </is>
      </c>
      <c r="F33" s="270" t="inlineStr">
        <is>
          <t>Add New User</t>
        </is>
      </c>
      <c r="G33" s="44" t="inlineStr">
        <is>
          <t>Add New User</t>
        </is>
      </c>
      <c r="H33" s="41" t="inlineStr">
        <is>
          <t>Login as Authorize Account</t>
        </is>
      </c>
    </row>
    <row r="34" ht="13" customHeight="1" s="426">
      <c r="A34" s="128" t="n">
        <v>24</v>
      </c>
      <c r="B34" s="43" t="n"/>
      <c r="C34" s="43" t="inlineStr">
        <is>
          <t>User</t>
        </is>
      </c>
      <c r="D34" s="44" t="inlineStr">
        <is>
          <t>Edit Password</t>
        </is>
      </c>
      <c r="E34" s="45" t="inlineStr">
        <is>
          <t>User - 4</t>
        </is>
      </c>
      <c r="F34" s="270" t="inlineStr">
        <is>
          <t>Edit Password</t>
        </is>
      </c>
      <c r="G34" s="44" t="inlineStr">
        <is>
          <t>Edit Password</t>
        </is>
      </c>
      <c r="H34" s="41" t="inlineStr">
        <is>
          <t>Login as Authorize Account</t>
        </is>
      </c>
    </row>
    <row r="35" ht="13" customHeight="1" s="426">
      <c r="A35" s="128" t="n">
        <v>25</v>
      </c>
      <c r="B35" s="43" t="n"/>
      <c r="C35" s="43" t="inlineStr">
        <is>
          <t>User</t>
        </is>
      </c>
      <c r="D35" s="44" t="inlineStr">
        <is>
          <t>Get User Profile</t>
        </is>
      </c>
      <c r="E35" s="45" t="inlineStr">
        <is>
          <t>User - 5</t>
        </is>
      </c>
      <c r="F35" s="270" t="inlineStr">
        <is>
          <t>Get User Profile</t>
        </is>
      </c>
      <c r="G35" s="44" t="inlineStr">
        <is>
          <t>Get User Profile</t>
        </is>
      </c>
      <c r="H35" s="41" t="inlineStr">
        <is>
          <t>Login as Authorize Account</t>
        </is>
      </c>
    </row>
    <row r="36" ht="13" customHeight="1" s="426">
      <c r="A36" s="128" t="n">
        <v>26</v>
      </c>
      <c r="B36" s="43" t="n"/>
      <c r="C36" s="43" t="inlineStr">
        <is>
          <t>User</t>
        </is>
      </c>
      <c r="D36" s="44" t="inlineStr">
        <is>
          <t>Change User Status</t>
        </is>
      </c>
      <c r="E36" s="45" t="inlineStr">
        <is>
          <t>User - 6</t>
        </is>
      </c>
      <c r="F36" s="270" t="inlineStr">
        <is>
          <t>Change User Status</t>
        </is>
      </c>
      <c r="G36" s="44" t="inlineStr">
        <is>
          <t>Change User Status</t>
        </is>
      </c>
      <c r="H36" s="41" t="inlineStr">
        <is>
          <t>Login as Authorize Account</t>
        </is>
      </c>
    </row>
    <row r="37" ht="13" customHeight="1" s="426">
      <c r="A37" s="128" t="n">
        <v>27</v>
      </c>
      <c r="B37" s="43" t="n"/>
      <c r="C37" s="43" t="inlineStr">
        <is>
          <t>User</t>
        </is>
      </c>
      <c r="D37" s="44" t="inlineStr">
        <is>
          <t>Update User Profile</t>
        </is>
      </c>
      <c r="E37" s="45" t="inlineStr">
        <is>
          <t>User - 7</t>
        </is>
      </c>
      <c r="F37" s="270" t="inlineStr">
        <is>
          <t>Update User Profile</t>
        </is>
      </c>
      <c r="G37" s="44" t="inlineStr">
        <is>
          <t>Update User Profile</t>
        </is>
      </c>
      <c r="H37" s="41" t="inlineStr">
        <is>
          <t>Login as Authorize Account</t>
        </is>
      </c>
    </row>
    <row r="38" ht="13" customHeight="1" s="426">
      <c r="A38" s="128" t="n">
        <v>28</v>
      </c>
      <c r="B38" s="43" t="n"/>
      <c r="C38" s="43" t="inlineStr">
        <is>
          <t>User</t>
        </is>
      </c>
      <c r="D38" s="44" t="inlineStr">
        <is>
          <t>Entry Excel To User</t>
        </is>
      </c>
      <c r="E38" s="45" t="inlineStr">
        <is>
          <t>User - 8</t>
        </is>
      </c>
      <c r="F38" s="270" t="inlineStr">
        <is>
          <t>Entry Excel To User</t>
        </is>
      </c>
      <c r="G38" s="44" t="inlineStr">
        <is>
          <t>Entry Excel To User</t>
        </is>
      </c>
      <c r="H38" s="41" t="inlineStr">
        <is>
          <t>Login as Authorize Account</t>
        </is>
      </c>
    </row>
    <row r="39" ht="13" customHeight="1" s="426">
      <c r="A39" s="128" t="n">
        <v>30</v>
      </c>
      <c r="B39" s="43" t="n"/>
      <c r="C39" s="43" t="inlineStr">
        <is>
          <t>User</t>
        </is>
      </c>
      <c r="D39" s="44" t="inlineStr">
        <is>
          <t>Get User By User Code</t>
        </is>
      </c>
      <c r="E39" s="45" t="inlineStr">
        <is>
          <t>User - 9</t>
        </is>
      </c>
      <c r="F39" s="270" t="inlineStr">
        <is>
          <t>Get User By User Code</t>
        </is>
      </c>
      <c r="G39" s="44" t="inlineStr">
        <is>
          <t>Get User By User Code</t>
        </is>
      </c>
      <c r="H39" s="41" t="inlineStr">
        <is>
          <t>Login as Authorize Account</t>
        </is>
      </c>
    </row>
    <row r="40" ht="13" customHeight="1" s="426">
      <c r="A40" s="128" t="n">
        <v>31</v>
      </c>
      <c r="B40" s="43" t="n"/>
      <c r="C40" s="43" t="inlineStr">
        <is>
          <t>User</t>
        </is>
      </c>
      <c r="D40" s="44" t="inlineStr">
        <is>
          <t>Login</t>
        </is>
      </c>
      <c r="E40" s="45" t="inlineStr">
        <is>
          <t>User - 10</t>
        </is>
      </c>
      <c r="F40" s="270" t="inlineStr">
        <is>
          <t>Login</t>
        </is>
      </c>
      <c r="G40" s="44" t="inlineStr">
        <is>
          <t>Login</t>
        </is>
      </c>
      <c r="H40" s="41" t="inlineStr">
        <is>
          <t>Login as Authorize Account</t>
        </is>
      </c>
    </row>
    <row r="41" ht="13" customHeight="1" s="426">
      <c r="A41" s="128" t="n">
        <v>32</v>
      </c>
      <c r="B41" s="43" t="n"/>
      <c r="C41" s="43" t="inlineStr">
        <is>
          <t>Borrowing</t>
        </is>
      </c>
      <c r="D41" s="44" t="inlineStr">
        <is>
          <t>Create Borrow Request</t>
        </is>
      </c>
      <c r="E41" s="45" t="inlineStr">
        <is>
          <t>Borrowing - 1</t>
        </is>
      </c>
      <c r="F41" s="281" t="inlineStr">
        <is>
          <t>Create Borrow Request</t>
        </is>
      </c>
      <c r="G41" s="46" t="inlineStr">
        <is>
          <t>Create Facilities Borrow Request</t>
        </is>
      </c>
      <c r="H41" s="41" t="inlineStr">
        <is>
          <t>Login as Authorize Account</t>
        </is>
      </c>
    </row>
    <row r="42" ht="13" customHeight="1" s="426">
      <c r="A42" s="128" t="n">
        <v>33</v>
      </c>
      <c r="B42" s="43" t="n"/>
      <c r="C42" s="43" t="inlineStr">
        <is>
          <t>Borrowing</t>
        </is>
      </c>
      <c r="D42" s="44" t="inlineStr">
        <is>
          <t>Get Personal Borrowing</t>
        </is>
      </c>
      <c r="E42" s="45" t="inlineStr">
        <is>
          <t>Borrowing - 2</t>
        </is>
      </c>
      <c r="F42" s="270" t="inlineStr">
        <is>
          <t>Get Personal Borrowing</t>
        </is>
      </c>
      <c r="G42" s="46" t="inlineStr">
        <is>
          <t>Get Borrowing List by UserId</t>
        </is>
      </c>
      <c r="H42" s="41" t="inlineStr">
        <is>
          <t>Login as Authorize Account</t>
        </is>
      </c>
    </row>
    <row r="43" ht="13" customHeight="1" s="426">
      <c r="A43" s="128" t="n">
        <v>34</v>
      </c>
      <c r="B43" s="43" t="n"/>
      <c r="C43" s="43" t="inlineStr">
        <is>
          <t>Borrowing</t>
        </is>
      </c>
      <c r="D43" s="44" t="inlineStr">
        <is>
          <t>Get Borrow List for Department</t>
        </is>
      </c>
      <c r="E43" s="45" t="inlineStr">
        <is>
          <t>Borrowing - 3</t>
        </is>
      </c>
      <c r="F43" s="270" t="inlineStr">
        <is>
          <t>Get Borrow List for Department</t>
        </is>
      </c>
      <c r="G43" s="44" t="inlineStr">
        <is>
          <t>Get Borrow List for Department</t>
        </is>
      </c>
      <c r="H43" s="41" t="inlineStr">
        <is>
          <t>Login as Authorize Account</t>
        </is>
      </c>
    </row>
    <row r="44" ht="13" customHeight="1" s="426">
      <c r="A44" s="128" t="n">
        <v>35</v>
      </c>
      <c r="B44" s="43" t="n"/>
      <c r="C44" s="43" t="inlineStr">
        <is>
          <t>Borrowing</t>
        </is>
      </c>
      <c r="D44" s="44" t="inlineStr">
        <is>
          <t>Get Important Borrowing</t>
        </is>
      </c>
      <c r="E44" s="45" t="inlineStr">
        <is>
          <t>Borrowing - 4</t>
        </is>
      </c>
      <c r="F44" s="270" t="inlineStr">
        <is>
          <t>Get Important Borrowing</t>
        </is>
      </c>
      <c r="G44" s="44" t="inlineStr">
        <is>
          <t>Get Borrowing List with Type = true</t>
        </is>
      </c>
      <c r="H44" s="41" t="inlineStr">
        <is>
          <t>Login as Authorize Account</t>
        </is>
      </c>
    </row>
    <row r="45" ht="13" customHeight="1" s="426">
      <c r="A45" s="128" t="n">
        <v>36</v>
      </c>
      <c r="B45" s="43" t="n"/>
      <c r="C45" s="43" t="inlineStr">
        <is>
          <t>Borrowing</t>
        </is>
      </c>
      <c r="D45" s="44" t="inlineStr">
        <is>
          <t>Get Borrowing Detail</t>
        </is>
      </c>
      <c r="E45" s="45" t="inlineStr">
        <is>
          <t>Borrowing - 5</t>
        </is>
      </c>
      <c r="F45" s="270" t="inlineStr">
        <is>
          <t>Get Borrowing Detail</t>
        </is>
      </c>
      <c r="G45" s="44" t="inlineStr">
        <is>
          <t>Get Borrowing Detail</t>
        </is>
      </c>
      <c r="H45" s="41" t="inlineStr">
        <is>
          <t>Login as Authorize Account</t>
        </is>
      </c>
    </row>
    <row r="46" ht="13" customHeight="1" s="426">
      <c r="A46" s="128" t="n">
        <v>37</v>
      </c>
      <c r="B46" s="43" t="n"/>
      <c r="C46" s="43" t="inlineStr">
        <is>
          <t>Borrowing</t>
        </is>
      </c>
      <c r="D46" s="44" t="inlineStr">
        <is>
          <t>Change Borrowing Status</t>
        </is>
      </c>
      <c r="E46" s="45" t="inlineStr">
        <is>
          <t>Borrowing - 6</t>
        </is>
      </c>
      <c r="F46" s="270" t="inlineStr">
        <is>
          <t>Change Borrowing Status</t>
        </is>
      </c>
      <c r="G46" s="44" t="inlineStr">
        <is>
          <t>Change Borrowing Status</t>
        </is>
      </c>
      <c r="H46" s="41" t="inlineStr">
        <is>
          <t>Login as Authorize Account</t>
        </is>
      </c>
    </row>
    <row r="47" ht="13" customHeight="1" s="426">
      <c r="A47" s="128" t="n">
        <v>38</v>
      </c>
      <c r="B47" s="43" t="n"/>
      <c r="C47" s="43" t="inlineStr">
        <is>
          <t>Permissions</t>
        </is>
      </c>
      <c r="D47" s="44" t="inlineStr">
        <is>
          <t>Get HashSet Permissions</t>
        </is>
      </c>
      <c r="E47" s="45" t="inlineStr">
        <is>
          <t>Permissions - 1</t>
        </is>
      </c>
      <c r="F47" s="281" t="inlineStr">
        <is>
          <t>Get HashSet Permissions</t>
        </is>
      </c>
      <c r="G47" s="46" t="inlineStr">
        <is>
          <t>Get Permissions in Hashset Format</t>
        </is>
      </c>
      <c r="H47" s="41" t="inlineStr">
        <is>
          <t>Login as Authorize Account</t>
        </is>
      </c>
    </row>
    <row r="48" ht="13" customHeight="1" s="426">
      <c r="A48" s="128" t="n">
        <v>39</v>
      </c>
      <c r="B48" s="43" t="n"/>
      <c r="C48" s="43" t="inlineStr">
        <is>
          <t>Permissions</t>
        </is>
      </c>
      <c r="D48" s="44" t="inlineStr">
        <is>
          <t>Get Permissions</t>
        </is>
      </c>
      <c r="E48" s="45" t="inlineStr">
        <is>
          <t>Permissions - 2</t>
        </is>
      </c>
      <c r="F48" s="281" t="inlineStr">
        <is>
          <t>Get Permissions</t>
        </is>
      </c>
      <c r="G48" s="46" t="inlineStr">
        <is>
          <t>Get Permissions List</t>
        </is>
      </c>
      <c r="H48" s="41" t="inlineStr">
        <is>
          <t>Login as Authorize Account</t>
        </is>
      </c>
    </row>
    <row r="49" ht="13" customHeight="1" s="426">
      <c r="A49" s="128" t="n">
        <v>40</v>
      </c>
      <c r="B49" s="43" t="n"/>
      <c r="C49" s="43" t="inlineStr">
        <is>
          <t>Permissions</t>
        </is>
      </c>
      <c r="D49" s="44" t="inlineStr">
        <is>
          <t>Get User Permission</t>
        </is>
      </c>
      <c r="E49" s="45" t="inlineStr">
        <is>
          <t>Permissions - 3</t>
        </is>
      </c>
      <c r="F49" s="281" t="inlineStr">
        <is>
          <t>Get User Permission</t>
        </is>
      </c>
      <c r="G49" s="46" t="inlineStr">
        <is>
          <t>Get User's Permission</t>
        </is>
      </c>
      <c r="H49" s="41" t="inlineStr">
        <is>
          <t>Login as Authorize Account</t>
        </is>
      </c>
    </row>
    <row r="50" ht="13" customHeight="1" s="426">
      <c r="A50" s="128" t="n">
        <v>41</v>
      </c>
      <c r="B50" s="43" t="n"/>
      <c r="C50" s="43" t="n"/>
      <c r="D50" s="44" t="n"/>
      <c r="E50" s="45" t="n"/>
      <c r="F50" s="270" t="n"/>
      <c r="G50" s="44" t="n"/>
      <c r="H50" s="41" t="n"/>
    </row>
    <row r="51" ht="13" customHeight="1" s="426">
      <c r="A51" s="128" t="n">
        <v>42</v>
      </c>
      <c r="B51" s="43" t="n"/>
      <c r="C51" s="43" t="n"/>
      <c r="D51" s="44" t="n"/>
      <c r="E51" s="45" t="n"/>
      <c r="F51" s="270" t="n"/>
      <c r="G51" s="44" t="n"/>
      <c r="H51" s="41" t="n"/>
    </row>
    <row r="52" ht="13" customHeight="1" s="426">
      <c r="A52" s="128" t="n">
        <v>43</v>
      </c>
      <c r="B52" s="43" t="n"/>
      <c r="C52" s="43" t="n"/>
      <c r="D52" s="44" t="n"/>
      <c r="E52" s="45" t="n"/>
      <c r="F52" s="270" t="n"/>
      <c r="G52" s="44" t="n"/>
      <c r="H52" s="41" t="n"/>
    </row>
    <row r="53" ht="13" customHeight="1" s="426">
      <c r="A53" s="128" t="n">
        <v>44</v>
      </c>
      <c r="B53" s="43" t="n"/>
      <c r="C53" s="43" t="n"/>
      <c r="D53" s="44" t="n"/>
      <c r="E53" s="45" t="n"/>
      <c r="F53" s="270" t="n"/>
      <c r="G53" s="44" t="n"/>
      <c r="H53" s="41" t="n"/>
    </row>
    <row r="54" ht="13" customHeight="1" s="426">
      <c r="A54" s="128" t="n">
        <v>45</v>
      </c>
      <c r="B54" s="43" t="n"/>
      <c r="C54" s="43" t="n"/>
      <c r="D54" s="44" t="n"/>
      <c r="E54" s="45" t="n"/>
      <c r="F54" s="270" t="n"/>
      <c r="G54" s="44" t="n"/>
      <c r="H54" s="41" t="n"/>
    </row>
    <row r="55" ht="13" customHeight="1" s="426">
      <c r="A55" s="128" t="n">
        <v>46</v>
      </c>
      <c r="B55" s="43" t="n"/>
      <c r="C55" s="43" t="n"/>
      <c r="D55" s="44" t="n"/>
      <c r="E55" s="45" t="n"/>
      <c r="F55" s="270" t="n"/>
      <c r="G55" s="46" t="n"/>
      <c r="H55" s="41" t="n"/>
    </row>
    <row r="56" ht="13" customHeight="1" s="426">
      <c r="A56" s="128" t="n">
        <v>47</v>
      </c>
      <c r="B56" s="43" t="n"/>
      <c r="C56" s="43" t="n"/>
      <c r="D56" s="44" t="n"/>
      <c r="E56" s="45" t="n"/>
      <c r="F56" s="270" t="n"/>
      <c r="G56" s="46" t="n"/>
      <c r="H56" s="41" t="n"/>
    </row>
    <row r="57" ht="13" customHeight="1" s="426">
      <c r="A57" s="128" t="n">
        <v>48</v>
      </c>
      <c r="B57" s="43" t="n"/>
      <c r="C57" s="43" t="n"/>
      <c r="D57" s="44" t="n"/>
      <c r="E57" s="45" t="n"/>
      <c r="F57" s="270" t="n"/>
      <c r="G57" s="44" t="n"/>
      <c r="H57" s="41" t="n"/>
    </row>
    <row r="58" ht="13" customHeight="1" s="426">
      <c r="A58" s="128" t="n">
        <v>49</v>
      </c>
      <c r="B58" s="43" t="n"/>
      <c r="C58" s="43" t="n"/>
      <c r="D58" s="44" t="n"/>
      <c r="E58" s="45" t="n"/>
      <c r="F58" s="270" t="n"/>
      <c r="G58" s="44" t="n"/>
      <c r="H58" s="41" t="n"/>
    </row>
    <row r="59" ht="13" customHeight="1" s="426">
      <c r="A59" s="128" t="n">
        <v>50</v>
      </c>
      <c r="B59" s="43" t="n"/>
      <c r="C59" s="43" t="n"/>
      <c r="D59" s="44" t="n"/>
      <c r="E59" s="45" t="n"/>
      <c r="F59" s="270" t="n"/>
      <c r="G59" s="46" t="n"/>
      <c r="H59" s="41" t="n"/>
    </row>
    <row r="60">
      <c r="A60" s="128" t="n">
        <v>51</v>
      </c>
      <c r="B60" s="43" t="n"/>
      <c r="C60" s="43" t="n"/>
      <c r="D60" s="44" t="n"/>
      <c r="E60" s="45" t="n"/>
      <c r="F60" s="46" t="n"/>
      <c r="G60" s="46" t="n"/>
      <c r="H60" s="47" t="n"/>
    </row>
    <row r="61">
      <c r="A61" s="128" t="n">
        <v>52</v>
      </c>
      <c r="B61" s="43" t="n"/>
      <c r="C61" s="43" t="n"/>
      <c r="D61" s="44" t="n"/>
      <c r="E61" s="45" t="n"/>
      <c r="F61" s="46" t="n"/>
      <c r="G61" s="46" t="n"/>
      <c r="H61" s="47" t="n"/>
    </row>
    <row r="62">
      <c r="A62" s="128" t="n">
        <v>53</v>
      </c>
      <c r="B62" s="43" t="n"/>
      <c r="C62" s="43" t="n"/>
      <c r="D62" s="44" t="n"/>
      <c r="E62" s="45" t="n"/>
      <c r="F62" s="46" t="n"/>
      <c r="G62" s="46" t="n"/>
      <c r="H62" s="47" t="n"/>
    </row>
    <row r="63">
      <c r="A63" s="128" t="n">
        <v>54</v>
      </c>
      <c r="B63" s="43" t="n"/>
      <c r="C63" s="43" t="n"/>
      <c r="D63" s="44" t="n"/>
      <c r="E63" s="45" t="n"/>
      <c r="F63" s="46" t="n"/>
      <c r="G63" s="46" t="n"/>
      <c r="H63" s="47" t="n"/>
    </row>
    <row r="64">
      <c r="A64" s="128" t="n">
        <v>55</v>
      </c>
      <c r="B64" s="43" t="n"/>
      <c r="C64" s="43" t="n"/>
      <c r="D64" s="44" t="n"/>
      <c r="E64" s="45" t="n"/>
      <c r="F64" s="46" t="n"/>
      <c r="G64" s="46" t="n"/>
      <c r="H64" s="47" t="n"/>
    </row>
    <row r="65">
      <c r="A65" s="128" t="n">
        <v>56</v>
      </c>
      <c r="B65" s="43" t="n"/>
      <c r="C65" s="43" t="n"/>
      <c r="D65" s="44" t="n"/>
      <c r="E65" s="45" t="n"/>
      <c r="F65" s="46" t="n"/>
      <c r="G65" s="46" t="n"/>
      <c r="H65" s="47" t="n"/>
    </row>
    <row r="66">
      <c r="A66" s="128" t="n">
        <v>57</v>
      </c>
      <c r="B66" s="43" t="n"/>
      <c r="C66" s="43" t="n"/>
      <c r="D66" s="44" t="n"/>
      <c r="E66" s="45" t="n"/>
      <c r="F66" s="46" t="n"/>
      <c r="G66" s="46" t="n"/>
      <c r="H66" s="47" t="n"/>
    </row>
    <row r="67">
      <c r="A67" s="128" t="n">
        <v>58</v>
      </c>
      <c r="B67" s="43" t="n"/>
      <c r="C67" s="43" t="n"/>
      <c r="D67" s="44" t="n"/>
      <c r="E67" s="45" t="n"/>
      <c r="F67" s="46" t="n"/>
      <c r="G67" s="46" t="n"/>
      <c r="H67" s="47" t="n"/>
    </row>
    <row r="68">
      <c r="A68" s="128" t="n">
        <v>59</v>
      </c>
      <c r="B68" s="43" t="n"/>
      <c r="C68" s="43" t="n"/>
      <c r="D68" s="44" t="n"/>
      <c r="E68" s="45" t="n"/>
      <c r="F68" s="46" t="n"/>
      <c r="G68" s="46" t="n"/>
      <c r="H68" s="47" t="n"/>
    </row>
    <row r="69">
      <c r="A69" s="128" t="n">
        <v>60</v>
      </c>
      <c r="B69" s="43" t="n"/>
      <c r="C69" s="43" t="n"/>
      <c r="D69" s="44" t="n"/>
      <c r="E69" s="45" t="n"/>
      <c r="F69" s="46" t="n"/>
      <c r="G69" s="46" t="n"/>
      <c r="H69" s="47" t="n"/>
    </row>
    <row r="70">
      <c r="A70" s="128" t="n">
        <v>61</v>
      </c>
      <c r="B70" s="43" t="n"/>
      <c r="C70" s="43" t="n"/>
      <c r="D70" s="44" t="n"/>
      <c r="E70" s="45" t="n"/>
      <c r="F70" s="46" t="n"/>
      <c r="G70" s="46" t="n"/>
      <c r="H70" s="47" t="n"/>
    </row>
    <row r="71">
      <c r="A71" s="128" t="n">
        <v>62</v>
      </c>
      <c r="B71" s="43" t="n"/>
      <c r="C71" s="43" t="n"/>
      <c r="D71" s="44" t="n"/>
      <c r="E71" s="45" t="n"/>
      <c r="F71" s="46" t="n"/>
      <c r="G71" s="46" t="n"/>
      <c r="H71" s="47" t="n"/>
    </row>
    <row r="72">
      <c r="A72" s="128" t="n">
        <v>63</v>
      </c>
      <c r="B72" s="43" t="n"/>
      <c r="C72" s="43" t="n"/>
      <c r="D72" s="44" t="n"/>
      <c r="E72" s="45" t="n"/>
      <c r="F72" s="46" t="n"/>
      <c r="G72" s="46" t="n"/>
      <c r="H72" s="47" t="n"/>
    </row>
    <row r="73" s="426">
      <c r="A73" s="128" t="n">
        <v>64</v>
      </c>
      <c r="B73" s="43" t="n"/>
      <c r="C73" s="43" t="n"/>
      <c r="D73" s="44" t="n"/>
      <c r="E73" s="45" t="n"/>
      <c r="F73" s="46" t="n"/>
      <c r="G73" s="46" t="n"/>
      <c r="H73" s="47" t="n"/>
    </row>
    <row r="74" s="426">
      <c r="A74" s="128" t="n">
        <v>65</v>
      </c>
      <c r="B74" s="43" t="inlineStr">
        <is>
          <t>UC-20 View Contract</t>
        </is>
      </c>
      <c r="C74" s="43" t="inlineStr">
        <is>
          <t>ContractsController</t>
        </is>
      </c>
      <c r="D74" s="44" t="inlineStr">
        <is>
          <t>List Contracts</t>
        </is>
      </c>
      <c r="E74" s="45" t="inlineStr">
        <is>
          <t>EP-043</t>
        </is>
      </c>
      <c r="F74" s="46" t="inlineStr">
        <is>
          <t>List Contracts</t>
        </is>
      </c>
      <c r="G74" s="46" t="inlineStr">
        <is>
          <t>GET /contracts/list</t>
        </is>
      </c>
      <c r="H74" s="47" t="inlineStr">
        <is>
          <t>Authenticated user</t>
        </is>
      </c>
    </row>
    <row r="75" s="426">
      <c r="A75" s="128" t="n">
        <v>66</v>
      </c>
      <c r="B75" s="43" t="inlineStr">
        <is>
          <t>UC-38 Payment</t>
        </is>
      </c>
      <c r="C75" s="43" t="inlineStr">
        <is>
          <t>PaymentsController</t>
        </is>
      </c>
      <c r="D75" s="44" t="inlineStr">
        <is>
          <t>Fund Milestone</t>
        </is>
      </c>
      <c r="E75" s="45" t="inlineStr">
        <is>
          <t>EP-185</t>
        </is>
      </c>
      <c r="F75" s="46" t="inlineStr">
        <is>
          <t>Fund Milestone</t>
        </is>
      </c>
      <c r="G75" s="46" t="inlineStr">
        <is>
          <t>POST /payments/milestones/:milestoneId/fund</t>
        </is>
      </c>
      <c r="H75" s="47" t="inlineStr">
        <is>
          <t>Authenticated client user and milestone payload</t>
        </is>
      </c>
    </row>
    <row r="76" s="426">
      <c r="A76" s="128" t="n">
        <v>67</v>
      </c>
      <c r="B76" s="43" t="inlineStr">
        <is>
          <t>UC-25 View List Specs; UC-26 View Final Specs</t>
        </is>
      </c>
      <c r="C76" s="43" t="inlineStr">
        <is>
          <t>ProjectSpecsController</t>
        </is>
      </c>
      <c r="D76" s="44" t="inlineStr">
        <is>
          <t>Audit Spec</t>
        </is>
      </c>
      <c r="E76" s="45" t="inlineStr">
        <is>
          <t>EP-228</t>
        </is>
      </c>
      <c r="F76" s="46" t="inlineStr">
        <is>
          <t>Audit Spec</t>
        </is>
      </c>
      <c r="G76" s="46" t="inlineStr">
        <is>
          <t>POST /project-specs/:id/audit</t>
        </is>
      </c>
      <c r="H76" s="47" t="inlineStr">
        <is>
          <t>Authenticated admin/staff user with a target spec</t>
        </is>
      </c>
    </row>
    <row r="77">
      <c r="A77" s="128" t="n"/>
      <c r="B77" s="43" t="n"/>
      <c r="C77" s="43" t="n"/>
      <c r="D77" s="44" t="n"/>
      <c r="E77" s="45" t="n"/>
      <c r="F77" s="46" t="n"/>
      <c r="G77" s="46" t="n"/>
      <c r="H77" s="47" t="n"/>
    </row>
    <row r="78">
      <c r="A78" s="128" t="n"/>
      <c r="B78" s="43" t="n"/>
      <c r="C78" s="43" t="n"/>
      <c r="D78" s="44" t="n"/>
      <c r="E78" s="45" t="n"/>
      <c r="F78" s="46" t="n"/>
      <c r="G78" s="46" t="n"/>
      <c r="H78" s="47" t="n"/>
    </row>
    <row r="79">
      <c r="A79" s="128" t="n"/>
      <c r="B79" s="43" t="n"/>
      <c r="C79" s="43" t="n"/>
      <c r="D79" s="44" t="n"/>
      <c r="E79" s="45" t="n"/>
      <c r="F79" s="46" t="n"/>
      <c r="G79" s="46" t="n"/>
      <c r="H79" s="47" t="n"/>
    </row>
    <row r="80">
      <c r="A80" s="128" t="n"/>
      <c r="B80" s="43" t="n"/>
      <c r="C80" s="43" t="n"/>
      <c r="D80" s="44" t="n"/>
      <c r="E80" s="45" t="n"/>
      <c r="F80" s="46" t="n"/>
      <c r="G80" s="46" t="n"/>
      <c r="H80" s="47" t="n"/>
    </row>
    <row r="81">
      <c r="A81" s="128" t="n"/>
      <c r="B81" s="43" t="n"/>
      <c r="C81" s="43" t="n"/>
      <c r="D81" s="44" t="n"/>
      <c r="E81" s="45" t="n"/>
      <c r="F81" s="46" t="n"/>
      <c r="G81" s="46" t="n"/>
      <c r="H81" s="47" t="n"/>
    </row>
    <row r="82">
      <c r="A82" s="128" t="n"/>
      <c r="B82" s="43" t="n"/>
      <c r="C82" s="43" t="n"/>
      <c r="D82" s="44" t="n"/>
      <c r="E82" s="45" t="n"/>
      <c r="F82" s="46" t="n"/>
      <c r="G82" s="46" t="n"/>
      <c r="H82" s="47" t="n"/>
    </row>
    <row r="83">
      <c r="A83" s="128" t="n"/>
      <c r="B83" s="43" t="n"/>
      <c r="C83" s="43" t="n"/>
      <c r="D83" s="44" t="n"/>
      <c r="E83" s="45" t="n"/>
      <c r="F83" s="46" t="n"/>
      <c r="G83" s="46" t="n"/>
      <c r="H83" s="47" t="n"/>
    </row>
    <row r="84">
      <c r="A84" s="128" t="n"/>
      <c r="B84" s="43" t="n"/>
      <c r="C84" s="43" t="n"/>
      <c r="D84" s="44" t="n"/>
      <c r="E84" s="45" t="n"/>
      <c r="F84" s="46" t="n"/>
      <c r="G84" s="46" t="n"/>
      <c r="H84" s="47" t="n"/>
    </row>
    <row r="85">
      <c r="A85" s="128" t="n"/>
      <c r="B85" s="43" t="n"/>
      <c r="C85" s="43" t="n"/>
      <c r="D85" s="44" t="n"/>
      <c r="E85" s="45" t="n"/>
      <c r="F85" s="46" t="n"/>
      <c r="G85" s="46" t="n"/>
      <c r="H85" s="47" t="n"/>
    </row>
    <row r="86">
      <c r="A86" s="128" t="n"/>
      <c r="B86" s="43" t="n"/>
      <c r="C86" s="43" t="n"/>
      <c r="D86" s="44" t="n"/>
      <c r="E86" s="45" t="n"/>
      <c r="F86" s="46" t="n"/>
      <c r="G86" s="46" t="n"/>
      <c r="H86" s="47" t="n"/>
    </row>
    <row r="87">
      <c r="A87" s="128" t="n"/>
      <c r="B87" s="43" t="n"/>
      <c r="C87" s="43" t="n"/>
      <c r="D87" s="44" t="n"/>
      <c r="E87" s="45" t="n"/>
      <c r="F87" s="46" t="n"/>
      <c r="G87" s="46" t="n"/>
      <c r="H87" s="47" t="n"/>
    </row>
    <row r="88">
      <c r="A88" s="128" t="n"/>
      <c r="B88" s="43" t="n"/>
      <c r="C88" s="43" t="n"/>
      <c r="D88" s="44" t="n"/>
      <c r="E88" s="45" t="n"/>
      <c r="F88" s="46" t="n"/>
      <c r="G88" s="46" t="n"/>
      <c r="H88" s="47" t="n"/>
    </row>
    <row r="89">
      <c r="A89" s="128" t="n"/>
      <c r="B89" s="43" t="n"/>
      <c r="C89" s="43" t="n"/>
      <c r="D89" s="44" t="n"/>
      <c r="E89" s="45" t="n"/>
      <c r="F89" s="46" t="n"/>
      <c r="G89" s="46" t="n"/>
      <c r="H89" s="47" t="n"/>
    </row>
    <row r="90">
      <c r="A90" s="128" t="n"/>
      <c r="B90" s="43" t="n"/>
      <c r="C90" s="43" t="n"/>
      <c r="D90" s="44" t="n"/>
      <c r="E90" s="45" t="n"/>
      <c r="F90" s="46" t="n"/>
      <c r="G90" s="46" t="n"/>
      <c r="H90" s="47" t="n"/>
    </row>
    <row r="91">
      <c r="A91" s="128" t="n"/>
      <c r="B91" s="43" t="n"/>
      <c r="C91" s="43" t="n"/>
      <c r="D91" s="44" t="n"/>
      <c r="E91" s="45" t="n"/>
      <c r="F91" s="46" t="n"/>
      <c r="G91" s="46" t="n"/>
      <c r="H91" s="47" t="n"/>
    </row>
    <row r="92">
      <c r="A92" s="128" t="n"/>
      <c r="B92" s="43" t="n"/>
      <c r="C92" s="43" t="n"/>
      <c r="D92" s="44" t="n"/>
      <c r="E92" s="45" t="n"/>
      <c r="F92" s="46" t="n"/>
      <c r="G92" s="46" t="n"/>
      <c r="H92" s="47" t="n"/>
    </row>
    <row r="93">
      <c r="A93" s="128" t="n"/>
      <c r="B93" s="43" t="n"/>
      <c r="C93" s="43" t="n"/>
      <c r="D93" s="44" t="n"/>
      <c r="E93" s="45" t="n"/>
      <c r="F93" s="46" t="n"/>
      <c r="G93" s="46" t="n"/>
      <c r="H93" s="47" t="n"/>
    </row>
    <row r="94">
      <c r="A94" s="128" t="n"/>
      <c r="B94" s="43" t="n"/>
      <c r="C94" s="43" t="n"/>
      <c r="D94" s="44" t="n"/>
      <c r="E94" s="45" t="n"/>
      <c r="F94" s="46" t="n"/>
      <c r="G94" s="46" t="n"/>
      <c r="H94" s="47" t="n"/>
    </row>
    <row r="95">
      <c r="A95" s="128" t="n"/>
      <c r="B95" s="43" t="n"/>
      <c r="C95" s="43" t="n"/>
      <c r="D95" s="44" t="n"/>
      <c r="E95" s="45" t="n"/>
      <c r="F95" s="46" t="n"/>
      <c r="G95" s="46" t="n"/>
      <c r="H95" s="47" t="n"/>
    </row>
    <row r="96">
      <c r="A96" s="128" t="n"/>
      <c r="B96" s="43" t="n"/>
      <c r="C96" s="43" t="n"/>
      <c r="D96" s="44" t="n"/>
      <c r="E96" s="45" t="n"/>
      <c r="F96" s="46" t="n"/>
      <c r="G96" s="46" t="n"/>
      <c r="H96" s="47" t="n"/>
    </row>
    <row r="97">
      <c r="A97" s="128" t="n"/>
      <c r="B97" s="43" t="n"/>
      <c r="C97" s="43" t="n"/>
      <c r="D97" s="44" t="n"/>
      <c r="E97" s="45" t="n"/>
      <c r="F97" s="46" t="n"/>
      <c r="G97" s="46" t="n"/>
      <c r="H97" s="47" t="n"/>
    </row>
    <row r="98">
      <c r="A98" s="128" t="n"/>
      <c r="B98" s="43" t="n"/>
      <c r="C98" s="43" t="n"/>
      <c r="D98" s="44" t="n"/>
      <c r="E98" s="45" t="n"/>
      <c r="F98" s="46" t="n"/>
      <c r="G98" s="46" t="n"/>
      <c r="H98" s="47" t="n"/>
    </row>
    <row r="99">
      <c r="A99" s="128" t="n"/>
      <c r="B99" s="43" t="n"/>
      <c r="C99" s="43" t="n"/>
      <c r="D99" s="44" t="n"/>
      <c r="E99" s="45" t="n"/>
      <c r="F99" s="46" t="n"/>
      <c r="G99" s="46" t="n"/>
      <c r="H99" s="47" t="n"/>
    </row>
    <row r="100">
      <c r="A100" s="128" t="n"/>
      <c r="B100" s="43" t="n"/>
      <c r="C100" s="43" t="n"/>
      <c r="D100" s="44" t="n"/>
      <c r="E100" s="45" t="n"/>
      <c r="F100" s="46" t="n"/>
      <c r="G100" s="46" t="n"/>
      <c r="H100" s="47" t="n"/>
    </row>
    <row r="101">
      <c r="A101" s="128" t="n"/>
      <c r="B101" s="43" t="n"/>
      <c r="C101" s="43" t="n"/>
      <c r="D101" s="44" t="n"/>
      <c r="E101" s="45" t="n"/>
      <c r="F101" s="46" t="n"/>
      <c r="G101" s="46" t="n"/>
      <c r="H101" s="47" t="n"/>
    </row>
    <row r="102">
      <c r="A102" s="128" t="n"/>
      <c r="B102" s="43" t="n"/>
      <c r="C102" s="43" t="n"/>
      <c r="D102" s="44" t="n"/>
      <c r="E102" s="45" t="n"/>
      <c r="F102" s="46" t="n"/>
      <c r="G102" s="46" t="n"/>
      <c r="H102" s="47" t="n"/>
    </row>
    <row r="103">
      <c r="A103" s="128" t="n"/>
      <c r="B103" s="43" t="n"/>
      <c r="C103" s="43" t="n"/>
      <c r="D103" s="44" t="n"/>
      <c r="E103" s="45" t="n"/>
      <c r="F103" s="46" t="n"/>
      <c r="G103" s="46" t="n"/>
      <c r="H103" s="47" t="n"/>
    </row>
    <row r="104">
      <c r="A104" s="128" t="n"/>
      <c r="B104" s="43" t="n"/>
      <c r="C104" s="43" t="n"/>
      <c r="D104" s="44" t="n"/>
      <c r="E104" s="45" t="n"/>
      <c r="F104" s="46" t="n"/>
      <c r="G104" s="46" t="n"/>
      <c r="H104" s="47" t="n"/>
    </row>
    <row r="105">
      <c r="A105" s="128" t="n"/>
      <c r="B105" s="43" t="n"/>
      <c r="C105" s="43" t="n"/>
      <c r="D105" s="44" t="n"/>
      <c r="E105" s="45" t="n"/>
      <c r="F105" s="46" t="n"/>
      <c r="G105" s="46" t="n"/>
      <c r="H105" s="47" t="n"/>
    </row>
  </sheetData>
  <mergeCells count="7">
    <mergeCell ref="A5:D5"/>
    <mergeCell ref="A6:D6"/>
    <mergeCell ref="A4:D4"/>
    <mergeCell ref="E4:H4"/>
    <mergeCell ref="A7:D7"/>
    <mergeCell ref="E7:H7"/>
    <mergeCell ref="E5:H5"/>
  </mergeCells>
  <hyperlinks>
    <hyperlink ref="F11" location="'Get All Room'!A1" display="Get All Room"/>
    <hyperlink ref="F12" location="'Get Room Detail'!A1" display="Get Room Detail"/>
    <hyperlink ref="F13" location="'Add Room'!A1" display="Add Room"/>
    <hyperlink ref="F14" location="'Update Room'!A1" display="Update Room"/>
    <hyperlink ref="F15" location="'Entry Excel To Room'!A1" display="Entry Excel To Room"/>
    <hyperlink ref="F16" location="'Get All Roles'!A1" display="Get All Role"/>
    <hyperlink ref="F17" location="'Get Role Detail'!A1" display="Get Role Detail"/>
    <hyperlink ref="F18" location="'Add New Role'!A1" display="Add New Role"/>
    <hyperlink ref="F19" location="'Update Role'!A1" display="Update Role"/>
    <hyperlink ref="F20" location="'Get Facilities'!A1" display="Get Facilities"/>
    <hyperlink ref="F21" location="'Get Facility By Id'!A1" display="Get Facility By Id"/>
    <hyperlink ref="F22" location="'Add New Facility'!A1" display="Add New Facility"/>
    <hyperlink ref="F23" location="'Update Facility'!A1" display="Update Facility"/>
    <hyperlink ref="F24" location="'Get Available Facilities'!A1" display="Get Available Facility"/>
    <hyperlink ref="F25" location="'Get All Facilities'!A1" display="Get All Facilities"/>
    <hyperlink ref="F26" location="'Get Room Facilities By Room Id'!A1" display="Get Room Facility By Room Id"/>
    <hyperlink ref="F27" location="'Get Room Facility Detail'!A1" display="Get Room Facility Detail"/>
    <hyperlink ref="F28" location="'Add New Room Facility'!A1" display="Add New Room Facility"/>
    <hyperlink ref="F29" location="'Update Room Facility'!A1" display="Update Room Facility"/>
    <hyperlink ref="F30" location="'Delete Room Facility'!A1" display="Delete Room Facility"/>
    <hyperlink ref="F31" location="'Get User By Email'!A1" display="Get User By Email"/>
    <hyperlink ref="F32" location="'Get All User'!A1" display="Get All Users"/>
    <hyperlink ref="F33" location="'Add New User'!A1" display="Add New User"/>
    <hyperlink ref="F34" location="'Edit Password'!A1" display="Edit Password"/>
    <hyperlink ref="F35" location="'Get User Profile'!A1" display="Get User Profile"/>
    <hyperlink ref="F36" location="'Change User Status'!A1" display="Change User Status"/>
    <hyperlink ref="F37" location="'Update User Profile'!A1" display="Update User Profile"/>
    <hyperlink ref="F38" location="'Entry User To Excel'!A1" display="Entry Excel To User"/>
    <hyperlink ref="F39" location="'Get User By Usercode'!A1" display="Get User By User Code"/>
    <hyperlink ref="F40" location="Login!A1" display="Login"/>
    <hyperlink ref="F41" location="'Create Borrow Request'!A1" display="Create Borrow Request"/>
    <hyperlink ref="F42" location="'Get Personal Borrowing'!A1" display="Get Personal Borrowing"/>
    <hyperlink ref="F43" location="'Get Borrow List For Department'!A1" display="Get Borrow List for Department"/>
    <hyperlink ref="F44" location="'Get Important Borrowing'!A1" display="Get Important Borrowing"/>
    <hyperlink ref="F45" location="'Get Borrowing Detail'!A1" display="Get Borrowing Detail"/>
    <hyperlink ref="F46" location="'Change Borrow Status'!A1" display="Change Borrowing Status"/>
    <hyperlink ref="F47" location="'Get HashSet Permissions'!A1" display="Get HashSet Permissions"/>
    <hyperlink ref="F48" location="'Get Permissions'!A1" display="Get Permissions"/>
    <hyperlink ref="F49" location="'Get User with Permissions'!A1" display="Get User Permission"/>
    <hyperlink xmlns:r="http://schemas.openxmlformats.org/officeDocument/2006/relationships" ref="F74" r:id="rId1"/>
    <hyperlink xmlns:r="http://schemas.openxmlformats.org/officeDocument/2006/relationships" ref="F75" r:id="rId2"/>
    <hyperlink xmlns:r="http://schemas.openxmlformats.org/officeDocument/2006/relationships" ref="F76" r:id="rId3"/>
  </hyperlinks>
  <pageMargins left="0.65" right="0.65" top="0.75" bottom="0.75" header="0.5" footer="0.5"/>
  <pageSetup orientation="landscape" paperSize="9" firstPageNumber="0" horizontalDpi="300" verticalDpi="300"/>
  <headerFooter alignWithMargins="0">
    <oddHeader/>
    <oddFooter>&amp;L&amp;"Tahoma,Regular"&amp;8 02ae-BM/PM/HDCV/FSOFT v2/1&amp;C&amp;"Tahoma,Regular"&amp;8 Internal use&amp;R&amp;"Tahoma,Regular"&amp;8 &amp;P/&amp;N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I102"/>
  <sheetViews>
    <sheetView zoomScaleNormal="100" workbookViewId="0">
      <selection activeCell="B6" sqref="B6:C6"/>
    </sheetView>
  </sheetViews>
  <sheetFormatPr baseColWidth="8" defaultColWidth="9" defaultRowHeight="12.5"/>
  <cols>
    <col width="15.453125" customWidth="1" style="5" min="1" max="1"/>
    <col width="26.54296875" customWidth="1" style="5" min="2" max="2"/>
    <col width="12.1796875" customWidth="1" style="5" min="3" max="3"/>
    <col width="9.54296875" customWidth="1" style="5" min="4" max="4"/>
    <col width="9.81640625" customWidth="1" style="5" min="5" max="5"/>
    <col width="5.1796875" customWidth="1" style="5" min="6" max="8"/>
    <col width="21" customWidth="1" style="5" min="9" max="9"/>
    <col width="33.1796875" customWidth="1" style="5" min="10" max="10"/>
    <col width="11" customWidth="1" style="5" min="11" max="256"/>
    <col width="9" customWidth="1" style="5" min="257" max="16384"/>
  </cols>
  <sheetData>
    <row r="1">
      <c r="A1" s="263" t="n"/>
      <c r="B1" s="263" t="n"/>
      <c r="C1" s="263" t="n"/>
      <c r="D1" s="263" t="n"/>
      <c r="E1" s="263" t="n"/>
      <c r="F1" s="263" t="n"/>
      <c r="G1" s="263" t="n"/>
      <c r="H1" s="263" t="n"/>
      <c r="I1" s="263" t="n"/>
    </row>
    <row r="2" ht="25.5" customHeight="1" s="426">
      <c r="A2" s="311" t="inlineStr">
        <is>
          <t>UNIT TEST REPORT</t>
        </is>
      </c>
    </row>
    <row r="3" ht="14.25" customHeight="1" s="426">
      <c r="A3" s="264" t="n"/>
      <c r="B3" s="265" t="n"/>
      <c r="C3" s="265" t="n"/>
      <c r="D3" s="265" t="n"/>
      <c r="E3" s="265" t="n"/>
      <c r="F3" s="265" t="n"/>
      <c r="G3" s="265" t="n"/>
      <c r="H3" s="265" t="n"/>
      <c r="I3" s="266" t="n"/>
    </row>
    <row r="4" ht="13.5" customHeight="1" s="426">
      <c r="A4" s="292" t="inlineStr">
        <is>
          <t>Project Name</t>
        </is>
      </c>
      <c r="B4" s="308">
        <f>Cover!B4</f>
        <v/>
      </c>
      <c r="C4" s="428" t="n"/>
      <c r="D4" s="309" t="inlineStr">
        <is>
          <t>Creator</t>
        </is>
      </c>
      <c r="E4" s="428" t="n"/>
      <c r="F4" s="308" t="inlineStr">
        <is>
          <t>Nguyễn Hữu Duy</t>
        </is>
      </c>
      <c r="G4" s="427" t="n"/>
      <c r="H4" s="427" t="n"/>
      <c r="I4" s="428" t="n"/>
    </row>
    <row r="5" ht="13.5" customHeight="1" s="426">
      <c r="A5" s="292" t="inlineStr">
        <is>
          <t>Project Code</t>
        </is>
      </c>
      <c r="B5" s="308">
        <f>Cover!B5</f>
        <v/>
      </c>
      <c r="C5" s="428" t="n"/>
      <c r="D5" s="309" t="inlineStr">
        <is>
          <t>Reviewer/Approver</t>
        </is>
      </c>
      <c r="E5" s="428" t="n"/>
      <c r="F5" s="308" t="inlineStr">
        <is>
          <t>Nguyễn Hữu Duy</t>
        </is>
      </c>
      <c r="G5" s="427" t="n"/>
      <c r="H5" s="427" t="n"/>
      <c r="I5" s="428" t="n"/>
    </row>
    <row r="6" ht="12.75" customHeight="1" s="426">
      <c r="A6" s="155" t="inlineStr">
        <is>
          <t>Document Code</t>
        </is>
      </c>
      <c r="B6" s="308">
        <f>B5&amp;"_"&amp;"Test Report"&amp;"_"&amp;"v1.7"</f>
        <v/>
      </c>
      <c r="C6" s="428" t="n"/>
      <c r="D6" s="309" t="inlineStr">
        <is>
          <t>Issue Date</t>
        </is>
      </c>
      <c r="E6" s="428" t="n"/>
      <c r="F6" s="438" t="n">
        <v>45695</v>
      </c>
      <c r="G6" s="427" t="n"/>
      <c r="H6" s="427" t="n"/>
      <c r="I6" s="428" t="n"/>
    </row>
    <row r="7" ht="15.75" customHeight="1" s="426">
      <c r="A7" s="155" t="inlineStr">
        <is>
          <t>Notes</t>
        </is>
      </c>
      <c r="B7" s="310" t="n"/>
      <c r="C7" s="427" t="n"/>
      <c r="D7" s="427" t="n"/>
      <c r="E7" s="427" t="n"/>
      <c r="F7" s="427" t="n"/>
      <c r="G7" s="427" t="n"/>
      <c r="H7" s="427" t="n"/>
      <c r="I7" s="428" t="n"/>
    </row>
    <row r="8" ht="14.25" customHeight="1" s="426">
      <c r="A8" s="51" t="n"/>
      <c r="B8" s="52" t="n"/>
      <c r="C8" s="49" t="n"/>
      <c r="D8" s="49" t="n"/>
      <c r="E8" s="49" t="n"/>
      <c r="F8" s="49" t="n"/>
      <c r="G8" s="49" t="n"/>
      <c r="H8" s="49" t="n"/>
      <c r="I8" s="50" t="n"/>
    </row>
    <row r="9">
      <c r="A9" s="51" t="n"/>
      <c r="B9" s="52" t="n"/>
      <c r="C9" s="49" t="n"/>
      <c r="D9" s="49" t="n"/>
      <c r="E9" s="49" t="n"/>
      <c r="F9" s="49" t="n"/>
      <c r="G9" s="49" t="n"/>
      <c r="H9" s="49" t="n"/>
      <c r="I9" s="50" t="n"/>
    </row>
    <row r="11" ht="14.25" customHeight="1" s="426">
      <c r="A11" s="53" t="inlineStr">
        <is>
          <t>No</t>
        </is>
      </c>
      <c r="B11" s="54" t="inlineStr">
        <is>
          <t>Function code</t>
        </is>
      </c>
      <c r="C11" s="55" t="inlineStr">
        <is>
          <t>Passed</t>
        </is>
      </c>
      <c r="D11" s="54" t="inlineStr">
        <is>
          <t>Failed</t>
        </is>
      </c>
      <c r="E11" s="56" t="inlineStr">
        <is>
          <t>Untested</t>
        </is>
      </c>
      <c r="F11" s="56" t="inlineStr">
        <is>
          <t>N</t>
        </is>
      </c>
      <c r="G11" s="56" t="inlineStr">
        <is>
          <t>A</t>
        </is>
      </c>
      <c r="H11" s="56" t="inlineStr">
        <is>
          <t>B</t>
        </is>
      </c>
      <c r="I11" s="57" t="inlineStr">
        <is>
          <t>Total Test Cases</t>
        </is>
      </c>
    </row>
    <row r="12" ht="13" customHeight="1" s="426">
      <c r="A12" s="284" t="n">
        <v>1</v>
      </c>
      <c r="B12" s="262" t="inlineStr">
        <is>
          <t>Room - 1</t>
        </is>
      </c>
      <c r="C12" s="59">
        <f>'Get All Room'!A7</f>
        <v/>
      </c>
      <c r="D12" s="59">
        <f>'Get All Room'!C7</f>
        <v/>
      </c>
      <c r="E12" s="59">
        <f>'Get All Room'!F7</f>
        <v/>
      </c>
      <c r="F12" s="60">
        <f>'Get All Room'!L7</f>
        <v/>
      </c>
      <c r="G12" s="59">
        <f>'Get All Room'!M7</f>
        <v/>
      </c>
      <c r="H12" s="59">
        <f>'Get All Room'!N7</f>
        <v/>
      </c>
      <c r="I12" s="59">
        <f>'Get All Room'!O7</f>
        <v/>
      </c>
    </row>
    <row r="13" ht="13" customHeight="1" s="426">
      <c r="A13" s="284" t="n">
        <v>2</v>
      </c>
      <c r="B13" s="262" t="inlineStr">
        <is>
          <t>Room - 2</t>
        </is>
      </c>
      <c r="C13" s="59">
        <f>'Get Room Detail'!A7</f>
        <v/>
      </c>
      <c r="D13" s="59">
        <f>'Get Room Detail'!C7</f>
        <v/>
      </c>
      <c r="E13" s="59">
        <f>'Get Room Detail'!F7</f>
        <v/>
      </c>
      <c r="F13" s="60">
        <f>'Get Room Detail'!L7</f>
        <v/>
      </c>
      <c r="G13" s="59">
        <f>'Get Room Detail'!M7</f>
        <v/>
      </c>
      <c r="H13" s="59">
        <f>'Get Room Detail'!N7</f>
        <v/>
      </c>
      <c r="I13" s="59">
        <f>'Get Room Detail'!O7</f>
        <v/>
      </c>
    </row>
    <row r="14" ht="13" customHeight="1" s="426">
      <c r="A14" s="284" t="n">
        <v>3</v>
      </c>
      <c r="B14" s="262" t="inlineStr">
        <is>
          <t>Room - 3</t>
        </is>
      </c>
      <c r="C14" s="59">
        <f>'Add Room'!A7</f>
        <v/>
      </c>
      <c r="D14" s="59">
        <f>'Add Room'!C7</f>
        <v/>
      </c>
      <c r="E14" s="59">
        <f>'Add Room'!F7</f>
        <v/>
      </c>
      <c r="F14" s="60">
        <f>'Add Room'!L7</f>
        <v/>
      </c>
      <c r="G14" s="59">
        <f>'Add Room'!M7</f>
        <v/>
      </c>
      <c r="H14" s="59">
        <f>'Add Room'!N7</f>
        <v/>
      </c>
      <c r="I14" s="59">
        <f>'Add Room'!O7</f>
        <v/>
      </c>
    </row>
    <row r="15" ht="13" customHeight="1" s="426">
      <c r="A15" s="284" t="n">
        <v>4</v>
      </c>
      <c r="B15" s="262" t="inlineStr">
        <is>
          <t>Room - 4</t>
        </is>
      </c>
      <c r="C15" s="59">
        <f>'Update Room'!A7</f>
        <v/>
      </c>
      <c r="D15" s="59">
        <f>'Update Room'!C7</f>
        <v/>
      </c>
      <c r="E15" s="59">
        <f>'Update Room'!F7</f>
        <v/>
      </c>
      <c r="F15" s="59">
        <f>'Update Room'!L7</f>
        <v/>
      </c>
      <c r="G15" s="59">
        <f>'Update Room'!M7</f>
        <v/>
      </c>
      <c r="H15" s="59">
        <f>'Update Room'!N7</f>
        <v/>
      </c>
      <c r="I15" s="59">
        <f>'Update Room'!O7</f>
        <v/>
      </c>
    </row>
    <row r="16" ht="13" customHeight="1" s="426">
      <c r="A16" s="284" t="n">
        <v>5</v>
      </c>
      <c r="B16" s="262" t="inlineStr">
        <is>
          <t>Room - 5</t>
        </is>
      </c>
      <c r="C16" s="59">
        <f>'Entry Excel To Room'!A7</f>
        <v/>
      </c>
      <c r="D16" s="59">
        <f>'Entry Excel To Room'!B7</f>
        <v/>
      </c>
      <c r="E16" s="59">
        <f>'Entry Excel To Room'!C7</f>
        <v/>
      </c>
      <c r="F16" s="59">
        <f>'Entry Excel To Room'!L7</f>
        <v/>
      </c>
      <c r="G16" s="59">
        <f>'Entry Excel To Room'!M7</f>
        <v/>
      </c>
      <c r="H16" s="59">
        <f>'Entry Excel To Room'!N7</f>
        <v/>
      </c>
      <c r="I16" s="59">
        <f>'Entry Excel To Room'!O7</f>
        <v/>
      </c>
    </row>
    <row r="17" ht="13" customHeight="1" s="426">
      <c r="A17" s="284" t="n">
        <v>6</v>
      </c>
      <c r="B17" s="262" t="inlineStr">
        <is>
          <t>Role - 1</t>
        </is>
      </c>
      <c r="C17" s="59">
        <f>'Get All Roles'!A7</f>
        <v/>
      </c>
      <c r="D17" s="59">
        <f>'Get All Roles'!B7</f>
        <v/>
      </c>
      <c r="E17" s="59">
        <f>'Get All Roles'!C7</f>
        <v/>
      </c>
      <c r="F17" s="59">
        <f>'Get All Roles'!L7</f>
        <v/>
      </c>
      <c r="G17" s="59">
        <f>'Get All Roles'!M7</f>
        <v/>
      </c>
      <c r="H17" s="59">
        <f>'Get All Roles'!N7</f>
        <v/>
      </c>
      <c r="I17" s="59">
        <f>'Get All Roles'!O7</f>
        <v/>
      </c>
    </row>
    <row r="18" ht="13" customHeight="1" s="426">
      <c r="A18" s="284" t="n">
        <v>7</v>
      </c>
      <c r="B18" s="262" t="inlineStr">
        <is>
          <t>Role - 2</t>
        </is>
      </c>
      <c r="C18" s="59">
        <f>'Get Role Detail'!A7</f>
        <v/>
      </c>
      <c r="D18" s="59">
        <f>'Get Role Detail'!B7</f>
        <v/>
      </c>
      <c r="E18" s="59">
        <f>'Get Role Detail'!C7</f>
        <v/>
      </c>
      <c r="F18" s="59">
        <f>'Get Role Detail'!L7</f>
        <v/>
      </c>
      <c r="G18" s="59">
        <f>'Get Role Detail'!M7</f>
        <v/>
      </c>
      <c r="H18" s="59">
        <f>'Get Role Detail'!N7</f>
        <v/>
      </c>
      <c r="I18" s="59">
        <f>'Get Role Detail'!O7</f>
        <v/>
      </c>
    </row>
    <row r="19" ht="13" customHeight="1" s="426">
      <c r="A19" s="284" t="n">
        <v>8</v>
      </c>
      <c r="B19" s="262" t="inlineStr">
        <is>
          <t>Role - 3</t>
        </is>
      </c>
      <c r="C19" s="59">
        <f>'Add New Role'!A7</f>
        <v/>
      </c>
      <c r="D19" s="59">
        <f>'Add New Role'!B7</f>
        <v/>
      </c>
      <c r="E19" s="59">
        <f>'Add New Role'!C7</f>
        <v/>
      </c>
      <c r="F19" s="59">
        <f>'Add New Role'!L7</f>
        <v/>
      </c>
      <c r="G19" s="59">
        <f>'Add New Role'!M7</f>
        <v/>
      </c>
      <c r="H19" s="59">
        <f>'Add New Role'!N7</f>
        <v/>
      </c>
      <c r="I19" s="59">
        <f>'Add New Role'!O7</f>
        <v/>
      </c>
    </row>
    <row r="20" ht="13" customHeight="1" s="426">
      <c r="A20" s="284" t="n">
        <v>9</v>
      </c>
      <c r="B20" s="262" t="inlineStr">
        <is>
          <t>Role - 4</t>
        </is>
      </c>
      <c r="C20" s="59">
        <f>'Update Role'!A7</f>
        <v/>
      </c>
      <c r="D20" s="59">
        <f>'Update Role'!B7</f>
        <v/>
      </c>
      <c r="E20" s="59">
        <f>'Update Role'!C7</f>
        <v/>
      </c>
      <c r="F20" s="59">
        <f>'Update Role'!L7</f>
        <v/>
      </c>
      <c r="G20" s="59">
        <f>'Update Role'!M7</f>
        <v/>
      </c>
      <c r="H20" s="59">
        <f>'Update Role'!N7</f>
        <v/>
      </c>
      <c r="I20" s="59">
        <f>'Update Role'!O7</f>
        <v/>
      </c>
    </row>
    <row r="21" ht="13.5" customHeight="1" s="426">
      <c r="A21" s="284" t="n">
        <v>10</v>
      </c>
      <c r="B21" s="272" t="inlineStr">
        <is>
          <t>Facility - 1</t>
        </is>
      </c>
      <c r="C21" s="59">
        <f>'Get Facilities'!A7</f>
        <v/>
      </c>
      <c r="D21" s="59">
        <f>'Get Facilities'!B7</f>
        <v/>
      </c>
      <c r="E21" s="59">
        <f>'Get Facilities'!C7</f>
        <v/>
      </c>
      <c r="F21" s="59">
        <f>'Get Facilities'!L7</f>
        <v/>
      </c>
      <c r="G21" s="59">
        <f>'Get Facilities'!M7</f>
        <v/>
      </c>
      <c r="H21" s="59">
        <f>'Get Facilities'!N7</f>
        <v/>
      </c>
      <c r="I21" s="59">
        <f>'Get Facilities'!O7</f>
        <v/>
      </c>
    </row>
    <row r="22" ht="13.5" customHeight="1" s="426">
      <c r="A22" s="284" t="n">
        <v>11</v>
      </c>
      <c r="B22" s="272" t="inlineStr">
        <is>
          <t>Facility - 2</t>
        </is>
      </c>
      <c r="C22" s="59">
        <f>'Get Facility By Id'!A7</f>
        <v/>
      </c>
      <c r="D22" s="59">
        <f>'Get Facility By Id'!B7</f>
        <v/>
      </c>
      <c r="E22" s="59">
        <f>'Get Facility By Id'!C7</f>
        <v/>
      </c>
      <c r="F22" s="59">
        <f>'Get Facility By Id'!L7</f>
        <v/>
      </c>
      <c r="G22" s="59">
        <f>'Get Facility By Id'!M7</f>
        <v/>
      </c>
      <c r="H22" s="59">
        <f>'Get Facility By Id'!N7</f>
        <v/>
      </c>
      <c r="I22" s="59">
        <f>'Get Facility By Id'!O7</f>
        <v/>
      </c>
    </row>
    <row r="23" ht="13.5" customHeight="1" s="426">
      <c r="A23" s="284" t="n">
        <v>12</v>
      </c>
      <c r="B23" s="272" t="inlineStr">
        <is>
          <t>Facility - 3</t>
        </is>
      </c>
      <c r="C23" s="59">
        <f>'Add New Facility'!A7</f>
        <v/>
      </c>
      <c r="D23" s="59">
        <f>'Add New Facility'!B7</f>
        <v/>
      </c>
      <c r="E23" s="59">
        <f>'Add New Facility'!C7</f>
        <v/>
      </c>
      <c r="F23" s="59">
        <f>'Add New Facility'!L7</f>
        <v/>
      </c>
      <c r="G23" s="59">
        <f>'Add New Facility'!M7</f>
        <v/>
      </c>
      <c r="H23" s="59">
        <f>'Add New Facility'!N7</f>
        <v/>
      </c>
      <c r="I23" s="59">
        <f>'Add New Facility'!O7</f>
        <v/>
      </c>
    </row>
    <row r="24" ht="13.5" customHeight="1" s="426">
      <c r="A24" s="284" t="n">
        <v>13</v>
      </c>
      <c r="B24" s="272" t="inlineStr">
        <is>
          <t>Facility - 4</t>
        </is>
      </c>
      <c r="C24" s="59">
        <f>'Update Facility'!A7</f>
        <v/>
      </c>
      <c r="D24" s="59">
        <f>'Update Facility'!B7</f>
        <v/>
      </c>
      <c r="E24" s="59">
        <f>'Update Facility'!C7</f>
        <v/>
      </c>
      <c r="F24" s="59">
        <f>'Update Facility'!L7</f>
        <v/>
      </c>
      <c r="G24" s="59">
        <f>'Update Facility'!M7</f>
        <v/>
      </c>
      <c r="H24" s="59">
        <f>'Update Facility'!N7</f>
        <v/>
      </c>
      <c r="I24" s="59">
        <f>'Update Facility'!O7</f>
        <v/>
      </c>
    </row>
    <row r="25" ht="13.5" customHeight="1" s="426">
      <c r="A25" s="284" t="n">
        <v>14</v>
      </c>
      <c r="B25" s="272" t="inlineStr">
        <is>
          <t>Facility - 5</t>
        </is>
      </c>
      <c r="C25" s="59">
        <f>'Get Available Facilities'!A7</f>
        <v/>
      </c>
      <c r="D25" s="59">
        <f>'Get Available Facilities'!B7</f>
        <v/>
      </c>
      <c r="E25" s="59">
        <f>'Get Available Facilities'!C7</f>
        <v/>
      </c>
      <c r="F25" s="59">
        <f>'Get Available Facilities'!L7</f>
        <v/>
      </c>
      <c r="G25" s="59">
        <f>'Get Available Facilities'!M7</f>
        <v/>
      </c>
      <c r="H25" s="59">
        <f>'Get Available Facilities'!N7</f>
        <v/>
      </c>
      <c r="I25" s="59">
        <f>'Get Available Facilities'!O7</f>
        <v/>
      </c>
    </row>
    <row r="26" ht="13.5" customHeight="1" s="426">
      <c r="A26" s="284" t="n">
        <v>15</v>
      </c>
      <c r="B26" s="272" t="inlineStr">
        <is>
          <t>Facility - 6</t>
        </is>
      </c>
      <c r="C26" s="59">
        <f>'Get All Facilities'!A7</f>
        <v/>
      </c>
      <c r="D26" s="59">
        <f>'Get All Facilities'!B7</f>
        <v/>
      </c>
      <c r="E26" s="59">
        <f>'Get All Facilities'!C7</f>
        <v/>
      </c>
      <c r="F26" s="59">
        <f>'Get All Facilities'!L7</f>
        <v/>
      </c>
      <c r="G26" s="59">
        <f>'Get All Facilities'!M7</f>
        <v/>
      </c>
      <c r="H26" s="59">
        <f>'Get All Facilities'!N7</f>
        <v/>
      </c>
      <c r="I26" s="59">
        <f>'Get All Facilities'!O7</f>
        <v/>
      </c>
    </row>
    <row r="27" ht="13.5" customHeight="1" s="426">
      <c r="A27" s="284" t="n">
        <v>16</v>
      </c>
      <c r="B27" s="272" t="inlineStr">
        <is>
          <t>RoomFacility - 1</t>
        </is>
      </c>
      <c r="C27" s="59">
        <f>'Get Room Facilities By Room Id'!A7</f>
        <v/>
      </c>
      <c r="D27" s="59">
        <f>'Get Room Facilities By Room Id'!B7</f>
        <v/>
      </c>
      <c r="E27" s="59">
        <f>'Get Room Facilities By Room Id'!C7</f>
        <v/>
      </c>
      <c r="F27" s="59">
        <f>'Get Room Facilities By Room Id'!L7</f>
        <v/>
      </c>
      <c r="G27" s="59">
        <f>'Get Room Facilities By Room Id'!M7</f>
        <v/>
      </c>
      <c r="H27" s="59">
        <f>'Get Room Facilities By Room Id'!N7</f>
        <v/>
      </c>
      <c r="I27" s="59">
        <f>'Get Room Facilities By Room Id'!O7</f>
        <v/>
      </c>
    </row>
    <row r="28" ht="13.5" customHeight="1" s="426">
      <c r="A28" s="284" t="n">
        <v>17</v>
      </c>
      <c r="B28" s="272" t="inlineStr">
        <is>
          <t>RoomFacility - 2</t>
        </is>
      </c>
      <c r="C28" s="59">
        <f>'Get Room Facility Detail'!A7</f>
        <v/>
      </c>
      <c r="D28" s="59">
        <f>'Get Room Facility Detail'!B7</f>
        <v/>
      </c>
      <c r="E28" s="59">
        <f>'Get Room Facility Detail'!C7</f>
        <v/>
      </c>
      <c r="F28" s="59">
        <f>'Get Room Facility Detail'!L7</f>
        <v/>
      </c>
      <c r="G28" s="59">
        <f>'Get Room Facility Detail'!M7</f>
        <v/>
      </c>
      <c r="H28" s="59">
        <f>'Get Room Facility Detail'!N7</f>
        <v/>
      </c>
      <c r="I28" s="59">
        <f>'Get Room Facility Detail'!O7</f>
        <v/>
      </c>
    </row>
    <row r="29" ht="13.5" customHeight="1" s="426">
      <c r="A29" s="284" t="n">
        <v>18</v>
      </c>
      <c r="B29" s="272" t="inlineStr">
        <is>
          <t>RoomFacility - 3</t>
        </is>
      </c>
      <c r="C29" s="59">
        <f>'Add New Room Facility'!A7</f>
        <v/>
      </c>
      <c r="D29" s="59">
        <f>'Add New Room Facility'!B7</f>
        <v/>
      </c>
      <c r="E29" s="59">
        <f>'Add New Room Facility'!C7</f>
        <v/>
      </c>
      <c r="F29" s="59">
        <f>'Add New Room Facility'!L7</f>
        <v/>
      </c>
      <c r="G29" s="59">
        <f>'Add New Room Facility'!M7</f>
        <v/>
      </c>
      <c r="H29" s="59">
        <f>'Add New Room Facility'!N7</f>
        <v/>
      </c>
      <c r="I29" s="59">
        <f>'Add New Room Facility'!O7</f>
        <v/>
      </c>
    </row>
    <row r="30" ht="13.5" customHeight="1" s="426">
      <c r="A30" s="284" t="n">
        <v>19</v>
      </c>
      <c r="B30" s="272" t="inlineStr">
        <is>
          <t>RoomFacility - 4</t>
        </is>
      </c>
      <c r="C30" s="59">
        <f>'Update Room Facility'!A7</f>
        <v/>
      </c>
      <c r="D30" s="59">
        <f>'Update Room Facility'!B7</f>
        <v/>
      </c>
      <c r="E30" s="59">
        <f>'Update Room Facility'!C7</f>
        <v/>
      </c>
      <c r="F30" s="59">
        <f>'Update Room Facility'!L7</f>
        <v/>
      </c>
      <c r="G30" s="59">
        <f>'Update Room Facility'!M7</f>
        <v/>
      </c>
      <c r="H30" s="59">
        <f>'Update Room Facility'!N7</f>
        <v/>
      </c>
      <c r="I30" s="59">
        <f>'Update Room Facility'!O7</f>
        <v/>
      </c>
    </row>
    <row r="31" ht="13.5" customHeight="1" s="426">
      <c r="A31" s="284" t="n">
        <v>20</v>
      </c>
      <c r="B31" s="272" t="inlineStr">
        <is>
          <t>RoomFacility - 5</t>
        </is>
      </c>
      <c r="C31" s="59">
        <f>'Delete Room Facility'!A7</f>
        <v/>
      </c>
      <c r="D31" s="59">
        <f>'Delete Room Facility'!B7</f>
        <v/>
      </c>
      <c r="E31" s="59">
        <f>'Delete Room Facility'!C7</f>
        <v/>
      </c>
      <c r="F31" s="59">
        <f>'Delete Room Facility'!L7</f>
        <v/>
      </c>
      <c r="G31" s="59">
        <f>'Delete Room Facility'!M7</f>
        <v/>
      </c>
      <c r="H31" s="59">
        <f>'Delete Room Facility'!N7</f>
        <v/>
      </c>
      <c r="I31" s="59">
        <f>'Delete Room Facility'!O7</f>
        <v/>
      </c>
    </row>
    <row r="32" ht="13.5" customHeight="1" s="426">
      <c r="A32" s="284" t="n">
        <v>21</v>
      </c>
      <c r="B32" s="272" t="inlineStr">
        <is>
          <t>User - 1</t>
        </is>
      </c>
      <c r="C32" s="59">
        <f>'Get User By Email'!A7</f>
        <v/>
      </c>
      <c r="D32" s="59">
        <f>'Get User By Email'!B7</f>
        <v/>
      </c>
      <c r="E32" s="59">
        <f>'Get User By Email'!C7</f>
        <v/>
      </c>
      <c r="F32" s="59">
        <f>'Get User By Email'!L7</f>
        <v/>
      </c>
      <c r="G32" s="59">
        <f>'Get User By Email'!M7</f>
        <v/>
      </c>
      <c r="H32" s="59">
        <f>'Get User By Email'!N7</f>
        <v/>
      </c>
      <c r="I32" s="59">
        <f>'Get User By Email'!O7</f>
        <v/>
      </c>
    </row>
    <row r="33" ht="13.5" customHeight="1" s="426">
      <c r="A33" s="284" t="n">
        <v>22</v>
      </c>
      <c r="B33" s="272" t="inlineStr">
        <is>
          <t>User - 2</t>
        </is>
      </c>
      <c r="C33" s="59">
        <f>'Get All Users'!A7</f>
        <v/>
      </c>
      <c r="D33" s="59">
        <f>'Get All Users'!B7</f>
        <v/>
      </c>
      <c r="E33" s="59">
        <f>'Get All Users'!C7</f>
        <v/>
      </c>
      <c r="F33" s="59">
        <f>'Get All Users'!L7</f>
        <v/>
      </c>
      <c r="G33" s="59">
        <f>'Get All Users'!M7</f>
        <v/>
      </c>
      <c r="H33" s="59">
        <f>'Get All Users'!N7</f>
        <v/>
      </c>
      <c r="I33" s="59">
        <f>'Get All Users'!O7</f>
        <v/>
      </c>
    </row>
    <row r="34" ht="13.5" customHeight="1" s="426">
      <c r="A34" s="284" t="n">
        <v>23</v>
      </c>
      <c r="B34" s="272" t="inlineStr">
        <is>
          <t>User - 3</t>
        </is>
      </c>
      <c r="C34" s="59">
        <f>'Add New User'!A7</f>
        <v/>
      </c>
      <c r="D34" s="59">
        <f>'Add New User'!B7</f>
        <v/>
      </c>
      <c r="E34" s="59">
        <f>'Add New User'!C7</f>
        <v/>
      </c>
      <c r="F34" s="59">
        <f>'Add New User'!L7</f>
        <v/>
      </c>
      <c r="G34" s="59">
        <f>'Add New User'!M7</f>
        <v/>
      </c>
      <c r="H34" s="59">
        <f>'Add New User'!N7</f>
        <v/>
      </c>
      <c r="I34" s="59">
        <f>'Add New User'!O7</f>
        <v/>
      </c>
    </row>
    <row r="35" ht="13.5" customHeight="1" s="426">
      <c r="A35" s="284" t="n">
        <v>24</v>
      </c>
      <c r="B35" s="272" t="inlineStr">
        <is>
          <t>User - 4</t>
        </is>
      </c>
      <c r="C35" s="59">
        <f>'Edit Password'!A7</f>
        <v/>
      </c>
      <c r="D35" s="59">
        <f>'Edit Password'!B7</f>
        <v/>
      </c>
      <c r="E35" s="59">
        <f>'Edit Password'!C7</f>
        <v/>
      </c>
      <c r="F35" s="59">
        <f>'Edit Password'!L7</f>
        <v/>
      </c>
      <c r="G35" s="59">
        <f>'Edit Password'!M7</f>
        <v/>
      </c>
      <c r="H35" s="59">
        <f>'Edit Password'!N7</f>
        <v/>
      </c>
      <c r="I35" s="59">
        <f>'Edit Password'!O7</f>
        <v/>
      </c>
    </row>
    <row r="36" ht="13.5" customHeight="1" s="426">
      <c r="A36" s="284" t="n">
        <v>25</v>
      </c>
      <c r="B36" s="272" t="inlineStr">
        <is>
          <t>User - 5</t>
        </is>
      </c>
      <c r="C36" s="59">
        <f>'Get User Profile'!A7</f>
        <v/>
      </c>
      <c r="D36" s="59">
        <f>'Get User Profile'!B7</f>
        <v/>
      </c>
      <c r="E36" s="59">
        <f>'Get User Profile'!C7</f>
        <v/>
      </c>
      <c r="F36" s="59">
        <f>'Get User Profile'!L7</f>
        <v/>
      </c>
      <c r="G36" s="59">
        <f>'Get User Profile'!M7</f>
        <v/>
      </c>
      <c r="H36" s="59">
        <f>'Get User Profile'!N7</f>
        <v/>
      </c>
      <c r="I36" s="59">
        <f>'Get User Profile'!O7</f>
        <v/>
      </c>
    </row>
    <row r="37" ht="13.5" customHeight="1" s="426">
      <c r="A37" s="284" t="n">
        <v>26</v>
      </c>
      <c r="B37" s="272" t="inlineStr">
        <is>
          <t>User - 6</t>
        </is>
      </c>
      <c r="C37" s="59">
        <f>'Change User Status'!A7</f>
        <v/>
      </c>
      <c r="D37" s="59">
        <f>'Change User Status'!B7</f>
        <v/>
      </c>
      <c r="E37" s="59">
        <f>'Change User Status'!C7</f>
        <v/>
      </c>
      <c r="F37" s="59">
        <f>'Change User Status'!L7</f>
        <v/>
      </c>
      <c r="G37" s="59">
        <f>'Change User Status'!M7</f>
        <v/>
      </c>
      <c r="H37" s="59">
        <f>'Change User Status'!N7</f>
        <v/>
      </c>
      <c r="I37" s="59">
        <f>'Change User Status'!O7</f>
        <v/>
      </c>
    </row>
    <row r="38" ht="13.5" customHeight="1" s="426">
      <c r="A38" s="284" t="n">
        <v>27</v>
      </c>
      <c r="B38" s="272" t="inlineStr">
        <is>
          <t>User - 7</t>
        </is>
      </c>
      <c r="C38" s="59">
        <f>'Update User Profile'!A7</f>
        <v/>
      </c>
      <c r="D38" s="59">
        <f>'Update User Profile'!B7</f>
        <v/>
      </c>
      <c r="E38" s="59">
        <f>'Update User Profile'!C7</f>
        <v/>
      </c>
      <c r="F38" s="59">
        <f>'Update User Profile'!L7</f>
        <v/>
      </c>
      <c r="G38" s="59">
        <f>'Update User Profile'!M7</f>
        <v/>
      </c>
      <c r="H38" s="59">
        <f>'Update User Profile'!N7</f>
        <v/>
      </c>
      <c r="I38" s="59">
        <f>'Update User Profile'!O7</f>
        <v/>
      </c>
    </row>
    <row r="39" ht="13.5" customHeight="1" s="426">
      <c r="A39" s="284" t="n">
        <v>28</v>
      </c>
      <c r="B39" s="272" t="inlineStr">
        <is>
          <t>User - 8</t>
        </is>
      </c>
      <c r="C39" s="59">
        <f>'Entry Excel To User'!A7</f>
        <v/>
      </c>
      <c r="D39" s="59">
        <f>'Entry Excel To User'!B7</f>
        <v/>
      </c>
      <c r="E39" s="59">
        <f>'Entry Excel To User'!C7</f>
        <v/>
      </c>
      <c r="F39" s="59">
        <f>'Entry Excel To User'!L7</f>
        <v/>
      </c>
      <c r="G39" s="59">
        <f>'Entry Excel To User'!M7</f>
        <v/>
      </c>
      <c r="H39" s="59">
        <f>'Entry Excel To User'!N7</f>
        <v/>
      </c>
      <c r="I39" s="59">
        <f>'Entry Excel To User'!O7</f>
        <v/>
      </c>
    </row>
    <row r="40" ht="13.5" customHeight="1" s="426">
      <c r="A40" s="284" t="n">
        <v>29</v>
      </c>
      <c r="B40" s="272" t="inlineStr">
        <is>
          <t>User - 9</t>
        </is>
      </c>
      <c r="C40" s="59">
        <f>'Get User By Usercode'!A7</f>
        <v/>
      </c>
      <c r="D40" s="59">
        <f>'Get User By Usercode'!B7</f>
        <v/>
      </c>
      <c r="E40" s="59">
        <f>'Get User By Usercode'!C7</f>
        <v/>
      </c>
      <c r="F40" s="59">
        <f>'Get User By Usercode'!L7</f>
        <v/>
      </c>
      <c r="G40" s="59">
        <f>'Get User By Usercode'!M7</f>
        <v/>
      </c>
      <c r="H40" s="59">
        <f>'Get User By Usercode'!N7</f>
        <v/>
      </c>
      <c r="I40" s="59">
        <f>'Get User By Usercode'!O7</f>
        <v/>
      </c>
    </row>
    <row r="41" ht="13.5" customHeight="1" s="426">
      <c r="A41" s="284" t="n">
        <v>30</v>
      </c>
      <c r="B41" s="272" t="inlineStr">
        <is>
          <t>User - 10</t>
        </is>
      </c>
      <c r="C41" s="59">
        <f>Login!A7</f>
        <v/>
      </c>
      <c r="D41" s="59">
        <f>Login!B7</f>
        <v/>
      </c>
      <c r="E41" s="59">
        <f>Login!C7</f>
        <v/>
      </c>
      <c r="F41" s="59">
        <f>Login!L7</f>
        <v/>
      </c>
      <c r="G41" s="59">
        <f>Login!M7</f>
        <v/>
      </c>
      <c r="H41" s="59">
        <f>Login!N7</f>
        <v/>
      </c>
      <c r="I41" s="59">
        <f>Login!O7</f>
        <v/>
      </c>
    </row>
    <row r="42" ht="13.5" customHeight="1" s="426">
      <c r="A42" s="284" t="n">
        <v>31</v>
      </c>
      <c r="B42" s="272" t="inlineStr">
        <is>
          <t>Borrowing - 1</t>
        </is>
      </c>
      <c r="C42" s="59">
        <f>'Create Borrow Request'!A6</f>
        <v/>
      </c>
      <c r="D42" s="59">
        <f>'Create Borrow Request'!B6</f>
        <v/>
      </c>
      <c r="E42" s="59">
        <f>'Create Borrow Request'!C6</f>
        <v/>
      </c>
      <c r="F42" s="59">
        <f>'Create Borrow Request'!L6</f>
        <v/>
      </c>
      <c r="G42" s="59">
        <f>'Create Borrow Request'!M6</f>
        <v/>
      </c>
      <c r="H42" s="59">
        <f>'Create Borrow Request'!N6</f>
        <v/>
      </c>
      <c r="I42" s="59">
        <f>'Create Borrow Request'!O6</f>
        <v/>
      </c>
    </row>
    <row r="43" ht="13.5" customHeight="1" s="426">
      <c r="A43" s="284" t="n">
        <v>32</v>
      </c>
      <c r="B43" s="272" t="inlineStr">
        <is>
          <t>Borrowing - 2</t>
        </is>
      </c>
      <c r="C43" s="59">
        <f>'Get Personal Borrowing'!A7</f>
        <v/>
      </c>
      <c r="D43" s="59">
        <f>'Get Personal Borrowing'!B7</f>
        <v/>
      </c>
      <c r="E43" s="59">
        <f>'Get Personal Borrowing'!C7</f>
        <v/>
      </c>
      <c r="F43" s="59">
        <f>'Get Personal Borrowing'!L7</f>
        <v/>
      </c>
      <c r="G43" s="59">
        <f>'Get Personal Borrowing'!M7</f>
        <v/>
      </c>
      <c r="H43" s="59">
        <f>'Get Personal Borrowing'!N7</f>
        <v/>
      </c>
      <c r="I43" s="59">
        <f>'Get Personal Borrowing'!O7</f>
        <v/>
      </c>
    </row>
    <row r="44" ht="13.5" customHeight="1" s="426">
      <c r="A44" s="284" t="n">
        <v>33</v>
      </c>
      <c r="B44" s="272" t="inlineStr">
        <is>
          <t>Borrowing - 3</t>
        </is>
      </c>
      <c r="C44" s="59">
        <f>'Get Borrow List For Department'!A7</f>
        <v/>
      </c>
      <c r="D44" s="59">
        <f>'Get Borrow List For Department'!B7</f>
        <v/>
      </c>
      <c r="E44" s="59">
        <f>'Get Borrow List For Department'!C7</f>
        <v/>
      </c>
      <c r="F44" s="59">
        <f>'Get Borrow List For Department'!L7</f>
        <v/>
      </c>
      <c r="G44" s="59">
        <f>'Get Borrow List For Department'!M7</f>
        <v/>
      </c>
      <c r="H44" s="59">
        <f>'Get Borrow List For Department'!N7</f>
        <v/>
      </c>
      <c r="I44" s="59">
        <f>'Get Borrow List For Department'!O7</f>
        <v/>
      </c>
    </row>
    <row r="45" ht="13.5" customHeight="1" s="426">
      <c r="A45" s="284" t="n">
        <v>34</v>
      </c>
      <c r="B45" s="272" t="inlineStr">
        <is>
          <t>Borrowing - 4</t>
        </is>
      </c>
      <c r="C45" s="59">
        <f>'Get Important Borrowing'!A7</f>
        <v/>
      </c>
      <c r="D45" s="59">
        <f>'Get Important Borrowing'!B7</f>
        <v/>
      </c>
      <c r="E45" s="59">
        <f>'Get Important Borrowing'!C7</f>
        <v/>
      </c>
      <c r="F45" s="59">
        <f>'Get Important Borrowing'!L7</f>
        <v/>
      </c>
      <c r="G45" s="59">
        <f>'Get Important Borrowing'!M7</f>
        <v/>
      </c>
      <c r="H45" s="59">
        <f>'Get Important Borrowing'!N7</f>
        <v/>
      </c>
      <c r="I45" s="59">
        <f>'Get Important Borrowing'!O7</f>
        <v/>
      </c>
    </row>
    <row r="46" ht="13.5" customHeight="1" s="426">
      <c r="A46" s="284" t="n">
        <v>35</v>
      </c>
      <c r="B46" s="272" t="inlineStr">
        <is>
          <t>Borrowing - 5</t>
        </is>
      </c>
      <c r="C46" s="59">
        <f>'Get Borrowing Detail'!A7</f>
        <v/>
      </c>
      <c r="D46" s="59">
        <f>'Get Borrowing Detail'!B7</f>
        <v/>
      </c>
      <c r="E46" s="59">
        <f>'Get Borrowing Detail'!C7</f>
        <v/>
      </c>
      <c r="F46" s="59">
        <f>'Get Borrowing Detail'!K7</f>
        <v/>
      </c>
      <c r="G46" s="59">
        <f>'Get Borrowing Detail'!L7</f>
        <v/>
      </c>
      <c r="H46" s="59">
        <f>'Get Borrowing Detail'!M7</f>
        <v/>
      </c>
      <c r="I46" s="59">
        <f>'Get Borrowing Detail'!N7</f>
        <v/>
      </c>
    </row>
    <row r="47" ht="13.5" customHeight="1" s="426">
      <c r="A47" s="284" t="n">
        <v>36</v>
      </c>
      <c r="B47" s="272" t="inlineStr">
        <is>
          <t>Borrowing - 6</t>
        </is>
      </c>
      <c r="C47" s="59">
        <f>'Change Borrow Status'!A7</f>
        <v/>
      </c>
      <c r="D47" s="59">
        <f>'Change Borrow Status'!B7</f>
        <v/>
      </c>
      <c r="E47" s="59">
        <f>'Change Borrow Status'!C7</f>
        <v/>
      </c>
      <c r="F47" s="59">
        <f>'Change Borrow Status'!L7</f>
        <v/>
      </c>
      <c r="G47" s="59">
        <f>'Change Borrow Status'!M7</f>
        <v/>
      </c>
      <c r="H47" s="59">
        <f>'Change Borrow Status'!N7</f>
        <v/>
      </c>
      <c r="I47" s="59">
        <f>'Change Borrow Status'!O7</f>
        <v/>
      </c>
    </row>
    <row r="48" ht="13.5" customHeight="1" s="426">
      <c r="A48" s="284" t="n">
        <v>37</v>
      </c>
      <c r="B48" s="272" t="inlineStr">
        <is>
          <t>Permissions - 1</t>
        </is>
      </c>
      <c r="C48" s="59">
        <f>'Get HashSet Permissions'!A7</f>
        <v/>
      </c>
      <c r="D48" s="59">
        <f>'Get HashSet Permissions'!B7</f>
        <v/>
      </c>
      <c r="E48" s="59">
        <f>'Get HashSet Permissions'!C7</f>
        <v/>
      </c>
      <c r="F48" s="59">
        <f>'Get HashSet Permissions'!K7</f>
        <v/>
      </c>
      <c r="G48" s="59">
        <f>'Get HashSet Permissions'!L7</f>
        <v/>
      </c>
      <c r="H48" s="59">
        <f>'Get HashSet Permissions'!M7</f>
        <v/>
      </c>
      <c r="I48" s="59">
        <f>'Get HashSet Permissions'!N7</f>
        <v/>
      </c>
    </row>
    <row r="49" ht="13.5" customHeight="1" s="426">
      <c r="A49" s="284" t="n">
        <v>38</v>
      </c>
      <c r="B49" s="272" t="inlineStr">
        <is>
          <t>Permissions - 2</t>
        </is>
      </c>
      <c r="C49" s="59">
        <f>'Get Permissions'!A7</f>
        <v/>
      </c>
      <c r="D49" s="59">
        <f>'Get Permissions'!B7</f>
        <v/>
      </c>
      <c r="E49" s="59">
        <f>'Get Permissions'!C7</f>
        <v/>
      </c>
      <c r="F49" s="59">
        <f>'Get Permissions'!K7</f>
        <v/>
      </c>
      <c r="G49" s="59">
        <f>'Get Permissions'!L7</f>
        <v/>
      </c>
      <c r="H49" s="59">
        <f>'Get Permissions'!M7</f>
        <v/>
      </c>
      <c r="I49" s="59">
        <f>'Get Permissions'!N7</f>
        <v/>
      </c>
    </row>
    <row r="50" ht="13.5" customHeight="1" s="426">
      <c r="A50" s="284" t="n">
        <v>39</v>
      </c>
      <c r="B50" s="272" t="inlineStr">
        <is>
          <t>Permissions - 3</t>
        </is>
      </c>
      <c r="C50" s="59">
        <f>'Get User with Permissions'!A7</f>
        <v/>
      </c>
      <c r="D50" s="59">
        <f>'Get User with Permissions'!B7</f>
        <v/>
      </c>
      <c r="E50" s="59">
        <f>'Get User with Permissions'!C7</f>
        <v/>
      </c>
      <c r="F50" s="59">
        <f>'Get User with Permissions'!K7</f>
        <v/>
      </c>
      <c r="G50" s="59">
        <f>'Get User with Permissions'!L7</f>
        <v/>
      </c>
      <c r="H50" s="59">
        <f>'Get User with Permissions'!M7</f>
        <v/>
      </c>
      <c r="I50" s="59">
        <f>'Get User with Permissions'!N7</f>
        <v/>
      </c>
    </row>
    <row r="51" ht="13.5" customHeight="1" s="426">
      <c r="A51" s="284" t="n">
        <v>40</v>
      </c>
      <c r="B51" s="272" t="n"/>
      <c r="C51" s="59" t="n"/>
      <c r="D51" s="59" t="n"/>
      <c r="E51" s="59" t="n"/>
      <c r="F51" s="59" t="n"/>
      <c r="G51" s="59" t="n"/>
      <c r="H51" s="59" t="n"/>
      <c r="I51" s="59" t="n"/>
    </row>
    <row r="52" ht="13.5" customHeight="1" s="426">
      <c r="A52" s="284" t="n">
        <v>41</v>
      </c>
      <c r="B52" s="272" t="n"/>
      <c r="C52" s="59" t="n"/>
      <c r="D52" s="59" t="n"/>
      <c r="E52" s="59" t="n"/>
      <c r="F52" s="59" t="n"/>
      <c r="G52" s="59" t="n"/>
      <c r="H52" s="59" t="n"/>
      <c r="I52" s="59" t="n"/>
    </row>
    <row r="53" ht="13.5" customHeight="1" s="426">
      <c r="A53" s="284" t="n">
        <v>42</v>
      </c>
      <c r="B53" s="272" t="n"/>
      <c r="C53" s="59" t="n"/>
      <c r="D53" s="59" t="n"/>
      <c r="E53" s="59" t="n"/>
      <c r="F53" s="59" t="n"/>
      <c r="G53" s="59" t="n"/>
      <c r="H53" s="59" t="n"/>
      <c r="I53" s="59" t="n"/>
    </row>
    <row r="54" ht="13.5" customHeight="1" s="426">
      <c r="A54" s="284" t="n">
        <v>43</v>
      </c>
      <c r="B54" s="272" t="n"/>
      <c r="C54" s="59" t="n"/>
      <c r="D54" s="59" t="n"/>
      <c r="E54" s="59" t="n"/>
      <c r="F54" s="59" t="n"/>
      <c r="G54" s="59" t="n"/>
      <c r="H54" s="59" t="n"/>
      <c r="I54" s="59" t="n"/>
    </row>
    <row r="55" ht="13.5" customHeight="1" s="426">
      <c r="A55" s="284" t="n">
        <v>44</v>
      </c>
      <c r="B55" s="272" t="inlineStr">
        <is>
          <t>'GetReportFacility by Department'!A1</t>
        </is>
      </c>
      <c r="C55" s="59" t="n"/>
      <c r="D55" s="59" t="n"/>
      <c r="E55" s="59" t="n"/>
      <c r="F55" s="59" t="n"/>
      <c r="G55" s="59" t="n"/>
      <c r="H55" s="59" t="n"/>
      <c r="I55" s="59" t="n"/>
    </row>
    <row r="56" ht="13.5" customHeight="1" s="426">
      <c r="A56" s="284" t="n">
        <v>45</v>
      </c>
      <c r="B56" s="272" t="n"/>
      <c r="C56" s="59" t="n"/>
      <c r="D56" s="59" t="n"/>
      <c r="E56" s="59" t="n"/>
      <c r="F56" s="59" t="n"/>
      <c r="G56" s="59" t="n"/>
      <c r="H56" s="59" t="n"/>
      <c r="I56" s="59" t="n"/>
    </row>
    <row r="57" ht="13.5" customHeight="1" s="426">
      <c r="A57" s="284" t="n">
        <v>46</v>
      </c>
      <c r="B57" s="272" t="n"/>
      <c r="C57" s="59" t="n"/>
      <c r="D57" s="59" t="n"/>
      <c r="E57" s="59" t="n"/>
      <c r="F57" s="59" t="n"/>
      <c r="G57" s="59" t="n"/>
      <c r="H57" s="59" t="n"/>
      <c r="I57" s="59" t="n"/>
    </row>
    <row r="58" ht="13.5" customHeight="1" s="426">
      <c r="A58" s="284" t="n">
        <v>47</v>
      </c>
      <c r="B58" s="272" t="n"/>
      <c r="C58" s="59" t="n"/>
      <c r="D58" s="59" t="n"/>
      <c r="E58" s="59" t="n"/>
      <c r="F58" s="59" t="n"/>
      <c r="G58" s="59" t="n"/>
      <c r="H58" s="59" t="n"/>
      <c r="I58" s="59" t="n"/>
    </row>
    <row r="59" ht="13.5" customHeight="1" s="426">
      <c r="A59" s="284" t="n">
        <v>48</v>
      </c>
      <c r="B59" s="272" t="n"/>
      <c r="C59" s="59" t="n"/>
      <c r="D59" s="59" t="n"/>
      <c r="E59" s="59" t="n"/>
      <c r="F59" s="59" t="n"/>
      <c r="G59" s="59" t="n"/>
      <c r="H59" s="59" t="n"/>
      <c r="I59" s="59" t="n"/>
    </row>
    <row r="60" ht="13.5" customHeight="1" s="426">
      <c r="A60" s="284" t="n">
        <v>49</v>
      </c>
      <c r="B60" s="272" t="n"/>
      <c r="C60" s="59" t="n"/>
      <c r="D60" s="59" t="n"/>
      <c r="E60" s="59" t="n"/>
      <c r="F60" s="59" t="n"/>
      <c r="G60" s="59" t="n"/>
      <c r="H60" s="59" t="n"/>
      <c r="I60" s="59" t="n"/>
    </row>
    <row r="61" ht="13.5" customHeight="1" s="426">
      <c r="A61" s="284" t="n">
        <v>50</v>
      </c>
      <c r="B61" s="272" t="n"/>
      <c r="C61" s="59" t="n"/>
      <c r="D61" s="59" t="n"/>
      <c r="E61" s="59" t="n"/>
      <c r="F61" s="60" t="n"/>
      <c r="G61" s="59" t="n"/>
      <c r="H61" s="59" t="n"/>
      <c r="I61" s="59" t="n"/>
    </row>
    <row r="62" ht="13.5" customHeight="1" s="426">
      <c r="A62" s="284" t="n">
        <v>51</v>
      </c>
      <c r="B62" s="272" t="n"/>
      <c r="C62" s="59" t="n"/>
      <c r="D62" s="59" t="n"/>
      <c r="E62" s="59" t="n"/>
      <c r="F62" s="60" t="n"/>
      <c r="G62" s="59" t="n"/>
      <c r="H62" s="59" t="n"/>
      <c r="I62" s="59" t="n"/>
    </row>
    <row r="63" ht="13.5" customHeight="1" s="426">
      <c r="A63" s="284" t="n">
        <v>52</v>
      </c>
      <c r="B63" s="272" t="n"/>
      <c r="C63" s="59" t="n"/>
      <c r="D63" s="59" t="n"/>
      <c r="E63" s="59" t="n"/>
      <c r="F63" s="60" t="n"/>
      <c r="G63" s="59" t="n"/>
      <c r="H63" s="59" t="n"/>
      <c r="I63" s="59" t="n"/>
    </row>
    <row r="64" ht="13.5" customHeight="1" s="426">
      <c r="A64" s="284" t="n">
        <v>53</v>
      </c>
      <c r="B64" s="272" t="n"/>
      <c r="C64" s="59" t="n"/>
      <c r="D64" s="59" t="n"/>
      <c r="E64" s="59" t="n"/>
      <c r="F64" s="60" t="n"/>
      <c r="G64" s="59" t="n"/>
      <c r="H64" s="59" t="n"/>
      <c r="I64" s="59" t="n"/>
    </row>
    <row r="65" ht="13.5" customHeight="1" s="426">
      <c r="A65" s="284" t="n">
        <v>54</v>
      </c>
      <c r="B65" s="272" t="n"/>
      <c r="C65" s="59" t="n"/>
      <c r="D65" s="59" t="n"/>
      <c r="E65" s="59" t="n"/>
      <c r="F65" s="60" t="n"/>
      <c r="G65" s="59" t="n"/>
      <c r="H65" s="59" t="n"/>
      <c r="I65" s="59" t="n"/>
    </row>
    <row r="66" ht="13.5" customHeight="1" s="426">
      <c r="A66" s="284" t="n">
        <v>55</v>
      </c>
      <c r="B66" s="272" t="n"/>
      <c r="C66" s="59" t="n"/>
      <c r="D66" s="59" t="n"/>
      <c r="E66" s="59" t="n"/>
      <c r="F66" s="60" t="n"/>
      <c r="G66" s="59" t="n"/>
      <c r="H66" s="59" t="n"/>
      <c r="I66" s="59" t="n"/>
    </row>
    <row r="67" ht="13.5" customHeight="1" s="426">
      <c r="A67" s="284" t="n">
        <v>56</v>
      </c>
      <c r="B67" s="272" t="n"/>
      <c r="C67" s="59" t="n"/>
      <c r="D67" s="59" t="n"/>
      <c r="E67" s="59" t="n"/>
      <c r="F67" s="60" t="n"/>
      <c r="G67" s="59" t="n"/>
      <c r="H67" s="59" t="n"/>
      <c r="I67" s="59" t="n"/>
    </row>
    <row r="68" ht="13.5" customHeight="1" s="426">
      <c r="A68" s="284" t="n">
        <v>57</v>
      </c>
      <c r="B68" s="272" t="n"/>
      <c r="C68" s="59" t="n"/>
      <c r="D68" s="59" t="n"/>
      <c r="E68" s="59" t="n"/>
      <c r="F68" s="60" t="n"/>
      <c r="G68" s="59" t="n"/>
      <c r="H68" s="59" t="n"/>
      <c r="I68" s="59" t="n"/>
    </row>
    <row r="69" ht="13.5" customHeight="1" s="426">
      <c r="A69" s="284" t="n">
        <v>58</v>
      </c>
      <c r="B69" s="272" t="n"/>
      <c r="C69" s="59" t="n"/>
      <c r="D69" s="59" t="n"/>
      <c r="E69" s="59" t="n"/>
      <c r="F69" s="60" t="n"/>
      <c r="G69" s="59" t="n"/>
      <c r="H69" s="59" t="n"/>
      <c r="I69" s="59" t="n"/>
    </row>
    <row r="70" ht="13.5" customHeight="1" s="426">
      <c r="A70" s="285" t="n"/>
      <c r="B70" s="272" t="n"/>
      <c r="C70" s="59" t="n"/>
      <c r="D70" s="59" t="n"/>
      <c r="E70" s="59" t="n"/>
      <c r="F70" s="60" t="n"/>
      <c r="G70" s="59" t="n"/>
      <c r="H70" s="59" t="n"/>
      <c r="I70" s="59" t="n"/>
    </row>
    <row r="71" ht="13.5" customHeight="1" s="426">
      <c r="A71" s="285" t="n"/>
      <c r="B71" s="272" t="n"/>
      <c r="C71" s="59" t="n"/>
      <c r="D71" s="59" t="n"/>
      <c r="E71" s="59" t="n"/>
      <c r="F71" s="60" t="n"/>
      <c r="G71" s="59" t="n"/>
      <c r="H71" s="59" t="n"/>
      <c r="I71" s="59" t="n"/>
    </row>
    <row r="72" ht="13.5" customHeight="1" s="426">
      <c r="A72" s="285" t="n"/>
      <c r="B72" s="272" t="n"/>
      <c r="C72" s="59" t="n"/>
      <c r="D72" s="59" t="n"/>
      <c r="E72" s="59" t="n"/>
      <c r="F72" s="60" t="n"/>
      <c r="G72" s="59" t="n"/>
      <c r="H72" s="59" t="n"/>
      <c r="I72" s="59" t="n"/>
    </row>
    <row r="73" ht="13.5" customHeight="1" s="426">
      <c r="A73" s="285" t="n"/>
      <c r="B73" s="272" t="n"/>
      <c r="C73" s="59" t="n"/>
      <c r="D73" s="59" t="n"/>
      <c r="E73" s="59" t="n"/>
      <c r="F73" s="60" t="n"/>
      <c r="G73" s="59" t="n"/>
      <c r="H73" s="59" t="n"/>
      <c r="I73" s="59" t="n"/>
    </row>
    <row r="74" ht="13.5" customHeight="1" s="426">
      <c r="A74" s="285" t="n"/>
      <c r="B74" s="272" t="n"/>
      <c r="C74" s="59" t="n"/>
      <c r="D74" s="59" t="n"/>
      <c r="E74" s="59" t="n"/>
      <c r="F74" s="60" t="n"/>
      <c r="G74" s="59" t="n"/>
      <c r="H74" s="59" t="n"/>
      <c r="I74" s="59" t="n"/>
    </row>
    <row r="75" ht="13.5" customHeight="1" s="426">
      <c r="A75" s="285" t="n"/>
      <c r="B75" s="272" t="n"/>
      <c r="C75" s="59" t="n"/>
      <c r="D75" s="59" t="n"/>
      <c r="E75" s="59" t="n"/>
      <c r="F75" s="60" t="n"/>
      <c r="G75" s="59" t="n"/>
      <c r="H75" s="59" t="n"/>
      <c r="I75" s="59" t="n"/>
    </row>
    <row r="76" ht="13.5" customHeight="1" s="426">
      <c r="A76" s="285" t="n"/>
      <c r="B76" s="272" t="n"/>
      <c r="C76" s="59" t="n"/>
      <c r="D76" s="59" t="n"/>
      <c r="E76" s="59" t="n"/>
      <c r="F76" s="60" t="n"/>
      <c r="G76" s="59" t="n"/>
      <c r="H76" s="59" t="n"/>
      <c r="I76" s="59" t="n"/>
    </row>
    <row r="77" ht="13.5" customHeight="1" s="426">
      <c r="A77" s="285" t="n"/>
      <c r="B77" s="272" t="n"/>
      <c r="C77" s="59" t="n"/>
      <c r="D77" s="59" t="n"/>
      <c r="E77" s="59" t="n"/>
      <c r="F77" s="60" t="n"/>
      <c r="G77" s="59" t="n"/>
      <c r="H77" s="59" t="n"/>
      <c r="I77" s="59" t="n"/>
    </row>
    <row r="78" ht="13.5" customHeight="1" s="426">
      <c r="A78" s="285" t="n"/>
      <c r="B78" s="272" t="n"/>
      <c r="C78" s="59" t="n"/>
      <c r="D78" s="59" t="n"/>
      <c r="E78" s="59" t="n"/>
      <c r="F78" s="60" t="n"/>
      <c r="G78" s="59" t="n"/>
      <c r="H78" s="59" t="n"/>
      <c r="I78" s="59" t="n"/>
    </row>
    <row r="79" ht="13.5" customHeight="1" s="426">
      <c r="A79" s="285" t="n"/>
      <c r="B79" s="272" t="n"/>
      <c r="C79" s="59" t="n"/>
      <c r="D79" s="59" t="n"/>
      <c r="E79" s="59" t="n"/>
      <c r="F79" s="60" t="n"/>
      <c r="G79" s="59" t="n"/>
      <c r="H79" s="59" t="n"/>
      <c r="I79" s="59" t="n"/>
    </row>
    <row r="80" ht="13.5" customHeight="1" s="426">
      <c r="A80" s="285" t="n"/>
      <c r="B80" s="272" t="n"/>
      <c r="C80" s="59" t="n"/>
      <c r="D80" s="59" t="n"/>
      <c r="E80" s="59" t="n"/>
      <c r="F80" s="60" t="n"/>
      <c r="G80" s="59" t="n"/>
      <c r="H80" s="59" t="n"/>
      <c r="I80" s="59" t="n"/>
    </row>
    <row r="81" ht="13.5" customHeight="1" s="426">
      <c r="A81" s="285" t="n"/>
      <c r="B81" s="272" t="n"/>
      <c r="C81" s="59" t="n"/>
      <c r="D81" s="59" t="n"/>
      <c r="E81" s="59" t="n"/>
      <c r="F81" s="60" t="n"/>
      <c r="G81" s="59" t="n"/>
      <c r="H81" s="59" t="n"/>
      <c r="I81" s="59" t="n"/>
    </row>
    <row r="82" ht="13.5" customHeight="1" s="426">
      <c r="A82" s="285" t="n"/>
      <c r="B82" s="272" t="n"/>
      <c r="C82" s="59" t="n"/>
      <c r="D82" s="59" t="n"/>
      <c r="E82" s="59" t="n"/>
      <c r="F82" s="60" t="n"/>
      <c r="G82" s="59" t="n"/>
      <c r="H82" s="59" t="n"/>
      <c r="I82" s="59" t="n"/>
    </row>
    <row r="83" ht="13.5" customHeight="1" s="426">
      <c r="A83" s="285" t="n"/>
      <c r="B83" s="272" t="n"/>
      <c r="C83" s="59" t="n"/>
      <c r="D83" s="59" t="n"/>
      <c r="E83" s="59" t="n"/>
      <c r="F83" s="60" t="n"/>
      <c r="G83" s="59" t="n"/>
      <c r="H83" s="59" t="n"/>
      <c r="I83" s="59" t="n"/>
    </row>
    <row r="84" ht="13.5" customHeight="1" s="426">
      <c r="A84" s="285" t="n"/>
      <c r="B84" s="272" t="n"/>
      <c r="C84" s="59" t="n"/>
      <c r="D84" s="59" t="n"/>
      <c r="E84" s="59" t="n"/>
      <c r="F84" s="60" t="n"/>
      <c r="G84" s="59" t="n"/>
      <c r="H84" s="59" t="n"/>
      <c r="I84" s="59" t="n"/>
    </row>
    <row r="85" ht="13.5" customHeight="1" s="426">
      <c r="A85" s="285" t="n"/>
      <c r="B85" s="272" t="n"/>
      <c r="C85" s="59" t="n"/>
      <c r="D85" s="59" t="n"/>
      <c r="E85" s="59" t="n"/>
      <c r="F85" s="60" t="n"/>
      <c r="G85" s="59" t="n"/>
      <c r="H85" s="59" t="n"/>
      <c r="I85" s="59" t="n"/>
    </row>
    <row r="86" ht="13.5" customHeight="1" s="426">
      <c r="A86" s="285" t="n"/>
      <c r="B86" s="272" t="n"/>
      <c r="C86" s="59" t="n"/>
      <c r="D86" s="59" t="n"/>
      <c r="E86" s="59" t="n"/>
      <c r="F86" s="60" t="n"/>
      <c r="G86" s="59" t="n"/>
      <c r="H86" s="59" t="n"/>
      <c r="I86" s="59" t="n"/>
    </row>
    <row r="87" ht="13.5" customHeight="1" s="426">
      <c r="A87" s="285" t="n"/>
      <c r="B87" s="272" t="n"/>
      <c r="C87" s="59" t="n"/>
      <c r="D87" s="59" t="n"/>
      <c r="E87" s="59" t="n"/>
      <c r="F87" s="60" t="n"/>
      <c r="G87" s="59" t="n"/>
      <c r="H87" s="59" t="n"/>
      <c r="I87" s="59" t="n"/>
    </row>
    <row r="88" ht="13.5" customHeight="1" s="426">
      <c r="A88" s="285" t="n"/>
      <c r="B88" s="272" t="n"/>
      <c r="C88" s="59" t="n"/>
      <c r="D88" s="59" t="n"/>
      <c r="E88" s="59" t="n"/>
      <c r="F88" s="60" t="n"/>
      <c r="G88" s="59" t="n"/>
      <c r="H88" s="59" t="n"/>
      <c r="I88" s="59" t="n"/>
    </row>
    <row r="89" ht="13.5" customHeight="1" s="426">
      <c r="A89" s="285" t="n"/>
      <c r="B89" s="272" t="n"/>
      <c r="C89" s="59" t="n"/>
      <c r="D89" s="59" t="n"/>
      <c r="E89" s="59" t="n"/>
      <c r="F89" s="60" t="n"/>
      <c r="G89" s="59" t="n"/>
      <c r="H89" s="59" t="n"/>
      <c r="I89" s="59" t="n"/>
    </row>
    <row r="90" ht="13.5" customHeight="1" s="426">
      <c r="A90" s="285" t="n"/>
      <c r="B90" s="272" t="n"/>
      <c r="C90" s="59" t="n"/>
      <c r="D90" s="59" t="n"/>
      <c r="E90" s="59" t="n"/>
      <c r="F90" s="60" t="n"/>
      <c r="G90" s="59" t="n"/>
      <c r="H90" s="59" t="n"/>
      <c r="I90" s="59" t="n"/>
    </row>
    <row r="91" ht="14" customHeight="1" s="426">
      <c r="A91" s="285" t="n"/>
      <c r="B91" s="146" t="n"/>
      <c r="C91" s="59" t="n"/>
      <c r="D91" s="59" t="n"/>
      <c r="E91" s="59" t="n"/>
      <c r="F91" s="60" t="n"/>
      <c r="G91" s="59" t="n"/>
      <c r="H91" s="59" t="n"/>
      <c r="I91" s="59" t="n"/>
    </row>
    <row r="92" ht="14" customHeight="1" s="426">
      <c r="A92" s="285" t="n"/>
      <c r="B92" s="146" t="n"/>
      <c r="C92" s="59" t="n"/>
      <c r="D92" s="59" t="n"/>
      <c r="E92" s="59" t="n"/>
      <c r="F92" s="60" t="n"/>
      <c r="G92" s="59" t="n"/>
      <c r="H92" s="59" t="n"/>
      <c r="I92" s="59" t="n"/>
    </row>
    <row r="93" ht="14" customHeight="1" s="426">
      <c r="A93" s="58" t="n"/>
      <c r="B93" s="146" t="n"/>
      <c r="C93" s="59" t="n"/>
      <c r="D93" s="59" t="n"/>
      <c r="E93" s="59" t="n"/>
      <c r="F93" s="60" t="n"/>
      <c r="G93" s="59" t="n"/>
      <c r="H93" s="59" t="n"/>
      <c r="I93" s="59" t="n"/>
    </row>
    <row r="94" ht="14" customHeight="1" s="426">
      <c r="A94" s="58" t="n"/>
      <c r="B94" s="260" t="n"/>
      <c r="C94" s="58" t="n"/>
      <c r="D94" s="58" t="n"/>
      <c r="E94" s="58" t="n"/>
      <c r="F94" s="261" t="n"/>
      <c r="G94" s="58" t="n"/>
      <c r="H94" s="58" t="n"/>
      <c r="I94" s="58" t="n"/>
    </row>
    <row r="95">
      <c r="A95" s="58" t="n"/>
      <c r="B95" s="58" t="n"/>
      <c r="C95" s="58" t="n"/>
      <c r="D95" s="58" t="n"/>
      <c r="E95" s="58" t="n"/>
      <c r="F95" s="58" t="n"/>
      <c r="G95" s="58" t="n"/>
      <c r="H95" s="58" t="n"/>
      <c r="I95" s="58" t="n"/>
    </row>
    <row r="96" ht="14" customHeight="1" s="426">
      <c r="A96" s="61" t="n"/>
      <c r="B96" s="147" t="inlineStr">
        <is>
          <t>Sub total</t>
        </is>
      </c>
      <c r="C96" s="62">
        <f>SUM(C10:C95)</f>
        <v/>
      </c>
      <c r="D96" s="62">
        <f>SUM(D10:D95)</f>
        <v/>
      </c>
      <c r="E96" s="62">
        <f>SUM(E10:E95)</f>
        <v/>
      </c>
      <c r="F96" s="62">
        <f>SUM(F10:F95)</f>
        <v/>
      </c>
      <c r="G96" s="62">
        <f>SUM(G10:G95)</f>
        <v/>
      </c>
      <c r="H96" s="62">
        <f>SUM(H10:H95)</f>
        <v/>
      </c>
      <c r="I96" s="62">
        <f>SUM(I10:I95)</f>
        <v/>
      </c>
    </row>
    <row r="97">
      <c r="A97" s="63" t="n"/>
      <c r="C97" s="64" t="n"/>
      <c r="D97" s="65" t="n"/>
      <c r="E97" s="65" t="n"/>
      <c r="F97" s="65" t="n"/>
      <c r="G97" s="65" t="n"/>
      <c r="H97" s="65" t="n"/>
      <c r="I97" s="65" t="n"/>
    </row>
    <row r="98">
      <c r="B98" s="156" t="inlineStr">
        <is>
          <t>Test coverage</t>
        </is>
      </c>
      <c r="D98" s="157">
        <f>(C96+D96)*100/(I96)</f>
        <v/>
      </c>
      <c r="E98" s="5" t="inlineStr">
        <is>
          <t>%</t>
        </is>
      </c>
      <c r="I98" s="66" t="n"/>
    </row>
    <row r="99">
      <c r="B99" s="156" t="inlineStr">
        <is>
          <t>Test successful coverage</t>
        </is>
      </c>
      <c r="D99" s="157">
        <f>C96*100/(I96)</f>
        <v/>
      </c>
      <c r="E99" s="5" t="inlineStr">
        <is>
          <t>%</t>
        </is>
      </c>
      <c r="I99" s="66" t="n"/>
    </row>
    <row r="100">
      <c r="B100" s="156" t="inlineStr">
        <is>
          <t>Normal case</t>
        </is>
      </c>
      <c r="D100" s="157">
        <f>F96*100/I96</f>
        <v/>
      </c>
      <c r="E100" s="5" t="inlineStr">
        <is>
          <t>%</t>
        </is>
      </c>
    </row>
    <row r="101">
      <c r="B101" s="156" t="inlineStr">
        <is>
          <t>Abnormal case</t>
        </is>
      </c>
      <c r="D101" s="157">
        <f>G96*100/I96</f>
        <v/>
      </c>
      <c r="E101" s="5" t="inlineStr">
        <is>
          <t>%</t>
        </is>
      </c>
    </row>
    <row r="102">
      <c r="B102" s="156" t="inlineStr">
        <is>
          <t>Boundary case</t>
        </is>
      </c>
      <c r="D102" s="157">
        <f>H96*100/I96</f>
        <v/>
      </c>
      <c r="E102" s="5" t="inlineStr">
        <is>
          <t>%</t>
        </is>
      </c>
    </row>
  </sheetData>
  <mergeCells count="11">
    <mergeCell ref="D6:E6"/>
    <mergeCell ref="B6:C6"/>
    <mergeCell ref="A2:I2"/>
    <mergeCell ref="B7:I7"/>
    <mergeCell ref="B5:C5"/>
    <mergeCell ref="F4:I4"/>
    <mergeCell ref="D5:E5"/>
    <mergeCell ref="D4:E4"/>
    <mergeCell ref="F5:I5"/>
    <mergeCell ref="B4:C4"/>
    <mergeCell ref="F6:I6"/>
  </mergeCells>
  <hyperlinks>
    <hyperlink ref="B12" location="'Get All Room'!A1" display="Room - 1"/>
    <hyperlink ref="B13" location="'Get Room Detail'!A1" display="Room - 2"/>
    <hyperlink ref="B14" location="'Add Room'!A1" display="Room - 3"/>
    <hyperlink ref="B15" location="'Update Room'!A1" display="Room - 4"/>
    <hyperlink ref="B16" location="'Entry Excel To Room'!A1" display="Room - 5"/>
    <hyperlink ref="B17" location="'Get All Roles'!A1" display="Role - 1"/>
    <hyperlink ref="B18" location="'Get Role Detail'!A1" display="Role - 2"/>
    <hyperlink ref="B19" location="'Add New Role'!A1" display="Role - 3"/>
    <hyperlink ref="B20" location="'Update Role'!A1" display="Role - 4"/>
    <hyperlink ref="B21" location="'Get Facilities'!A1" display="Facility - 1"/>
    <hyperlink ref="B22" location="'Get Facility By Id'!A1" display="Facility - 2"/>
    <hyperlink ref="B23" location="'Add New Facility'!A1" display="Facility - 3"/>
    <hyperlink ref="B24" location="'Update Facility'!A1" display="Facility - 4"/>
    <hyperlink ref="B25" location="'Get Available Facilities'!A1" display="Facility - 5"/>
    <hyperlink ref="B26" location="'Get All Facilities'!A1" display="Facility - 6"/>
    <hyperlink ref="B27" location="'Get Room Facilities By Room Id'!A1" display="RoomFacility - 1"/>
    <hyperlink ref="B28" location="'Get Room Facility Detail'!A1" display="RoomFacility -2"/>
    <hyperlink ref="B29" location="'Add New Room Facility'!A1" display="RoomFacility - 3"/>
    <hyperlink ref="B30" location="'Update Room Facility'!A1" display="RoomFacility - 4"/>
    <hyperlink ref="B31" location="'Delete Room Facility'!A1" display="RoomFacility - 5"/>
    <hyperlink ref="B32" location="'Get User By Email'!A1" display="User - 1"/>
    <hyperlink ref="B33" location="'Get All Users'!A1" display="User - 2"/>
    <hyperlink ref="B34" location="'Add New User'!A1" display="User - 3"/>
    <hyperlink ref="B35" location="'Edit Password'!A1" display="User - 4"/>
    <hyperlink ref="B36" location="'Get User Profile'!A1" display="User - 5"/>
    <hyperlink ref="B37" location="'Change User Status'!A1" display="User - 6"/>
    <hyperlink ref="B38" location="'Update User Profile'!A1" display="User - 7"/>
    <hyperlink ref="B39" location="'Entry Excel To User'!A1" display="User - 8"/>
    <hyperlink ref="B40" location="'Get User By Usercode'!A1" display="User - 9"/>
    <hyperlink ref="B41" location="Login!A1" display="User - 10"/>
    <hyperlink ref="B42" location="'Create Borrow Request'!A1" display="Borrowing - 1"/>
    <hyperlink ref="B43" location="'Get Personal Borrowing'!A1" display="Borrowing - 2"/>
    <hyperlink ref="B44" location="'Get Borrow List For Department'!A1" display="Borrowing - 3"/>
    <hyperlink ref="B45" location="'Get Important Borrowing'!A1" display="Borrowing - 4"/>
    <hyperlink ref="B46" location="'Get Borrowing Detail'!A1" display="Borrowing - 5"/>
    <hyperlink ref="B47" location="'Change Borrow Status'!A1" display="Borrowing - 6"/>
    <hyperlink ref="B48" location="'Get HashSet Permissions'!A1" display="Permissions - 1"/>
    <hyperlink ref="B49" location="'Get Permissions'!A1" display="Permissions - 2"/>
    <hyperlink ref="B50" location="'Get User with Permissions'!A1" display="Permissions - 3"/>
    <hyperlink ref="B55" location="'GetReportFacility by Department'!A1" display="ReportFacility - 3"/>
  </hyperlinks>
  <pageMargins left="0.65" right="0.65" top="0.75" bottom="0.75" header="0.5" footer="0.5"/>
  <pageSetup orientation="landscape" firstPageNumber="0" horizontalDpi="300" verticalDpi="300"/>
  <headerFooter alignWithMargins="0">
    <oddHeader/>
    <oddFooter>&amp;L&amp;"Tahoma,Regular"&amp;8 02ae-BM/PM/HDCV/FSOFT v2/1&amp;C&amp;"Tahoma,Regular"&amp;8 Internal use&amp;R&amp;"Tahoma,Regular"&amp;8 &amp;P/&amp;N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V26"/>
  <sheetViews>
    <sheetView topLeftCell="A9" zoomScale="145" zoomScaleNormal="145" workbookViewId="0">
      <selection activeCell="X17" sqref="X17"/>
    </sheetView>
  </sheetViews>
  <sheetFormatPr baseColWidth="8" defaultColWidth="9" defaultRowHeight="13.5" customHeight="1"/>
  <cols>
    <col width="8.1796875" customWidth="1" style="69" min="1" max="1"/>
    <col width="13.453125" customWidth="1" style="73" min="2" max="2"/>
    <col width="10.81640625" customWidth="1" style="69" min="3" max="3"/>
    <col width="11.453125" customWidth="1" style="413" min="4" max="4"/>
    <col hidden="1" width="1.81640625" customWidth="1" style="69" min="5" max="5"/>
    <col width="2.81640625" bestFit="1" customWidth="1" style="69" min="6" max="7"/>
    <col width="2.81640625" customWidth="1" style="69" min="8" max="8"/>
    <col width="2.81640625" bestFit="1" customWidth="1" style="69" min="9" max="10"/>
    <col width="2.81640625" customWidth="1" style="69" min="11"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f>'Function List'!E11</f>
        <v/>
      </c>
      <c r="D2" s="439" t="n"/>
      <c r="E2" s="441" t="n"/>
      <c r="F2" s="442" t="inlineStr">
        <is>
          <t>Function Name</t>
        </is>
      </c>
      <c r="G2" s="439" t="n"/>
      <c r="H2" s="439" t="n"/>
      <c r="I2" s="439" t="n"/>
      <c r="J2" s="439" t="n"/>
      <c r="K2" s="441" t="n"/>
      <c r="L2" s="443">
        <f>'Function List'!D11</f>
        <v/>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1" t="inlineStr">
        <is>
          <t>Nguyễn Hữu Duy</t>
        </is>
      </c>
      <c r="M3" s="449" t="n"/>
      <c r="N3" s="449" t="n"/>
      <c r="O3" s="449" t="n"/>
      <c r="P3" s="449" t="n"/>
      <c r="Q3" s="449" t="n"/>
      <c r="R3" s="449" t="n"/>
      <c r="S3" s="449" t="n"/>
      <c r="T3" s="452" t="n"/>
    </row>
    <row r="4" ht="13.5" customHeight="1" s="426">
      <c r="A4" s="445" t="inlineStr">
        <is>
          <t>Lines  of code</t>
        </is>
      </c>
      <c r="B4" s="428" t="n"/>
      <c r="C4" s="327" t="n">
        <v>100</v>
      </c>
      <c r="D4" s="427" t="n"/>
      <c r="E4" s="328" t="n"/>
      <c r="F4" s="448" t="inlineStr">
        <is>
          <t>Lack of test cases</t>
        </is>
      </c>
      <c r="G4" s="449" t="n"/>
      <c r="H4" s="449" t="n"/>
      <c r="I4" s="449" t="n"/>
      <c r="J4" s="449" t="n"/>
      <c r="K4" s="450" t="n"/>
      <c r="L4" s="453" t="n">
        <v>0</v>
      </c>
      <c r="M4" s="454" t="n"/>
      <c r="N4" s="454" t="n"/>
      <c r="O4" s="454" t="n"/>
      <c r="P4" s="454" t="n"/>
      <c r="Q4" s="454" t="n"/>
      <c r="R4" s="454" t="n"/>
      <c r="S4" s="454" t="n"/>
      <c r="T4" s="455" t="n"/>
      <c r="V4" s="71" t="n"/>
    </row>
    <row r="5" ht="13.5" customHeight="1" s="426">
      <c r="A5" s="445" t="inlineStr">
        <is>
          <t>Test requirement</t>
        </is>
      </c>
      <c r="B5" s="428" t="n"/>
      <c r="C5" s="337" t="inlineStr">
        <is>
          <t>&lt;Brief description about requirements which are tested in this function&gt;</t>
        </is>
      </c>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461" t="inlineStr">
        <is>
          <t>N/A/B</t>
        </is>
      </c>
      <c r="M6" s="427" t="n"/>
      <c r="N6" s="460" t="n"/>
      <c r="O6" s="462" t="inlineStr">
        <is>
          <t>Total Test Cases</t>
        </is>
      </c>
      <c r="P6" s="427" t="n"/>
      <c r="Q6" s="427" t="n"/>
      <c r="R6" s="427" t="n"/>
      <c r="S6" s="427" t="n"/>
      <c r="T6" s="463" t="n"/>
      <c r="V6" s="71" t="n"/>
    </row>
    <row r="7" ht="13.5" customHeight="1" s="426" thickBot="1">
      <c r="A7" s="464">
        <f>COUNTIF(F23:HQ23,"P")</f>
        <v/>
      </c>
      <c r="B7" s="465" t="n"/>
      <c r="C7" s="466">
        <f>COUNTIF(F23:HQ23,"F")</f>
        <v/>
      </c>
      <c r="D7" s="467" t="n"/>
      <c r="E7" s="465" t="n"/>
      <c r="F7" s="468">
        <f>SUM(O7,- A7,- C7)</f>
        <v/>
      </c>
      <c r="G7" s="467" t="n"/>
      <c r="H7" s="467" t="n"/>
      <c r="I7" s="467" t="n"/>
      <c r="J7" s="467" t="n"/>
      <c r="K7" s="469" t="n"/>
      <c r="L7" s="342">
        <f>COUNTIF(E22:HQ22,"N")</f>
        <v/>
      </c>
      <c r="M7" s="342">
        <f>COUNTIF(E22:HQ22,"A")</f>
        <v/>
      </c>
      <c r="N7" s="342">
        <f>COUNTIF(E22:HQ22,"B")</f>
        <v/>
      </c>
      <c r="O7" s="470">
        <f>COUNTA(E9:HT9)</f>
        <v/>
      </c>
      <c r="P7" s="467" t="n"/>
      <c r="Q7" s="467" t="n"/>
      <c r="R7" s="467" t="n"/>
      <c r="S7" s="467" t="n"/>
      <c r="T7" s="471" t="n"/>
      <c r="U7" s="72" t="n"/>
    </row>
    <row r="8" ht="10.5" customHeight="1" s="426" thickBot="1"/>
    <row r="9" ht="46.5" customHeight="1" s="426" thickBot="1" thickTop="1">
      <c r="A9" s="201" t="n"/>
      <c r="B9" s="202" t="n"/>
      <c r="C9" s="203" t="n"/>
      <c r="D9" s="204" t="n"/>
      <c r="E9" s="203" t="n"/>
      <c r="F9" s="238" t="inlineStr">
        <is>
          <t>UTCID01</t>
        </is>
      </c>
      <c r="G9" s="238" t="inlineStr">
        <is>
          <t>UTCID02</t>
        </is>
      </c>
      <c r="H9" s="238" t="inlineStr">
        <is>
          <t>UTCID03</t>
        </is>
      </c>
      <c r="I9" s="236" t="n"/>
      <c r="J9" s="236" t="n"/>
      <c r="K9" s="205" t="n"/>
      <c r="L9" s="205" t="n"/>
      <c r="M9" s="205" t="n"/>
      <c r="N9" s="205" t="n"/>
      <c r="O9" s="205" t="n"/>
      <c r="P9" s="205" t="n"/>
      <c r="Q9" s="205" t="n"/>
      <c r="R9" s="205" t="n"/>
      <c r="S9" s="205" t="n"/>
      <c r="T9" s="206" t="n"/>
      <c r="U9" s="74" t="n"/>
      <c r="V9" s="71" t="n"/>
    </row>
    <row r="10" ht="13.5" customHeight="1" s="426">
      <c r="A10" s="183" t="inlineStr">
        <is>
          <t>Condition</t>
        </is>
      </c>
      <c r="B10" s="184" t="inlineStr">
        <is>
          <t xml:space="preserve">Precondition </t>
        </is>
      </c>
      <c r="C10" s="185" t="n"/>
      <c r="D10" s="186" t="n"/>
      <c r="E10" s="80" t="n"/>
      <c r="F10" s="149" t="n"/>
      <c r="G10" s="149" t="n"/>
      <c r="H10" s="149" t="n"/>
      <c r="I10" s="149" t="n"/>
      <c r="J10" s="149" t="n"/>
      <c r="K10" s="149" t="n"/>
      <c r="L10" s="149" t="n"/>
      <c r="M10" s="149" t="n"/>
      <c r="N10" s="149" t="n"/>
      <c r="O10" s="149" t="n"/>
      <c r="P10" s="149" t="n"/>
      <c r="Q10" s="149" t="n"/>
      <c r="R10" s="149" t="n"/>
      <c r="S10" s="149" t="n"/>
      <c r="T10" s="172"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c r="V12" s="71" t="n"/>
    </row>
    <row r="13" ht="13.5" customHeight="1" s="426">
      <c r="A13" s="171" t="n"/>
      <c r="B13" s="75" t="n"/>
      <c r="C13" s="76" t="n"/>
      <c r="D13" s="77" t="inlineStr">
        <is>
          <t>No Entry In Database</t>
        </is>
      </c>
      <c r="E13" s="80" t="n"/>
      <c r="F13" s="148" t="n"/>
      <c r="G13" s="148" t="inlineStr">
        <is>
          <t>O</t>
        </is>
      </c>
      <c r="H13" s="148" t="n"/>
      <c r="I13" s="148" t="n"/>
      <c r="J13" s="148" t="n"/>
      <c r="K13" s="148" t="n"/>
      <c r="L13" s="148" t="n"/>
      <c r="M13" s="148" t="n"/>
      <c r="N13" s="148" t="n"/>
      <c r="O13" s="148" t="n"/>
      <c r="P13" s="148" t="n"/>
      <c r="Q13" s="148" t="n"/>
      <c r="R13" s="148" t="n"/>
      <c r="S13" s="148" t="n"/>
      <c r="T13" s="170" t="n"/>
      <c r="V13" s="71" t="n"/>
    </row>
    <row r="14" ht="13.5" customHeight="1" s="426" thickBot="1">
      <c r="A14" s="171" t="n"/>
      <c r="B14" s="75" t="n"/>
      <c r="C14" s="76" t="n"/>
      <c r="D14" s="77" t="inlineStr">
        <is>
          <t>Room Entry In Database</t>
        </is>
      </c>
      <c r="E14" s="80" t="n"/>
      <c r="F14" s="148" t="inlineStr">
        <is>
          <t>O</t>
        </is>
      </c>
      <c r="G14" s="148" t="n"/>
      <c r="H14" s="148" t="inlineStr">
        <is>
          <t>O</t>
        </is>
      </c>
      <c r="I14" s="148" t="n"/>
      <c r="J14" s="148" t="n"/>
      <c r="K14" s="148" t="n"/>
      <c r="L14" s="148" t="n"/>
      <c r="M14" s="148" t="n"/>
      <c r="N14" s="148" t="n"/>
      <c r="O14" s="148" t="n"/>
      <c r="P14" s="148" t="n"/>
      <c r="Q14" s="148" t="n"/>
      <c r="R14" s="148" t="n"/>
      <c r="S14" s="148" t="n"/>
      <c r="T14" s="170" t="n"/>
    </row>
    <row r="15" ht="13.5" customHeight="1" s="426">
      <c r="A15" s="182" t="inlineStr">
        <is>
          <t>Confirm</t>
        </is>
      </c>
      <c r="B15" s="83" t="inlineStr">
        <is>
          <t>Return</t>
        </is>
      </c>
      <c r="C15" s="84" t="n"/>
      <c r="D15" s="85" t="n"/>
      <c r="E15" s="86" t="n"/>
      <c r="F15" s="149" t="n"/>
      <c r="G15" s="149" t="n"/>
      <c r="H15" s="149" t="n"/>
      <c r="I15" s="149" t="n"/>
      <c r="J15" s="149" t="n"/>
      <c r="K15" s="149" t="n"/>
      <c r="L15" s="149" t="n"/>
      <c r="M15" s="149" t="n"/>
      <c r="N15" s="149" t="n"/>
      <c r="O15" s="149" t="n"/>
      <c r="P15" s="149" t="n"/>
      <c r="Q15" s="149" t="n"/>
      <c r="R15" s="149" t="n"/>
      <c r="S15" s="149" t="n"/>
      <c r="T15" s="172" t="n"/>
    </row>
    <row r="16" ht="13.5" customHeight="1" s="426">
      <c r="A16" s="181" t="n"/>
      <c r="B16" s="88" t="n"/>
      <c r="C16" s="89" t="n"/>
      <c r="D16" s="90" t="inlineStr">
        <is>
          <t>Room List</t>
        </is>
      </c>
      <c r="E16" s="91" t="n"/>
      <c r="F16" s="148" t="inlineStr">
        <is>
          <t>O</t>
        </is>
      </c>
      <c r="G16" s="148" t="n"/>
      <c r="H16" s="148" t="n"/>
      <c r="I16" s="148" t="n"/>
      <c r="J16" s="148" t="n"/>
      <c r="K16" s="148" t="n"/>
      <c r="L16" s="148" t="n"/>
      <c r="M16" s="148" t="n"/>
      <c r="N16" s="148" t="n"/>
      <c r="O16" s="148" t="n"/>
      <c r="P16" s="148" t="n"/>
      <c r="Q16" s="148" t="n"/>
      <c r="R16" s="148" t="n"/>
      <c r="S16" s="148" t="n"/>
      <c r="T16" s="170" t="n"/>
    </row>
    <row r="17" ht="13.5" customHeight="1" s="426">
      <c r="A17" s="181" t="n"/>
      <c r="B17" s="88" t="n"/>
      <c r="C17" s="150" t="n"/>
      <c r="D17" s="90" t="inlineStr">
        <is>
          <t>Null</t>
        </is>
      </c>
      <c r="E17" s="93" t="n"/>
      <c r="F17" s="148" t="n"/>
      <c r="G17" s="148" t="inlineStr">
        <is>
          <t>O</t>
        </is>
      </c>
      <c r="H17" s="148" t="n"/>
      <c r="I17" s="148" t="n"/>
      <c r="J17" s="148" t="n"/>
      <c r="K17" s="148" t="n"/>
      <c r="L17" s="148" t="n"/>
      <c r="M17" s="148" t="n"/>
      <c r="N17" s="148" t="n"/>
      <c r="O17" s="148" t="n"/>
      <c r="P17" s="148" t="n"/>
      <c r="Q17" s="148" t="n"/>
      <c r="R17" s="148" t="n"/>
      <c r="S17" s="148" t="n"/>
      <c r="T17" s="170" t="n"/>
    </row>
    <row r="18" ht="13.5" customHeight="1" s="426">
      <c r="A18" s="181" t="n"/>
      <c r="B18" s="88" t="inlineStr">
        <is>
          <t>Exception</t>
        </is>
      </c>
      <c r="C18" s="150" t="n"/>
      <c r="D18" s="90" t="n"/>
      <c r="E18" s="93" t="n"/>
      <c r="F18" s="148" t="n"/>
      <c r="G18" s="148" t="n"/>
      <c r="H18" s="148" t="n"/>
      <c r="I18" s="148" t="n"/>
      <c r="J18" s="148" t="n"/>
      <c r="K18" s="148" t="n"/>
      <c r="L18" s="148" t="n"/>
      <c r="M18" s="148" t="n"/>
      <c r="N18" s="148" t="n"/>
      <c r="O18" s="148" t="n"/>
      <c r="P18" s="148" t="n"/>
      <c r="Q18" s="148" t="n"/>
      <c r="R18" s="148" t="n"/>
      <c r="S18" s="148" t="n"/>
      <c r="T18" s="170" t="n"/>
    </row>
    <row r="19" ht="13.5" customHeight="1" s="426">
      <c r="A19" s="181" t="n"/>
      <c r="B19" s="88" t="n"/>
      <c r="C19" s="150" t="n"/>
      <c r="D19" s="90" t="inlineStr">
        <is>
          <t>InvalidOperationException</t>
        </is>
      </c>
      <c r="E19" s="93" t="n"/>
      <c r="F19" s="148" t="n"/>
      <c r="G19" s="148" t="n"/>
      <c r="H19" s="148" t="inlineStr">
        <is>
          <t>O</t>
        </is>
      </c>
      <c r="I19" s="148" t="n"/>
      <c r="J19" s="148" t="n"/>
      <c r="K19" s="148" t="n"/>
      <c r="L19" s="148" t="n"/>
      <c r="M19" s="148" t="n"/>
      <c r="N19" s="148" t="n"/>
      <c r="O19" s="148" t="n"/>
      <c r="P19" s="148" t="n"/>
      <c r="Q19" s="148" t="n"/>
      <c r="R19" s="148" t="n"/>
      <c r="S19" s="148" t="n"/>
      <c r="T19" s="170" t="n"/>
    </row>
    <row r="20" ht="13.5" customHeight="1" s="426">
      <c r="A20" s="181" t="n"/>
      <c r="B20" s="88" t="inlineStr">
        <is>
          <t>Exception</t>
        </is>
      </c>
      <c r="C20" s="150" t="n"/>
      <c r="D20" s="90" t="n"/>
      <c r="E20" s="93" t="n"/>
      <c r="F20" s="148" t="n"/>
      <c r="G20" s="148" t="n"/>
      <c r="H20" s="148" t="n"/>
      <c r="I20" s="148" t="n"/>
      <c r="J20" s="148" t="n"/>
      <c r="K20" s="148" t="n"/>
      <c r="L20" s="148" t="n"/>
      <c r="M20" s="148" t="n"/>
      <c r="N20" s="148" t="n"/>
      <c r="O20" s="148" t="n"/>
      <c r="P20" s="148" t="n"/>
      <c r="Q20" s="148" t="n"/>
      <c r="R20" s="148" t="n"/>
      <c r="S20" s="148" t="n"/>
      <c r="T20" s="170" t="n"/>
    </row>
    <row r="21" ht="13.5" customHeight="1" s="426" thickBot="1">
      <c r="A21" s="181" t="n"/>
      <c r="B21" s="88" t="n"/>
      <c r="C21" s="150" t="n"/>
      <c r="D21" s="90" t="inlineStr">
        <is>
          <t>"Database error"</t>
        </is>
      </c>
      <c r="E21" s="93" t="n"/>
      <c r="F21" s="148" t="n"/>
      <c r="G21" s="148" t="n"/>
      <c r="H21" s="148" t="inlineStr">
        <is>
          <t>O</t>
        </is>
      </c>
      <c r="I21" s="148" t="n"/>
      <c r="J21" s="148" t="n"/>
      <c r="K21" s="148" t="n"/>
      <c r="L21" s="148" t="n"/>
      <c r="M21" s="148" t="n"/>
      <c r="N21" s="148" t="n"/>
      <c r="O21" s="148" t="n"/>
      <c r="P21" s="148" t="n"/>
      <c r="Q21" s="148" t="n"/>
      <c r="R21" s="148" t="n"/>
      <c r="S21" s="148" t="n"/>
      <c r="T21" s="170" t="n"/>
    </row>
    <row r="22" ht="13.5" customHeight="1" s="426" thickTop="1">
      <c r="A22" s="182" t="inlineStr">
        <is>
          <t>Result</t>
        </is>
      </c>
      <c r="B22" s="331" t="inlineStr">
        <is>
          <t>Type(N : Normal, A : Abnormal, B : Boundary)</t>
        </is>
      </c>
      <c r="C22" s="472" t="n"/>
      <c r="D22" s="473" t="n"/>
      <c r="E22" s="331" t="n"/>
      <c r="F22" s="163" t="inlineStr">
        <is>
          <t>N</t>
        </is>
      </c>
      <c r="G22" s="163" t="inlineStr">
        <is>
          <t>N</t>
        </is>
      </c>
      <c r="H22" s="163" t="inlineStr">
        <is>
          <t>A</t>
        </is>
      </c>
      <c r="I22" s="163" t="n"/>
      <c r="J22" s="163" t="n"/>
      <c r="K22" s="163" t="n"/>
      <c r="L22" s="163" t="n"/>
      <c r="M22" s="163" t="n"/>
      <c r="N22" s="163" t="n"/>
      <c r="O22" s="163" t="n"/>
      <c r="P22" s="163" t="n"/>
      <c r="Q22" s="163" t="n"/>
      <c r="R22" s="163" t="n"/>
      <c r="S22" s="163" t="n"/>
      <c r="T22" s="173" t="n"/>
    </row>
    <row r="23" ht="13.5" customHeight="1" s="426">
      <c r="A23" s="181" t="n"/>
      <c r="B23" s="320" t="inlineStr">
        <is>
          <t>Passed/Failed</t>
        </is>
      </c>
      <c r="C23" s="449" t="n"/>
      <c r="D23" s="450" t="n"/>
      <c r="E23" s="95" t="n"/>
      <c r="F23" s="151" t="inlineStr">
        <is>
          <t>P</t>
        </is>
      </c>
      <c r="G23" s="151" t="inlineStr">
        <is>
          <t>P</t>
        </is>
      </c>
      <c r="H23" s="151" t="inlineStr">
        <is>
          <t>P</t>
        </is>
      </c>
      <c r="I23" s="151" t="n"/>
      <c r="J23" s="151" t="n"/>
      <c r="K23" s="151" t="n"/>
      <c r="L23" s="151" t="n"/>
      <c r="M23" s="151" t="n"/>
      <c r="N23" s="151" t="n"/>
      <c r="O23" s="151" t="n"/>
      <c r="P23" s="151" t="n"/>
      <c r="Q23" s="151" t="n"/>
      <c r="R23" s="151" t="n"/>
      <c r="S23" s="151" t="n"/>
      <c r="T23" s="175" t="n"/>
    </row>
    <row r="24" ht="64.5" customHeight="1" s="426">
      <c r="A24" s="181" t="n"/>
      <c r="B24" s="329" t="inlineStr">
        <is>
          <t>Executed Date</t>
        </is>
      </c>
      <c r="C24" s="449" t="n"/>
      <c r="D24" s="450" t="n"/>
      <c r="E24" s="96" t="n"/>
      <c r="F24" s="97" t="n">
        <v>45700</v>
      </c>
      <c r="G24" s="97" t="n">
        <v>45700</v>
      </c>
      <c r="H24" s="97" t="n">
        <v>45700</v>
      </c>
      <c r="I24" s="97" t="n"/>
      <c r="J24" s="97" t="n"/>
      <c r="K24" s="97" t="n"/>
      <c r="L24" s="97" t="n"/>
      <c r="M24" s="97" t="n"/>
      <c r="N24" s="97" t="n"/>
      <c r="O24" s="97" t="n"/>
      <c r="P24" s="97" t="n"/>
      <c r="Q24" s="97" t="n"/>
      <c r="R24" s="97" t="n"/>
      <c r="S24" s="97" t="n"/>
      <c r="T24" s="176" t="n"/>
    </row>
    <row r="25" ht="10.5" customHeight="1" s="426" thickBot="1">
      <c r="A25" s="200" t="n"/>
      <c r="B25" s="330" t="inlineStr">
        <is>
          <t>Defect ID</t>
        </is>
      </c>
      <c r="C25" s="474" t="n"/>
      <c r="D25" s="475" t="n"/>
      <c r="E25" s="178" t="n"/>
      <c r="F25" s="179" t="n"/>
      <c r="G25" s="179" t="n"/>
      <c r="H25" s="179" t="n"/>
      <c r="I25" s="179" t="n"/>
      <c r="J25" s="179" t="n"/>
      <c r="K25" s="179" t="n"/>
      <c r="L25" s="179" t="n"/>
      <c r="M25" s="179" t="n"/>
      <c r="N25" s="179" t="n"/>
      <c r="O25" s="179" t="n"/>
      <c r="P25" s="179" t="n"/>
      <c r="Q25" s="179" t="n"/>
      <c r="R25" s="179" t="n"/>
      <c r="S25" s="179" t="n"/>
      <c r="T25" s="180" t="n"/>
    </row>
    <row r="26" ht="10.5" customHeight="1" s="426" thickTop="1">
      <c r="A26" s="164" t="n"/>
    </row>
  </sheetData>
  <mergeCells count="27">
    <mergeCell ref="B23:D23"/>
    <mergeCell ref="F2:K2"/>
    <mergeCell ref="A6:B6"/>
    <mergeCell ref="C4:D4"/>
    <mergeCell ref="L4:T4"/>
    <mergeCell ref="C2:E2"/>
    <mergeCell ref="A7:B7"/>
    <mergeCell ref="C7:E7"/>
    <mergeCell ref="L6:N6"/>
    <mergeCell ref="A3:B3"/>
    <mergeCell ref="B24:D24"/>
    <mergeCell ref="A2:B2"/>
    <mergeCell ref="A5:B5"/>
    <mergeCell ref="C3:E3"/>
    <mergeCell ref="F4:K4"/>
    <mergeCell ref="O7:T7"/>
    <mergeCell ref="B25:D25"/>
    <mergeCell ref="C6:E6"/>
    <mergeCell ref="A4:B4"/>
    <mergeCell ref="L2:T2"/>
    <mergeCell ref="O6:T6"/>
    <mergeCell ref="F6:K6"/>
    <mergeCell ref="B22:D22"/>
    <mergeCell ref="C5:T5"/>
    <mergeCell ref="F7:K7"/>
    <mergeCell ref="L3:T3"/>
    <mergeCell ref="F3:K3"/>
  </mergeCells>
  <dataValidations count="3">
    <dataValidation sqref="F22:T22" showDropDown="0" showInputMessage="1" showErrorMessage="1" allowBlank="1" type="list">
      <formula1>"N,A,B, "</formula1>
    </dataValidation>
    <dataValidation sqref="F23:T23" showDropDown="0" showInputMessage="1" showErrorMessage="1" allowBlank="1" type="list">
      <formula1>"P,F, "</formula1>
    </dataValidation>
    <dataValidation sqref="F10:T21" showDropDown="0" showInputMessage="1" showErrorMessage="1" allowBlank="1" type="list">
      <formula1>"O, "</formula1>
    </dataValidation>
  </dataValidations>
  <pageMargins left="0.75" right="0.75" top="0.75" bottom="0.75" header="0.5" footer="0.5"/>
  <pageSetup orientation="portrait" paperSize="9" horizontalDpi="300" verticalDpi="300"/>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V26"/>
  <sheetViews>
    <sheetView topLeftCell="A24" zoomScale="130" zoomScaleNormal="130" workbookViewId="0">
      <selection activeCell="X27" sqref="X27"/>
    </sheetView>
  </sheetViews>
  <sheetFormatPr baseColWidth="8" defaultColWidth="9" defaultRowHeight="13.5" customHeight="1"/>
  <cols>
    <col width="8.1796875" customWidth="1" style="69" min="1" max="1"/>
    <col width="13.453125" customWidth="1" style="73" min="2" max="2"/>
    <col width="10.81640625" customWidth="1" style="69" min="3" max="3"/>
    <col width="11.453125" customWidth="1" style="413" min="4" max="4"/>
    <col hidden="1" width="1.81640625" customWidth="1" style="69" min="5" max="5"/>
    <col width="2.81640625" bestFit="1" customWidth="1" style="69" min="6" max="7"/>
    <col width="2.81640625" customWidth="1" style="69" min="8" max="8"/>
    <col width="2.81640625" bestFit="1" customWidth="1" style="69" min="9" max="10"/>
    <col width="2.81640625" customWidth="1" style="69" min="11"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User - 2</t>
        </is>
      </c>
      <c r="D2" s="439" t="n"/>
      <c r="E2" s="441" t="n"/>
      <c r="F2" s="442" t="inlineStr">
        <is>
          <t>Function Name</t>
        </is>
      </c>
      <c r="G2" s="439" t="n"/>
      <c r="H2" s="439" t="n"/>
      <c r="I2" s="439" t="n"/>
      <c r="J2" s="439" t="n"/>
      <c r="K2" s="441" t="n"/>
      <c r="L2" s="443" t="inlineStr">
        <is>
          <t>Get All Users</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1" t="inlineStr">
        <is>
          <t>Nguyễn Hữu Duy</t>
        </is>
      </c>
      <c r="M3" s="449" t="n"/>
      <c r="N3" s="449" t="n"/>
      <c r="O3" s="449" t="n"/>
      <c r="P3" s="449" t="n"/>
      <c r="Q3" s="449" t="n"/>
      <c r="R3" s="449" t="n"/>
      <c r="S3" s="449" t="n"/>
      <c r="T3" s="452" t="n"/>
    </row>
    <row r="4" ht="13.5" customHeight="1" s="426">
      <c r="A4" s="445" t="inlineStr">
        <is>
          <t>Lines  of code</t>
        </is>
      </c>
      <c r="B4" s="428" t="n"/>
      <c r="C4" s="327" t="n">
        <v>93</v>
      </c>
      <c r="D4" s="427" t="n"/>
      <c r="E4" s="328" t="n"/>
      <c r="F4" s="448" t="inlineStr">
        <is>
          <t>Lack of test cases</t>
        </is>
      </c>
      <c r="G4" s="449" t="n"/>
      <c r="H4" s="449" t="n"/>
      <c r="I4" s="449" t="n"/>
      <c r="J4" s="449" t="n"/>
      <c r="K4" s="450" t="n"/>
      <c r="L4" s="453" t="n">
        <v>0</v>
      </c>
      <c r="M4" s="454" t="n"/>
      <c r="N4" s="454" t="n"/>
      <c r="O4" s="454" t="n"/>
      <c r="P4" s="454" t="n"/>
      <c r="Q4" s="454" t="n"/>
      <c r="R4" s="454" t="n"/>
      <c r="S4" s="454" t="n"/>
      <c r="T4" s="455" t="n"/>
      <c r="V4" s="71" t="n"/>
    </row>
    <row r="5" ht="13.5" customHeight="1" s="426">
      <c r="A5" s="445" t="inlineStr">
        <is>
          <t>Test requirement</t>
        </is>
      </c>
      <c r="B5" s="428" t="n"/>
      <c r="C5" s="337" t="inlineStr">
        <is>
          <t>&lt;Brief description about requirements which are tested in this function&gt;</t>
        </is>
      </c>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461" t="inlineStr">
        <is>
          <t>N/A/B</t>
        </is>
      </c>
      <c r="M6" s="427" t="n"/>
      <c r="N6" s="460" t="n"/>
      <c r="O6" s="462" t="inlineStr">
        <is>
          <t>Total Test Cases</t>
        </is>
      </c>
      <c r="P6" s="427" t="n"/>
      <c r="Q6" s="427" t="n"/>
      <c r="R6" s="427" t="n"/>
      <c r="S6" s="427" t="n"/>
      <c r="T6" s="463" t="n"/>
      <c r="V6" s="71" t="n"/>
    </row>
    <row r="7" ht="13.5" customHeight="1" s="426" thickBot="1">
      <c r="A7" s="464">
        <f>COUNTIF(F23:HQ23,"P")</f>
        <v/>
      </c>
      <c r="B7" s="465" t="n"/>
      <c r="C7" s="466">
        <f>COUNTIF(F23:HQ23,"F")</f>
        <v/>
      </c>
      <c r="D7" s="467" t="n"/>
      <c r="E7" s="465" t="n"/>
      <c r="F7" s="468">
        <f>SUM(O7,- A7,- C7)</f>
        <v/>
      </c>
      <c r="G7" s="467" t="n"/>
      <c r="H7" s="467" t="n"/>
      <c r="I7" s="467" t="n"/>
      <c r="J7" s="467" t="n"/>
      <c r="K7" s="469" t="n"/>
      <c r="L7" s="342">
        <f>COUNTIF(E22:HQ22,"N")</f>
        <v/>
      </c>
      <c r="M7" s="342">
        <f>COUNTIF(E22:HQ22,"A")</f>
        <v/>
      </c>
      <c r="N7" s="342">
        <f>COUNTIF(E22:HQ22,"B")</f>
        <v/>
      </c>
      <c r="O7" s="470">
        <f>COUNTA(E9:HT9)</f>
        <v/>
      </c>
      <c r="P7" s="467" t="n"/>
      <c r="Q7" s="467" t="n"/>
      <c r="R7" s="467" t="n"/>
      <c r="S7" s="467" t="n"/>
      <c r="T7" s="471" t="n"/>
      <c r="U7" s="72" t="n"/>
    </row>
    <row r="8" ht="10.5" customHeight="1" s="426" thickBot="1"/>
    <row r="9" ht="46.5" customHeight="1" s="426" thickBot="1" thickTop="1">
      <c r="A9" s="201" t="n"/>
      <c r="B9" s="202" t="n"/>
      <c r="C9" s="203" t="n"/>
      <c r="D9" s="204" t="n"/>
      <c r="E9" s="203" t="n"/>
      <c r="F9" s="238" t="inlineStr">
        <is>
          <t>UTCID01</t>
        </is>
      </c>
      <c r="G9" s="238" t="inlineStr">
        <is>
          <t>UTCID02</t>
        </is>
      </c>
      <c r="H9" s="238" t="inlineStr">
        <is>
          <t>UTCID03</t>
        </is>
      </c>
      <c r="I9" s="236" t="n"/>
      <c r="J9" s="236" t="n"/>
      <c r="K9" s="205" t="n"/>
      <c r="L9" s="205" t="n"/>
      <c r="M9" s="205" t="n"/>
      <c r="N9" s="205" t="n"/>
      <c r="O9" s="205" t="n"/>
      <c r="P9" s="205" t="n"/>
      <c r="Q9" s="205" t="n"/>
      <c r="R9" s="205" t="n"/>
      <c r="S9" s="205" t="n"/>
      <c r="T9" s="206" t="n"/>
      <c r="U9" s="74" t="n"/>
      <c r="V9" s="71" t="n"/>
    </row>
    <row r="10" ht="13.5" customHeight="1" s="426">
      <c r="A10" s="183" t="inlineStr">
        <is>
          <t>Condition</t>
        </is>
      </c>
      <c r="B10" s="184" t="inlineStr">
        <is>
          <t xml:space="preserve">Precondition </t>
        </is>
      </c>
      <c r="C10" s="185" t="n"/>
      <c r="D10" s="186" t="n"/>
      <c r="E10" s="80" t="n"/>
      <c r="F10" s="149" t="n"/>
      <c r="G10" s="149" t="n"/>
      <c r="H10" s="149" t="n"/>
      <c r="I10" s="149" t="n"/>
      <c r="J10" s="149" t="n"/>
      <c r="K10" s="149" t="n"/>
      <c r="L10" s="149" t="n"/>
      <c r="M10" s="149" t="n"/>
      <c r="N10" s="149" t="n"/>
      <c r="O10" s="149" t="n"/>
      <c r="P10" s="149" t="n"/>
      <c r="Q10" s="149" t="n"/>
      <c r="R10" s="149" t="n"/>
      <c r="S10" s="149" t="n"/>
      <c r="T10" s="172"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c r="V12" s="71" t="n"/>
    </row>
    <row r="13" ht="13.5" customHeight="1" s="426">
      <c r="A13" s="171" t="n"/>
      <c r="B13" s="75" t="n"/>
      <c r="C13" s="76" t="n"/>
      <c r="D13" s="77" t="inlineStr">
        <is>
          <t>No Entry In Database</t>
        </is>
      </c>
      <c r="E13" s="80" t="n"/>
      <c r="F13" s="148" t="n"/>
      <c r="G13" s="148" t="inlineStr">
        <is>
          <t>O</t>
        </is>
      </c>
      <c r="H13" s="148" t="n"/>
      <c r="I13" s="148" t="n"/>
      <c r="J13" s="148" t="n"/>
      <c r="K13" s="148" t="n"/>
      <c r="L13" s="148" t="n"/>
      <c r="M13" s="148" t="n"/>
      <c r="N13" s="148" t="n"/>
      <c r="O13" s="148" t="n"/>
      <c r="P13" s="148" t="n"/>
      <c r="Q13" s="148" t="n"/>
      <c r="R13" s="148" t="n"/>
      <c r="S13" s="148" t="n"/>
      <c r="T13" s="170" t="n"/>
      <c r="V13" s="71" t="n"/>
    </row>
    <row r="14" ht="13.5" customHeight="1" s="426" thickBot="1">
      <c r="A14" s="171" t="n"/>
      <c r="B14" s="75" t="n"/>
      <c r="C14" s="76" t="n"/>
      <c r="D14" s="77" t="inlineStr">
        <is>
          <t>Users Entry In Database</t>
        </is>
      </c>
      <c r="E14" s="80" t="n"/>
      <c r="F14" s="148" t="inlineStr">
        <is>
          <t>O</t>
        </is>
      </c>
      <c r="G14" s="148" t="n"/>
      <c r="H14" s="148" t="inlineStr">
        <is>
          <t>O</t>
        </is>
      </c>
      <c r="I14" s="148" t="n"/>
      <c r="J14" s="148" t="n"/>
      <c r="K14" s="148" t="n"/>
      <c r="L14" s="148" t="n"/>
      <c r="M14" s="148" t="n"/>
      <c r="N14" s="148" t="n"/>
      <c r="O14" s="148" t="n"/>
      <c r="P14" s="148" t="n"/>
      <c r="Q14" s="148" t="n"/>
      <c r="R14" s="148" t="n"/>
      <c r="S14" s="148" t="n"/>
      <c r="T14" s="170" t="n"/>
    </row>
    <row r="15" ht="13.5" customHeight="1" s="426">
      <c r="A15" s="182" t="inlineStr">
        <is>
          <t>Confirm</t>
        </is>
      </c>
      <c r="B15" s="83" t="inlineStr">
        <is>
          <t>Return</t>
        </is>
      </c>
      <c r="C15" s="84" t="n"/>
      <c r="D15" s="85" t="n"/>
      <c r="E15" s="86" t="n"/>
      <c r="F15" s="149" t="n"/>
      <c r="G15" s="149" t="n"/>
      <c r="H15" s="149" t="n"/>
      <c r="I15" s="149" t="n"/>
      <c r="J15" s="149" t="n"/>
      <c r="K15" s="149" t="n"/>
      <c r="L15" s="149" t="n"/>
      <c r="M15" s="149" t="n"/>
      <c r="N15" s="149" t="n"/>
      <c r="O15" s="149" t="n"/>
      <c r="P15" s="149" t="n"/>
      <c r="Q15" s="149" t="n"/>
      <c r="R15" s="149" t="n"/>
      <c r="S15" s="149" t="n"/>
      <c r="T15" s="172" t="n"/>
    </row>
    <row r="16" ht="13.5" customHeight="1" s="426">
      <c r="A16" s="181" t="n"/>
      <c r="B16" s="88" t="n"/>
      <c r="C16" s="89" t="n"/>
      <c r="D16" s="90" t="inlineStr">
        <is>
          <t>User List</t>
        </is>
      </c>
      <c r="E16" s="91" t="n"/>
      <c r="F16" s="148" t="inlineStr">
        <is>
          <t>O</t>
        </is>
      </c>
      <c r="G16" s="148" t="n"/>
      <c r="H16" s="148" t="n"/>
      <c r="I16" s="148" t="n"/>
      <c r="J16" s="148" t="n"/>
      <c r="K16" s="148" t="n"/>
      <c r="L16" s="148" t="n"/>
      <c r="M16" s="148" t="n"/>
      <c r="N16" s="148" t="n"/>
      <c r="O16" s="148" t="n"/>
      <c r="P16" s="148" t="n"/>
      <c r="Q16" s="148" t="n"/>
      <c r="R16" s="148" t="n"/>
      <c r="S16" s="148" t="n"/>
      <c r="T16" s="170" t="n"/>
    </row>
    <row r="17" ht="13.5" customHeight="1" s="426">
      <c r="A17" s="181" t="n"/>
      <c r="B17" s="88" t="n"/>
      <c r="C17" s="150" t="n"/>
      <c r="D17" s="90" t="inlineStr">
        <is>
          <t>Null</t>
        </is>
      </c>
      <c r="E17" s="93" t="n"/>
      <c r="F17" s="148" t="n"/>
      <c r="G17" s="148" t="inlineStr">
        <is>
          <t>O</t>
        </is>
      </c>
      <c r="H17" s="148" t="n"/>
      <c r="I17" s="148" t="n"/>
      <c r="J17" s="148" t="n"/>
      <c r="K17" s="148" t="n"/>
      <c r="L17" s="148" t="n"/>
      <c r="M17" s="148" t="n"/>
      <c r="N17" s="148" t="n"/>
      <c r="O17" s="148" t="n"/>
      <c r="P17" s="148" t="n"/>
      <c r="Q17" s="148" t="n"/>
      <c r="R17" s="148" t="n"/>
      <c r="S17" s="148" t="n"/>
      <c r="T17" s="170" t="n"/>
    </row>
    <row r="18" ht="13.5" customHeight="1" s="426">
      <c r="A18" s="181" t="n"/>
      <c r="B18" s="88" t="inlineStr">
        <is>
          <t>Exception</t>
        </is>
      </c>
      <c r="C18" s="150" t="n"/>
      <c r="D18" s="90" t="n"/>
      <c r="E18" s="93" t="n"/>
      <c r="F18" s="148" t="n"/>
      <c r="G18" s="148" t="n"/>
      <c r="H18" s="148" t="n"/>
      <c r="I18" s="148" t="n"/>
      <c r="J18" s="148" t="n"/>
      <c r="K18" s="148" t="n"/>
      <c r="L18" s="148" t="n"/>
      <c r="M18" s="148" t="n"/>
      <c r="N18" s="148" t="n"/>
      <c r="O18" s="148" t="n"/>
      <c r="P18" s="148" t="n"/>
      <c r="Q18" s="148" t="n"/>
      <c r="R18" s="148" t="n"/>
      <c r="S18" s="148" t="n"/>
      <c r="T18" s="170" t="n"/>
    </row>
    <row r="19" ht="13.5" customHeight="1" s="426">
      <c r="A19" s="181" t="n"/>
      <c r="B19" s="88" t="n"/>
      <c r="C19" s="150" t="n"/>
      <c r="D19" s="90" t="inlineStr">
        <is>
          <t>InvalidOperationException</t>
        </is>
      </c>
      <c r="E19" s="93" t="n"/>
      <c r="F19" s="148" t="n"/>
      <c r="G19" s="148" t="n"/>
      <c r="H19" s="148" t="inlineStr">
        <is>
          <t>O</t>
        </is>
      </c>
      <c r="I19" s="148" t="n"/>
      <c r="J19" s="148" t="n"/>
      <c r="K19" s="148" t="n"/>
      <c r="L19" s="148" t="n"/>
      <c r="M19" s="148" t="n"/>
      <c r="N19" s="148" t="n"/>
      <c r="O19" s="148" t="n"/>
      <c r="P19" s="148" t="n"/>
      <c r="Q19" s="148" t="n"/>
      <c r="R19" s="148" t="n"/>
      <c r="S19" s="148" t="n"/>
      <c r="T19" s="170" t="n"/>
    </row>
    <row r="20" ht="13.5" customHeight="1" s="426">
      <c r="A20" s="181" t="n"/>
      <c r="B20" s="88" t="inlineStr">
        <is>
          <t>Exception</t>
        </is>
      </c>
      <c r="C20" s="150" t="n"/>
      <c r="D20" s="90" t="n"/>
      <c r="E20" s="93" t="n"/>
      <c r="F20" s="148" t="n"/>
      <c r="G20" s="148" t="n"/>
      <c r="H20" s="148" t="n"/>
      <c r="I20" s="148" t="n"/>
      <c r="J20" s="148" t="n"/>
      <c r="K20" s="148" t="n"/>
      <c r="L20" s="148" t="n"/>
      <c r="M20" s="148" t="n"/>
      <c r="N20" s="148" t="n"/>
      <c r="O20" s="148" t="n"/>
      <c r="P20" s="148" t="n"/>
      <c r="Q20" s="148" t="n"/>
      <c r="R20" s="148" t="n"/>
      <c r="S20" s="148" t="n"/>
      <c r="T20" s="170" t="n"/>
    </row>
    <row r="21" ht="13.5" customHeight="1" s="426" thickBot="1">
      <c r="A21" s="181" t="n"/>
      <c r="B21" s="88" t="n"/>
      <c r="C21" s="150" t="n"/>
      <c r="D21" s="90" t="inlineStr">
        <is>
          <t>"Database error"</t>
        </is>
      </c>
      <c r="E21" s="93" t="n"/>
      <c r="F21" s="148" t="n"/>
      <c r="G21" s="148" t="n"/>
      <c r="H21" s="148" t="inlineStr">
        <is>
          <t>O</t>
        </is>
      </c>
      <c r="I21" s="148" t="n"/>
      <c r="J21" s="148" t="n"/>
      <c r="K21" s="148" t="n"/>
      <c r="L21" s="148" t="n"/>
      <c r="M21" s="148" t="n"/>
      <c r="N21" s="148" t="n"/>
      <c r="O21" s="148" t="n"/>
      <c r="P21" s="148" t="n"/>
      <c r="Q21" s="148" t="n"/>
      <c r="R21" s="148" t="n"/>
      <c r="S21" s="148" t="n"/>
      <c r="T21" s="170" t="n"/>
    </row>
    <row r="22" ht="13.5" customHeight="1" s="426" thickTop="1">
      <c r="A22" s="182" t="inlineStr">
        <is>
          <t>Result</t>
        </is>
      </c>
      <c r="B22" s="331" t="inlineStr">
        <is>
          <t>Type(N : Normal, A : Abnormal, B : Boundary)</t>
        </is>
      </c>
      <c r="C22" s="472" t="n"/>
      <c r="D22" s="473" t="n"/>
      <c r="E22" s="331" t="n"/>
      <c r="F22" s="163" t="inlineStr">
        <is>
          <t>N</t>
        </is>
      </c>
      <c r="G22" s="163" t="inlineStr">
        <is>
          <t>N</t>
        </is>
      </c>
      <c r="H22" s="163" t="inlineStr">
        <is>
          <t>A</t>
        </is>
      </c>
      <c r="I22" s="163" t="n"/>
      <c r="J22" s="163" t="n"/>
      <c r="K22" s="163" t="n"/>
      <c r="L22" s="163" t="n"/>
      <c r="M22" s="163" t="n"/>
      <c r="N22" s="163" t="n"/>
      <c r="O22" s="163" t="n"/>
      <c r="P22" s="163" t="n"/>
      <c r="Q22" s="163" t="n"/>
      <c r="R22" s="163" t="n"/>
      <c r="S22" s="163" t="n"/>
      <c r="T22" s="173" t="n"/>
    </row>
    <row r="23" ht="13.5" customHeight="1" s="426">
      <c r="A23" s="181" t="n"/>
      <c r="B23" s="320" t="inlineStr">
        <is>
          <t>Passed/Failed</t>
        </is>
      </c>
      <c r="C23" s="449" t="n"/>
      <c r="D23" s="450" t="n"/>
      <c r="E23" s="95" t="n"/>
      <c r="F23" s="151" t="inlineStr">
        <is>
          <t>P</t>
        </is>
      </c>
      <c r="G23" s="151" t="inlineStr">
        <is>
          <t>P</t>
        </is>
      </c>
      <c r="H23" s="151" t="inlineStr">
        <is>
          <t>P</t>
        </is>
      </c>
      <c r="I23" s="151" t="n"/>
      <c r="J23" s="151" t="n"/>
      <c r="K23" s="151" t="n"/>
      <c r="L23" s="151" t="n"/>
      <c r="M23" s="151" t="n"/>
      <c r="N23" s="151" t="n"/>
      <c r="O23" s="151" t="n"/>
      <c r="P23" s="151" t="n"/>
      <c r="Q23" s="151" t="n"/>
      <c r="R23" s="151" t="n"/>
      <c r="S23" s="151" t="n"/>
      <c r="T23" s="175" t="n"/>
    </row>
    <row r="24" ht="64.5" customHeight="1" s="426">
      <c r="A24" s="181" t="n"/>
      <c r="B24" s="329" t="inlineStr">
        <is>
          <t>Executed Date</t>
        </is>
      </c>
      <c r="C24" s="449" t="n"/>
      <c r="D24" s="450" t="n"/>
      <c r="E24" s="96" t="n"/>
      <c r="F24" s="97" t="n">
        <v>45706</v>
      </c>
      <c r="G24" s="97" t="n">
        <v>45706</v>
      </c>
      <c r="H24" s="97" t="n">
        <v>45706</v>
      </c>
      <c r="I24" s="97" t="n"/>
      <c r="J24" s="97" t="n"/>
      <c r="K24" s="97" t="n"/>
      <c r="L24" s="97" t="n"/>
      <c r="M24" s="97" t="n"/>
      <c r="N24" s="97" t="n"/>
      <c r="O24" s="97" t="n"/>
      <c r="P24" s="97" t="n"/>
      <c r="Q24" s="97" t="n"/>
      <c r="R24" s="97" t="n"/>
      <c r="S24" s="97" t="n"/>
      <c r="T24" s="176" t="n"/>
    </row>
    <row r="25" ht="10.5" customHeight="1" s="426" thickBot="1">
      <c r="A25" s="200" t="n"/>
      <c r="B25" s="330" t="inlineStr">
        <is>
          <t>Defect ID</t>
        </is>
      </c>
      <c r="C25" s="474" t="n"/>
      <c r="D25" s="475" t="n"/>
      <c r="E25" s="178" t="n"/>
      <c r="F25" s="179" t="n"/>
      <c r="G25" s="179" t="n"/>
      <c r="H25" s="179" t="n"/>
      <c r="I25" s="179" t="n"/>
      <c r="J25" s="179" t="n"/>
      <c r="K25" s="179" t="n"/>
      <c r="L25" s="179" t="n"/>
      <c r="M25" s="179" t="n"/>
      <c r="N25" s="179" t="n"/>
      <c r="O25" s="179" t="n"/>
      <c r="P25" s="179" t="n"/>
      <c r="Q25" s="179" t="n"/>
      <c r="R25" s="179" t="n"/>
      <c r="S25" s="179" t="n"/>
      <c r="T25" s="180" t="n"/>
    </row>
    <row r="26" ht="10.5" customHeight="1" s="426" thickTop="1">
      <c r="A26" s="164" t="n"/>
    </row>
  </sheetData>
  <mergeCells count="27">
    <mergeCell ref="B23:D23"/>
    <mergeCell ref="F2:K2"/>
    <mergeCell ref="A6:B6"/>
    <mergeCell ref="C4:D4"/>
    <mergeCell ref="L4:T4"/>
    <mergeCell ref="C2:E2"/>
    <mergeCell ref="A7:B7"/>
    <mergeCell ref="C7:E7"/>
    <mergeCell ref="L6:N6"/>
    <mergeCell ref="A3:B3"/>
    <mergeCell ref="B24:D24"/>
    <mergeCell ref="A2:B2"/>
    <mergeCell ref="A5:B5"/>
    <mergeCell ref="C3:E3"/>
    <mergeCell ref="O7:T7"/>
    <mergeCell ref="F4:K4"/>
    <mergeCell ref="B25:D25"/>
    <mergeCell ref="C6:E6"/>
    <mergeCell ref="A4:B4"/>
    <mergeCell ref="L2:T2"/>
    <mergeCell ref="O6:T6"/>
    <mergeCell ref="F6:K6"/>
    <mergeCell ref="B22:D22"/>
    <mergeCell ref="F7:K7"/>
    <mergeCell ref="C5:T5"/>
    <mergeCell ref="L3:T3"/>
    <mergeCell ref="F3:K3"/>
  </mergeCells>
  <dataValidations count="3">
    <dataValidation sqref="F10:T21" showDropDown="0" showInputMessage="1" showErrorMessage="1" allowBlank="1" type="list">
      <formula1>"O, "</formula1>
    </dataValidation>
    <dataValidation sqref="F23:T23" showDropDown="0" showInputMessage="1" showErrorMessage="1" allowBlank="1" type="list">
      <formula1>"P,F, "</formula1>
    </dataValidation>
    <dataValidation sqref="F22:T22" showDropDown="0" showInputMessage="1" showErrorMessage="1" allowBlank="1" type="list">
      <formula1>"N,A,B, "</formula1>
    </dataValidation>
  </dataValidations>
  <pageMargins left="0.75" right="0.75" top="0.75" bottom="0.75" header="0.5" footer="0.5"/>
  <pageSetup orientation="portrait" paperSize="9" horizontalDpi="300" verticalDpi="300"/>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V31"/>
  <sheetViews>
    <sheetView topLeftCell="A22" zoomScale="145" zoomScaleNormal="145" workbookViewId="0">
      <selection activeCell="W28" sqref="W28"/>
    </sheetView>
  </sheetViews>
  <sheetFormatPr baseColWidth="8" defaultColWidth="9" defaultRowHeight="13.5" customHeight="1"/>
  <cols>
    <col width="8.1796875" customWidth="1" style="69" min="1" max="1"/>
    <col width="13.453125" customWidth="1" style="73" min="2" max="2"/>
    <col width="10.81640625" customWidth="1" style="69" min="3" max="3"/>
    <col width="11.453125" customWidth="1" style="413" min="4" max="4"/>
    <col hidden="1" width="1.81640625" customWidth="1" style="69" min="5" max="5"/>
    <col width="2.81640625" bestFit="1" customWidth="1" style="69" min="6" max="7"/>
    <col width="2.81640625" customWidth="1" style="69" min="8" max="8"/>
    <col width="2.81640625" bestFit="1" customWidth="1" style="69" min="9" max="10"/>
    <col width="2.81640625" customWidth="1" style="69" min="11" max="19"/>
    <col width="2.81640625" bestFit="1" customWidth="1" style="69" min="20" max="20"/>
    <col width="2.81640625" customWidth="1" style="69" min="21" max="21"/>
    <col width="11" customWidth="1" style="69" min="22" max="256"/>
    <col width="9" customWidth="1" style="69" min="257" max="16384"/>
  </cols>
  <sheetData>
    <row r="1" ht="22.5" customHeight="1" s="426" thickBot="1">
      <c r="D1" s="153" t="n"/>
    </row>
    <row r="2" ht="15" customHeight="1" s="426">
      <c r="A2" s="363" t="inlineStr">
        <is>
          <t>Function Code</t>
        </is>
      </c>
      <c r="B2" s="476" t="n"/>
      <c r="C2" s="365">
        <f>'Function List'!E12</f>
        <v/>
      </c>
      <c r="D2" s="476" t="n"/>
      <c r="E2" s="267" t="n"/>
      <c r="F2" s="364" t="inlineStr">
        <is>
          <t>Function Name</t>
        </is>
      </c>
      <c r="G2" s="477" t="n"/>
      <c r="H2" s="477" t="n"/>
      <c r="I2" s="477" t="n"/>
      <c r="J2" s="477" t="n"/>
      <c r="K2" s="476" t="n"/>
      <c r="L2" s="365">
        <f>'Function List'!D12</f>
        <v/>
      </c>
      <c r="M2" s="477" t="n"/>
      <c r="N2" s="477" t="n"/>
      <c r="O2" s="477" t="n"/>
      <c r="P2" s="477" t="n"/>
      <c r="Q2" s="477" t="n"/>
      <c r="R2" s="477" t="n"/>
      <c r="S2" s="477" t="n"/>
      <c r="T2" s="476" t="n"/>
    </row>
    <row r="3" ht="13.5" customHeight="1" s="426">
      <c r="A3" s="478" t="inlineStr">
        <is>
          <t>Created By</t>
        </is>
      </c>
      <c r="B3" s="434" t="n"/>
      <c r="C3" s="446" t="inlineStr">
        <is>
          <t>Nguyễn Hữu Duy</t>
        </is>
      </c>
      <c r="D3" s="433" t="n"/>
      <c r="E3" s="447" t="n"/>
      <c r="F3" s="479" t="inlineStr">
        <is>
          <t>Executed By</t>
        </is>
      </c>
      <c r="G3" s="480" t="n"/>
      <c r="H3" s="480" t="n"/>
      <c r="I3" s="480" t="n"/>
      <c r="J3" s="480" t="n"/>
      <c r="K3" s="481" t="n"/>
      <c r="L3" s="482" t="inlineStr">
        <is>
          <t>Nguyễn Hữu Duy</t>
        </is>
      </c>
      <c r="M3" s="427" t="n"/>
      <c r="N3" s="427" t="n"/>
      <c r="O3" s="427" t="n"/>
      <c r="P3" s="427" t="n"/>
      <c r="Q3" s="427" t="n"/>
      <c r="R3" s="427" t="n"/>
      <c r="S3" s="427" t="n"/>
      <c r="T3" s="456" t="n"/>
    </row>
    <row r="4" ht="13.5" customHeight="1" s="426">
      <c r="A4" s="445" t="inlineStr">
        <is>
          <t>Lines  of code</t>
        </is>
      </c>
      <c r="B4" s="428" t="n"/>
      <c r="C4" s="327" t="n">
        <v>150</v>
      </c>
      <c r="D4" s="427" t="n"/>
      <c r="E4" s="328" t="n"/>
      <c r="F4" s="448" t="inlineStr">
        <is>
          <t>Lack of test cases</t>
        </is>
      </c>
      <c r="G4" s="449" t="n"/>
      <c r="H4" s="449" t="n"/>
      <c r="I4" s="449" t="n"/>
      <c r="J4" s="449" t="n"/>
      <c r="K4" s="450" t="n"/>
      <c r="L4" s="482">
        <f>U5</f>
        <v/>
      </c>
      <c r="M4" s="427" t="n"/>
      <c r="N4" s="427" t="n"/>
      <c r="O4" s="427" t="n"/>
      <c r="P4" s="427" t="n"/>
      <c r="Q4" s="427" t="n"/>
      <c r="R4" s="427" t="n"/>
      <c r="S4" s="427" t="n"/>
      <c r="T4" s="456" t="n"/>
      <c r="V4" s="71" t="n"/>
    </row>
    <row r="5" ht="13.5" customHeight="1" s="426">
      <c r="A5" s="445" t="inlineStr">
        <is>
          <t>Test requirement</t>
        </is>
      </c>
      <c r="B5" s="428" t="n"/>
      <c r="C5" s="337" t="inlineStr">
        <is>
          <t>Get Detail Successfully</t>
        </is>
      </c>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COUNTIF(F28:HQ28,"P")</f>
        <v/>
      </c>
      <c r="B7" s="465" t="n"/>
      <c r="C7" s="466">
        <f>COUNTIF(F28:HQ28,"F")</f>
        <v/>
      </c>
      <c r="D7" s="467" t="n"/>
      <c r="E7" s="465" t="n"/>
      <c r="F7" s="468">
        <f>SUM(O7,- A7,- C7)</f>
        <v/>
      </c>
      <c r="G7" s="467" t="n"/>
      <c r="H7" s="467" t="n"/>
      <c r="I7" s="467" t="n"/>
      <c r="J7" s="467" t="n"/>
      <c r="K7" s="469" t="n"/>
      <c r="L7" s="342">
        <f>COUNTIF(E27:HQ27,"N")</f>
        <v/>
      </c>
      <c r="M7" s="342">
        <f>COUNTIF(E27:HQ27,"A")</f>
        <v/>
      </c>
      <c r="N7" s="342">
        <f>COUNTIF(E27:HQ27,"B")</f>
        <v/>
      </c>
      <c r="O7" s="470">
        <f>COUNTA(E9:HT9)</f>
        <v/>
      </c>
      <c r="P7" s="467" t="n"/>
      <c r="Q7" s="467" t="n"/>
      <c r="R7" s="467" t="n"/>
      <c r="S7" s="467" t="n"/>
      <c r="T7" s="471" t="n"/>
      <c r="U7" s="72" t="n"/>
    </row>
    <row r="8" ht="10.5" customHeight="1" s="426" thickBot="1"/>
    <row r="9" ht="42" customHeight="1" s="426" thickBot="1" thickTop="1">
      <c r="A9" s="189" t="n"/>
      <c r="B9" s="190" t="n"/>
      <c r="C9" s="191" t="n"/>
      <c r="D9" s="192" t="n"/>
      <c r="E9" s="191" t="n"/>
      <c r="F9" s="193" t="inlineStr">
        <is>
          <t>UTCID01</t>
        </is>
      </c>
      <c r="G9" s="193" t="inlineStr">
        <is>
          <t>UTCID02</t>
        </is>
      </c>
      <c r="H9" s="193" t="inlineStr">
        <is>
          <t>UTCID03</t>
        </is>
      </c>
      <c r="I9" s="193" t="inlineStr">
        <is>
          <t>UTCID04</t>
        </is>
      </c>
      <c r="J9" s="193" t="n"/>
      <c r="K9" s="193" t="n"/>
      <c r="L9" s="193" t="n"/>
      <c r="M9" s="193" t="n"/>
      <c r="N9" s="193" t="n"/>
      <c r="O9" s="193" t="n"/>
      <c r="P9" s="193" t="n"/>
      <c r="Q9" s="193" t="n"/>
      <c r="R9" s="193" t="n"/>
      <c r="S9" s="193" t="n"/>
      <c r="T9" s="194"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n"/>
      <c r="K12" s="148" t="n"/>
      <c r="L12" s="148" t="n"/>
      <c r="M12" s="148" t="n"/>
      <c r="N12" s="148" t="n"/>
      <c r="O12" s="148" t="n"/>
      <c r="P12" s="148" t="n"/>
      <c r="Q12" s="148" t="n"/>
      <c r="R12" s="148" t="n"/>
      <c r="S12" s="148" t="n"/>
      <c r="T12" s="170" t="n"/>
      <c r="V12" s="71" t="n"/>
    </row>
    <row r="13" ht="13.5" customHeight="1" s="426">
      <c r="A13" s="171" t="n"/>
      <c r="B13" s="75" t="n"/>
      <c r="C13" s="76" t="n"/>
      <c r="D13" s="77" t="inlineStr">
        <is>
          <t>Room Code Exist</t>
        </is>
      </c>
      <c r="E13" s="80" t="n"/>
      <c r="F13" s="148" t="inlineStr">
        <is>
          <t>O</t>
        </is>
      </c>
      <c r="G13" s="148" t="inlineStr">
        <is>
          <t>O</t>
        </is>
      </c>
      <c r="H13" s="148" t="inlineStr">
        <is>
          <t>O</t>
        </is>
      </c>
      <c r="I13" s="148" t="n"/>
      <c r="J13" s="148" t="n"/>
      <c r="K13" s="148" t="n"/>
      <c r="L13" s="148" t="n"/>
      <c r="M13" s="148" t="n"/>
      <c r="N13" s="148" t="n"/>
      <c r="O13" s="148" t="n"/>
      <c r="P13" s="148" t="n"/>
      <c r="Q13" s="148" t="n"/>
      <c r="R13" s="148" t="n"/>
      <c r="S13" s="148" t="n"/>
      <c r="T13" s="170" t="n"/>
      <c r="V13" s="71" t="n"/>
    </row>
    <row r="14" ht="13.5" customHeight="1" s="426">
      <c r="A14" s="171" t="n"/>
      <c r="B14" s="75" t="n"/>
      <c r="C14" s="76" t="n"/>
      <c r="D14" s="77" t="inlineStr">
        <is>
          <t>Room Code Doesn't Exist</t>
        </is>
      </c>
      <c r="E14" s="80" t="n"/>
      <c r="F14" s="148" t="n"/>
      <c r="G14" s="148" t="n"/>
      <c r="H14" s="148" t="n"/>
      <c r="I14" s="148" t="inlineStr">
        <is>
          <t>O</t>
        </is>
      </c>
      <c r="J14" s="148" t="n"/>
      <c r="K14" s="148" t="n"/>
      <c r="L14" s="148" t="n"/>
      <c r="M14" s="148" t="n"/>
      <c r="N14" s="148" t="n"/>
      <c r="O14" s="148" t="n"/>
      <c r="P14" s="148" t="n"/>
      <c r="Q14" s="148" t="n"/>
      <c r="R14" s="148" t="n"/>
      <c r="S14" s="148" t="n"/>
      <c r="T14" s="170" t="n"/>
    </row>
    <row r="15" ht="13.5" customHeight="1" s="426">
      <c r="A15" s="171" t="n"/>
      <c r="B15" s="75" t="inlineStr">
        <is>
          <t>RoomCode</t>
        </is>
      </c>
      <c r="C15" s="76" t="n"/>
      <c r="D15" s="77" t="n"/>
      <c r="E15" s="81" t="n"/>
      <c r="F15" s="79" t="n"/>
      <c r="G15" s="79" t="n"/>
      <c r="H15" s="79" t="n"/>
      <c r="I15" s="79" t="n"/>
      <c r="J15" s="79" t="n"/>
      <c r="K15" s="79" t="n"/>
      <c r="L15" s="79" t="n"/>
      <c r="M15" s="79" t="n"/>
      <c r="N15" s="79" t="n"/>
      <c r="O15" s="79" t="n"/>
      <c r="P15" s="79" t="n"/>
      <c r="Q15" s="79" t="n"/>
      <c r="R15" s="79" t="n"/>
      <c r="S15" s="79" t="n"/>
      <c r="T15" s="195" t="n"/>
    </row>
    <row r="16" ht="13.5" customHeight="1" s="426">
      <c r="A16" s="171" t="n"/>
      <c r="B16" s="75" t="n"/>
      <c r="C16" s="76" t="n"/>
      <c r="D16" s="77" t="inlineStr">
        <is>
          <t>"A101"</t>
        </is>
      </c>
      <c r="E16" s="81" t="n"/>
      <c r="F16" s="148" t="inlineStr">
        <is>
          <t>O</t>
        </is>
      </c>
      <c r="G16" s="79" t="n"/>
      <c r="H16" s="79" t="n"/>
      <c r="I16" s="79" t="n"/>
      <c r="J16" s="79" t="n"/>
      <c r="K16" s="79" t="n"/>
      <c r="L16" s="79" t="n"/>
      <c r="M16" s="79" t="n"/>
      <c r="N16" s="79" t="n"/>
      <c r="O16" s="79" t="n"/>
      <c r="P16" s="79" t="n"/>
      <c r="Q16" s="79" t="n"/>
      <c r="R16" s="79" t="n"/>
      <c r="S16" s="79" t="n"/>
      <c r="T16" s="195" t="n"/>
    </row>
    <row r="17" ht="13.5" customHeight="1" s="426">
      <c r="A17" s="171" t="n"/>
      <c r="B17" s="75" t="n"/>
      <c r="C17" s="76" t="n"/>
      <c r="D17" s="77" t="inlineStr">
        <is>
          <t>""</t>
        </is>
      </c>
      <c r="E17" s="81" t="n"/>
      <c r="F17" s="79" t="n"/>
      <c r="G17" s="148" t="inlineStr">
        <is>
          <t>O</t>
        </is>
      </c>
      <c r="H17" s="79" t="n"/>
      <c r="I17" s="79" t="n"/>
      <c r="J17" s="79" t="n"/>
      <c r="K17" s="79" t="n"/>
      <c r="L17" s="79" t="n"/>
      <c r="M17" s="79" t="n"/>
      <c r="N17" s="79" t="n"/>
      <c r="O17" s="79" t="n"/>
      <c r="P17" s="79" t="n"/>
      <c r="Q17" s="79" t="n"/>
      <c r="R17" s="79" t="n"/>
      <c r="S17" s="79" t="n"/>
      <c r="T17" s="195" t="n"/>
    </row>
    <row r="18" ht="13.5" customHeight="1" s="426">
      <c r="A18" s="171" t="n"/>
      <c r="B18" s="75" t="n"/>
      <c r="C18" s="76" t="n"/>
      <c r="D18" s="77" t="inlineStr">
        <is>
          <t>"B202"</t>
        </is>
      </c>
      <c r="E18" s="81" t="n"/>
      <c r="F18" s="79" t="n"/>
      <c r="G18" s="148" t="n"/>
      <c r="H18" s="148" t="inlineStr">
        <is>
          <t>O</t>
        </is>
      </c>
      <c r="I18" s="79" t="n"/>
      <c r="J18" s="79" t="n"/>
      <c r="K18" s="79" t="n"/>
      <c r="L18" s="79" t="n"/>
      <c r="M18" s="79" t="n"/>
      <c r="N18" s="79" t="n"/>
      <c r="O18" s="79" t="n"/>
      <c r="P18" s="79" t="n"/>
      <c r="Q18" s="79" t="n"/>
      <c r="R18" s="79" t="n"/>
      <c r="S18" s="79" t="n"/>
      <c r="T18" s="195" t="n"/>
    </row>
    <row r="19" ht="13.5" customHeight="1" s="426" thickBot="1">
      <c r="A19" s="171" t="n"/>
      <c r="B19" s="75" t="n"/>
      <c r="C19" s="76" t="n"/>
      <c r="D19" s="77" t="inlineStr">
        <is>
          <t>"Z999"</t>
        </is>
      </c>
      <c r="E19" s="81" t="n"/>
      <c r="F19" s="79" t="n"/>
      <c r="G19" s="79" t="n"/>
      <c r="H19" s="148" t="n"/>
      <c r="I19" s="148" t="inlineStr">
        <is>
          <t>O</t>
        </is>
      </c>
      <c r="J19" s="79" t="n"/>
      <c r="K19" s="79" t="n"/>
      <c r="L19" s="79" t="n"/>
      <c r="M19" s="79" t="n"/>
      <c r="N19" s="79" t="n"/>
      <c r="O19" s="79" t="n"/>
      <c r="P19" s="79" t="n"/>
      <c r="Q19" s="79" t="n"/>
      <c r="R19" s="79" t="n"/>
      <c r="S19" s="79" t="n"/>
      <c r="T19" s="195" t="n"/>
      <c r="U19" s="82" t="n"/>
    </row>
    <row r="20" ht="13.5" customHeight="1" s="426">
      <c r="A20" s="182" t="inlineStr">
        <is>
          <t>Confirm</t>
        </is>
      </c>
      <c r="B20" s="83" t="inlineStr">
        <is>
          <t>Return</t>
        </is>
      </c>
      <c r="C20" s="84" t="n"/>
      <c r="D20" s="85" t="n"/>
      <c r="E20" s="86" t="n"/>
      <c r="F20" s="87" t="n"/>
      <c r="G20" s="87" t="n"/>
      <c r="H20" s="87" t="n"/>
      <c r="I20" s="87" t="n"/>
      <c r="J20" s="87" t="n"/>
      <c r="K20" s="87" t="n"/>
      <c r="L20" s="87" t="n"/>
      <c r="M20" s="87" t="n"/>
      <c r="N20" s="87" t="n"/>
      <c r="O20" s="87" t="n"/>
      <c r="P20" s="87" t="n"/>
      <c r="Q20" s="87" t="n"/>
      <c r="R20" s="87" t="n"/>
      <c r="S20" s="87" t="n"/>
      <c r="T20" s="196" t="n"/>
    </row>
    <row r="21" ht="13.5" customHeight="1" s="426">
      <c r="A21" s="181" t="n"/>
      <c r="B21" s="88" t="n"/>
      <c r="C21" s="89" t="n"/>
      <c r="D21" s="90" t="inlineStr">
        <is>
          <t>Room Detail</t>
        </is>
      </c>
      <c r="E21" s="91" t="n"/>
      <c r="F21" s="148" t="inlineStr">
        <is>
          <t>O</t>
        </is>
      </c>
      <c r="G21" s="79" t="n"/>
      <c r="H21" s="79" t="n"/>
      <c r="I21" s="79" t="n"/>
      <c r="J21" s="79" t="n"/>
      <c r="K21" s="79" t="n"/>
      <c r="L21" s="79" t="n"/>
      <c r="M21" s="79" t="n"/>
      <c r="N21" s="79" t="n"/>
      <c r="O21" s="79" t="n"/>
      <c r="P21" s="79" t="n"/>
      <c r="Q21" s="79" t="n"/>
      <c r="R21" s="79" t="n"/>
      <c r="S21" s="79" t="n"/>
      <c r="T21" s="195" t="n"/>
    </row>
    <row r="22" ht="13.5" customHeight="1" s="426">
      <c r="A22" s="181" t="n"/>
      <c r="B22" s="88" t="n"/>
      <c r="C22" s="92" t="n"/>
      <c r="D22" s="90" t="inlineStr">
        <is>
          <t>Null</t>
        </is>
      </c>
      <c r="E22" s="93" t="n"/>
      <c r="F22" s="79" t="n"/>
      <c r="G22" s="148" t="inlineStr">
        <is>
          <t>O</t>
        </is>
      </c>
      <c r="H22" s="79" t="n"/>
      <c r="I22" s="148" t="inlineStr">
        <is>
          <t>O</t>
        </is>
      </c>
      <c r="J22" s="79" t="n"/>
      <c r="K22" s="79" t="n"/>
      <c r="L22" s="79" t="n"/>
      <c r="M22" s="79" t="n"/>
      <c r="N22" s="79" t="n"/>
      <c r="O22" s="79" t="n"/>
      <c r="P22" s="79" t="n"/>
      <c r="Q22" s="79" t="n"/>
      <c r="R22" s="79" t="n"/>
      <c r="S22" s="79" t="n"/>
      <c r="T22" s="195" t="n"/>
    </row>
    <row r="23" ht="13.5" customHeight="1" s="426">
      <c r="A23" s="181" t="n"/>
      <c r="B23" s="88" t="inlineStr">
        <is>
          <t>Exception</t>
        </is>
      </c>
      <c r="C23" s="92" t="n"/>
      <c r="D23" s="90" t="n"/>
      <c r="E23" s="93" t="n"/>
      <c r="F23" s="79" t="n"/>
      <c r="G23" s="79" t="n"/>
      <c r="H23" s="79" t="n"/>
      <c r="I23" s="79" t="n"/>
      <c r="J23" s="79" t="n"/>
      <c r="K23" s="79" t="n"/>
      <c r="L23" s="79" t="n"/>
      <c r="M23" s="79" t="n"/>
      <c r="N23" s="79" t="n"/>
      <c r="O23" s="79" t="n"/>
      <c r="P23" s="79" t="n"/>
      <c r="Q23" s="79" t="n"/>
      <c r="R23" s="79" t="n"/>
      <c r="S23" s="79" t="n"/>
      <c r="T23" s="195" t="n"/>
    </row>
    <row r="24" ht="13.5" customHeight="1" s="426">
      <c r="A24" s="181" t="n"/>
      <c r="B24" s="88" t="n"/>
      <c r="C24" s="92" t="n"/>
      <c r="D24" s="90" t="inlineStr">
        <is>
          <t>InvalidOperationException</t>
        </is>
      </c>
      <c r="E24" s="93" t="n"/>
      <c r="F24" s="79" t="n"/>
      <c r="G24" s="79" t="n"/>
      <c r="H24" s="148" t="inlineStr">
        <is>
          <t>O</t>
        </is>
      </c>
      <c r="I24" s="79" t="n"/>
      <c r="J24" s="79" t="n"/>
      <c r="K24" s="79" t="n"/>
      <c r="L24" s="79" t="n"/>
      <c r="M24" s="79" t="n"/>
      <c r="N24" s="79" t="n"/>
      <c r="O24" s="79" t="n"/>
      <c r="P24" s="79" t="n"/>
      <c r="Q24" s="79" t="n"/>
      <c r="R24" s="79" t="n"/>
      <c r="S24" s="79" t="n"/>
      <c r="T24" s="195" t="n"/>
    </row>
    <row r="25" ht="13.5" customHeight="1" s="426">
      <c r="A25" s="181" t="n"/>
      <c r="B25" s="88" t="inlineStr">
        <is>
          <t>Log Message</t>
        </is>
      </c>
      <c r="C25" s="92" t="n"/>
      <c r="D25" s="90" t="n"/>
      <c r="E25" s="93" t="n"/>
      <c r="F25" s="79" t="n"/>
      <c r="G25" s="79" t="n"/>
      <c r="H25" s="148" t="n"/>
      <c r="I25" s="79" t="n"/>
      <c r="J25" s="79" t="n"/>
      <c r="K25" s="79" t="n"/>
      <c r="L25" s="79" t="n"/>
      <c r="M25" s="79" t="n"/>
      <c r="N25" s="79" t="n"/>
      <c r="O25" s="79" t="n"/>
      <c r="P25" s="79" t="n"/>
      <c r="Q25" s="79" t="n"/>
      <c r="R25" s="79" t="n"/>
      <c r="S25" s="79" t="n"/>
      <c r="T25" s="195" t="n"/>
    </row>
    <row r="26" ht="13.5" customHeight="1" s="426" thickBot="1">
      <c r="A26" s="181" t="n"/>
      <c r="B26" s="88" t="n"/>
      <c r="C26" s="92" t="n"/>
      <c r="D26" s="90" t="inlineStr">
        <is>
          <t>"Database error"</t>
        </is>
      </c>
      <c r="E26" s="93" t="n"/>
      <c r="F26" s="79" t="n"/>
      <c r="G26" s="79" t="n"/>
      <c r="H26" s="148" t="inlineStr">
        <is>
          <t>O</t>
        </is>
      </c>
      <c r="I26" s="79" t="n"/>
      <c r="J26" s="79" t="n"/>
      <c r="K26" s="79" t="n"/>
      <c r="L26" s="79" t="n"/>
      <c r="M26" s="79" t="n"/>
      <c r="N26" s="79" t="n"/>
      <c r="O26" s="79" t="n"/>
      <c r="P26" s="79" t="n"/>
      <c r="Q26" s="79" t="n"/>
      <c r="R26" s="79" t="n"/>
      <c r="S26" s="79" t="n"/>
      <c r="T26" s="195" t="n"/>
    </row>
    <row r="27" ht="13.5" customHeight="1" s="426" thickTop="1">
      <c r="A27" s="182" t="inlineStr">
        <is>
          <t>Result</t>
        </is>
      </c>
      <c r="B27" s="331" t="inlineStr">
        <is>
          <t>Type(N : Normal, A : Abnormal, B : Boundary)</t>
        </is>
      </c>
      <c r="C27" s="472" t="n"/>
      <c r="D27" s="473" t="n"/>
      <c r="E27" s="331" t="n"/>
      <c r="F27" s="188" t="inlineStr">
        <is>
          <t>N</t>
        </is>
      </c>
      <c r="G27" s="188" t="inlineStr">
        <is>
          <t>N</t>
        </is>
      </c>
      <c r="H27" s="188" t="inlineStr">
        <is>
          <t>A</t>
        </is>
      </c>
      <c r="I27" s="188" t="inlineStr">
        <is>
          <t>N</t>
        </is>
      </c>
      <c r="J27" s="188" t="n"/>
      <c r="K27" s="188" t="n"/>
      <c r="L27" s="188" t="n"/>
      <c r="M27" s="188" t="n"/>
      <c r="N27" s="188" t="n"/>
      <c r="O27" s="188" t="n"/>
      <c r="P27" s="188" t="n"/>
      <c r="Q27" s="188" t="n"/>
      <c r="R27" s="188" t="n"/>
      <c r="S27" s="188" t="n"/>
      <c r="T27" s="198" t="n"/>
    </row>
    <row r="28" ht="13.5" customHeight="1" s="426">
      <c r="A28" s="181" t="n"/>
      <c r="B28" s="320" t="inlineStr">
        <is>
          <t>Passed/Failed</t>
        </is>
      </c>
      <c r="C28" s="449" t="n"/>
      <c r="D28" s="450" t="n"/>
      <c r="E28" s="95" t="n"/>
      <c r="F28" s="94" t="inlineStr">
        <is>
          <t>P</t>
        </is>
      </c>
      <c r="G28" s="94" t="inlineStr">
        <is>
          <t>P</t>
        </is>
      </c>
      <c r="H28" s="94" t="inlineStr">
        <is>
          <t>P</t>
        </is>
      </c>
      <c r="I28" s="94" t="inlineStr">
        <is>
          <t>P</t>
        </is>
      </c>
      <c r="J28" s="94" t="n"/>
      <c r="K28" s="94" t="n"/>
      <c r="L28" s="94" t="n"/>
      <c r="M28" s="94" t="n"/>
      <c r="N28" s="94" t="n"/>
      <c r="O28" s="94" t="n"/>
      <c r="P28" s="94" t="n"/>
      <c r="Q28" s="94" t="n"/>
      <c r="R28" s="94" t="n"/>
      <c r="S28" s="94" t="n"/>
      <c r="T28" s="199" t="n"/>
    </row>
    <row r="29" ht="69" customHeight="1" s="426">
      <c r="A29" s="181" t="n"/>
      <c r="B29" s="329" t="inlineStr">
        <is>
          <t>Executed Date</t>
        </is>
      </c>
      <c r="C29" s="449" t="n"/>
      <c r="D29" s="450" t="n"/>
      <c r="E29" s="96" t="n"/>
      <c r="F29" s="97" t="n">
        <v>45700</v>
      </c>
      <c r="G29" s="97" t="n">
        <v>45700</v>
      </c>
      <c r="H29" s="97" t="n">
        <v>45700</v>
      </c>
      <c r="I29" s="97" t="n">
        <v>45700</v>
      </c>
      <c r="J29" s="97" t="n"/>
      <c r="K29" s="97" t="n"/>
      <c r="L29" s="97" t="n"/>
      <c r="M29" s="97" t="n"/>
      <c r="N29" s="97" t="n"/>
      <c r="O29" s="97" t="n"/>
      <c r="P29" s="97" t="n"/>
      <c r="Q29" s="97" t="n"/>
      <c r="R29" s="97" t="n"/>
      <c r="S29" s="97" t="n"/>
      <c r="T29" s="176" t="n"/>
    </row>
    <row r="30" ht="10.5" customHeight="1" s="426" thickBot="1">
      <c r="A30" s="200" t="n"/>
      <c r="B30" s="330" t="inlineStr">
        <is>
          <t>Defect ID</t>
        </is>
      </c>
      <c r="C30" s="474" t="n"/>
      <c r="D30" s="475" t="n"/>
      <c r="E30" s="178" t="n"/>
      <c r="F30" s="179" t="n"/>
      <c r="G30" s="179" t="n"/>
      <c r="H30" s="179" t="n"/>
      <c r="I30" s="179" t="n"/>
      <c r="J30" s="179" t="n"/>
      <c r="K30" s="179" t="n"/>
      <c r="L30" s="179" t="n"/>
      <c r="M30" s="179" t="n"/>
      <c r="N30" s="179" t="n"/>
      <c r="O30" s="179" t="n"/>
      <c r="P30" s="179" t="n"/>
      <c r="Q30" s="179" t="n"/>
      <c r="R30" s="179" t="n"/>
      <c r="S30" s="179" t="n"/>
      <c r="T30" s="180" t="n"/>
    </row>
    <row r="31" ht="10.5" customHeight="1" s="426" thickTop="1">
      <c r="A31" s="73" t="n"/>
      <c r="B31" s="69" t="n"/>
      <c r="C31" s="413" t="n"/>
      <c r="D31" s="69" t="n"/>
    </row>
  </sheetData>
  <mergeCells count="27">
    <mergeCell ref="B29:D29"/>
    <mergeCell ref="F2:K2"/>
    <mergeCell ref="A6:B6"/>
    <mergeCell ref="C4:D4"/>
    <mergeCell ref="L4:T4"/>
    <mergeCell ref="B28:D28"/>
    <mergeCell ref="A7:B7"/>
    <mergeCell ref="B30:D30"/>
    <mergeCell ref="C7:E7"/>
    <mergeCell ref="L6:N6"/>
    <mergeCell ref="A3:B3"/>
    <mergeCell ref="A2:B2"/>
    <mergeCell ref="C2:D2"/>
    <mergeCell ref="A5:B5"/>
    <mergeCell ref="C3:E3"/>
    <mergeCell ref="F4:K4"/>
    <mergeCell ref="O7:T7"/>
    <mergeCell ref="C6:E6"/>
    <mergeCell ref="A4:B4"/>
    <mergeCell ref="L2:T2"/>
    <mergeCell ref="O6:T6"/>
    <mergeCell ref="F6:K6"/>
    <mergeCell ref="B27:D27"/>
    <mergeCell ref="F7:K7"/>
    <mergeCell ref="C5:T5"/>
    <mergeCell ref="L3:T3"/>
    <mergeCell ref="F3:K3"/>
  </mergeCells>
  <dataValidations disablePrompts="1" count="3">
    <dataValidation sqref="F27:T27" showDropDown="0" showInputMessage="1" showErrorMessage="1" allowBlank="1" type="list">
      <formula1>"N,A,B, "</formula1>
    </dataValidation>
    <dataValidation sqref="F28:T28" showDropDown="0" showInputMessage="1" showErrorMessage="1" allowBlank="1" type="list">
      <formula1>"P,F, "</formula1>
    </dataValidation>
    <dataValidation sqref="F10:T26" showDropDown="0" showInputMessage="1" showErrorMessage="1" allowBlank="1" type="list">
      <formula1>"O, "</formula1>
    </dataValidation>
  </dataValidations>
  <pageMargins left="0.75" right="0.75" top="0.75" bottom="0.75" header="0.5" footer="0.5"/>
  <pageSetup orientation="portrait" paperSize="9" horizontalDpi="300" verticalDpi="300"/>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2:W41"/>
  <sheetViews>
    <sheetView zoomScale="130" zoomScaleNormal="130" workbookViewId="0">
      <selection activeCell="W36" sqref="W36"/>
    </sheetView>
  </sheetViews>
  <sheetFormatPr baseColWidth="8" defaultColWidth="9" defaultRowHeight="13.5" customHeight="1"/>
  <cols>
    <col width="6.81640625" customWidth="1" style="98" min="1" max="1"/>
    <col width="13.453125" customWidth="1" style="102" min="2" max="2"/>
    <col width="10.81640625" customWidth="1" style="98" min="3" max="3"/>
    <col width="23.36328125" customWidth="1" style="402" min="4" max="4"/>
    <col hidden="1" width="1.81640625" customWidth="1" style="98" min="5" max="5"/>
    <col width="2.81640625" bestFit="1" customWidth="1" style="98" min="6" max="7"/>
    <col width="2.81640625" customWidth="1" style="98" min="8" max="8"/>
    <col width="2.81640625" bestFit="1" customWidth="1" style="98" min="9" max="10"/>
    <col width="2.81640625" customWidth="1" style="98" min="11" max="19"/>
    <col width="2.81640625" bestFit="1" customWidth="1" style="98" min="20" max="20"/>
    <col width="2.81640625" customWidth="1" style="98" min="21" max="21"/>
    <col width="11" customWidth="1" style="98" min="22" max="256"/>
    <col width="9" customWidth="1" style="98" min="257" max="16384"/>
  </cols>
  <sheetData>
    <row r="1" ht="13.5" customHeight="1" s="426" thickBot="1"/>
    <row r="2" ht="13.5" customHeight="1" s="426">
      <c r="A2" s="363" t="inlineStr">
        <is>
          <t>Function Code</t>
        </is>
      </c>
      <c r="B2" s="476" t="n"/>
      <c r="C2" s="365">
        <f>'Function List'!E13</f>
        <v/>
      </c>
      <c r="D2" s="476" t="n"/>
      <c r="E2" s="268" t="n"/>
      <c r="F2" s="364" t="inlineStr">
        <is>
          <t>Function Name</t>
        </is>
      </c>
      <c r="G2" s="477" t="n"/>
      <c r="H2" s="477" t="n"/>
      <c r="I2" s="477" t="n"/>
      <c r="J2" s="477" t="n"/>
      <c r="K2" s="476" t="n"/>
      <c r="L2" s="366">
        <f>'Function List'!D13</f>
        <v/>
      </c>
      <c r="M2" s="477" t="n"/>
      <c r="N2" s="477" t="n"/>
      <c r="O2" s="477" t="n"/>
      <c r="P2" s="477" t="n"/>
      <c r="Q2" s="477" t="n"/>
      <c r="R2" s="477" t="n"/>
      <c r="S2" s="477" t="n"/>
      <c r="T2" s="483" t="n"/>
    </row>
    <row r="3" ht="13.5" customHeight="1" s="426">
      <c r="A3" s="484" t="inlineStr">
        <is>
          <t>Created By</t>
        </is>
      </c>
      <c r="B3" s="428" t="n"/>
      <c r="C3" s="485" t="inlineStr">
        <is>
          <t>Nguyễn Hữu Duy</t>
        </is>
      </c>
      <c r="D3" s="433" t="n"/>
      <c r="E3" s="447" t="n"/>
      <c r="F3" s="486" t="inlineStr">
        <is>
          <t>Executed By</t>
        </is>
      </c>
      <c r="G3" s="449" t="n"/>
      <c r="H3" s="449" t="n"/>
      <c r="I3" s="449" t="n"/>
      <c r="J3" s="449" t="n"/>
      <c r="K3" s="450" t="n"/>
      <c r="L3" s="487" t="inlineStr">
        <is>
          <t>Nguyễn Hữu Duy</t>
        </is>
      </c>
      <c r="M3" s="427" t="n"/>
      <c r="N3" s="427" t="n"/>
      <c r="O3" s="427" t="n"/>
      <c r="P3" s="427" t="n"/>
      <c r="Q3" s="427" t="n"/>
      <c r="R3" s="427" t="n"/>
      <c r="S3" s="427" t="n"/>
      <c r="T3" s="456" t="n"/>
    </row>
    <row r="4" ht="13.5" customHeight="1" s="426">
      <c r="A4" s="484" t="inlineStr">
        <is>
          <t>Lines  of code</t>
        </is>
      </c>
      <c r="B4" s="428" t="n"/>
      <c r="C4" s="387" t="n">
        <v>160</v>
      </c>
      <c r="D4" s="427" t="n"/>
      <c r="E4" s="385" t="n"/>
      <c r="F4" s="486" t="inlineStr">
        <is>
          <t>Lack of test cases</t>
        </is>
      </c>
      <c r="G4" s="449" t="n"/>
      <c r="H4" s="449" t="n"/>
      <c r="I4" s="449" t="n"/>
      <c r="J4" s="449" t="n"/>
      <c r="K4" s="450" t="n"/>
      <c r="L4" s="487" t="n">
        <v>0</v>
      </c>
      <c r="M4" s="427" t="n"/>
      <c r="N4" s="427" t="n"/>
      <c r="O4" s="427" t="n"/>
      <c r="P4" s="427" t="n"/>
      <c r="Q4" s="427" t="n"/>
      <c r="R4" s="427" t="n"/>
      <c r="S4" s="427" t="n"/>
      <c r="T4" s="456" t="n"/>
      <c r="V4" s="100" t="n"/>
    </row>
    <row r="5" ht="13.5" customHeight="1" s="426">
      <c r="A5" s="484" t="inlineStr">
        <is>
          <t>Test requirement</t>
        </is>
      </c>
      <c r="B5" s="428" t="n"/>
      <c r="C5" s="405"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88" t="inlineStr">
        <is>
          <t>Passed</t>
        </is>
      </c>
      <c r="B6" s="428" t="n"/>
      <c r="C6" s="489" t="inlineStr">
        <is>
          <t>Failed</t>
        </is>
      </c>
      <c r="D6" s="427" t="n"/>
      <c r="E6" s="428" t="n"/>
      <c r="F6" s="490" t="inlineStr">
        <is>
          <t>Untested</t>
        </is>
      </c>
      <c r="G6" s="427" t="n"/>
      <c r="H6" s="427" t="n"/>
      <c r="I6" s="427" t="n"/>
      <c r="J6" s="427" t="n"/>
      <c r="K6" s="460" t="n"/>
      <c r="L6" s="377" t="inlineStr">
        <is>
          <t>N/A/B</t>
        </is>
      </c>
      <c r="M6" s="427" t="n"/>
      <c r="N6" s="427" t="n"/>
      <c r="O6" s="491" t="inlineStr">
        <is>
          <t>Total Test Cases</t>
        </is>
      </c>
      <c r="P6" s="427" t="n"/>
      <c r="Q6" s="427" t="n"/>
      <c r="R6" s="427" t="n"/>
      <c r="S6" s="427" t="n"/>
      <c r="T6" s="463" t="n"/>
      <c r="V6" s="100" t="n"/>
    </row>
    <row r="7" ht="13.5" customHeight="1" s="426" thickBot="1">
      <c r="A7" s="492">
        <f>COUNTIF(F38:HQ38,"P")</f>
        <v/>
      </c>
      <c r="B7" s="465" t="n"/>
      <c r="C7" s="493">
        <f>COUNTIF(F38:HQ38,"F")</f>
        <v/>
      </c>
      <c r="D7" s="467" t="n"/>
      <c r="E7" s="465" t="n"/>
      <c r="F7" s="494">
        <f>SUM(O7,- A7,- C7)</f>
        <v/>
      </c>
      <c r="G7" s="467" t="n"/>
      <c r="H7" s="467" t="n"/>
      <c r="I7" s="467" t="n"/>
      <c r="J7" s="467" t="n"/>
      <c r="K7" s="469" t="n"/>
      <c r="L7" s="407">
        <f>COUNTIF(E37:HQ37,"N")</f>
        <v/>
      </c>
      <c r="M7" s="407">
        <f>COUNTIF(E37:HQ37,"A")</f>
        <v/>
      </c>
      <c r="N7" s="407">
        <f>COUNTIF(E37:HQ37,"B")</f>
        <v/>
      </c>
      <c r="O7" s="495">
        <f>COUNTA(E9:HT9)</f>
        <v/>
      </c>
      <c r="P7" s="467" t="n"/>
      <c r="Q7" s="467" t="n"/>
      <c r="R7" s="467" t="n"/>
      <c r="S7" s="467" t="n"/>
      <c r="T7" s="471" t="n"/>
      <c r="U7" s="101" t="n"/>
    </row>
    <row r="8" ht="10.5" customHeight="1" s="426" thickBot="1"/>
    <row r="9" ht="46.5" customHeight="1" s="426" thickBot="1" thickTop="1">
      <c r="A9" s="215" t="n"/>
      <c r="B9" s="216" t="n"/>
      <c r="C9" s="217" t="n"/>
      <c r="D9" s="218" t="n"/>
      <c r="E9" s="217" t="n"/>
      <c r="F9" s="219" t="inlineStr">
        <is>
          <t>UTCID01</t>
        </is>
      </c>
      <c r="G9" s="219" t="inlineStr">
        <is>
          <t>UTCID02</t>
        </is>
      </c>
      <c r="H9" s="219" t="inlineStr">
        <is>
          <t>UTCID03</t>
        </is>
      </c>
      <c r="I9" s="219" t="inlineStr">
        <is>
          <t>UTCID04</t>
        </is>
      </c>
      <c r="J9" s="219" t="inlineStr">
        <is>
          <t>UTCID05</t>
        </is>
      </c>
      <c r="K9" s="219" t="inlineStr">
        <is>
          <t>UTCID06</t>
        </is>
      </c>
      <c r="L9" s="219" t="n"/>
      <c r="M9" s="219" t="n"/>
      <c r="N9" s="219" t="n"/>
      <c r="O9" s="219" t="n"/>
      <c r="P9" s="219" t="n"/>
      <c r="Q9" s="219" t="n"/>
      <c r="R9" s="219" t="n"/>
      <c r="S9" s="219" t="n"/>
      <c r="T9" s="220" t="n"/>
      <c r="U9" s="103" t="n"/>
      <c r="V9" s="100" t="n"/>
    </row>
    <row r="10" ht="13.5" customHeight="1" s="426">
      <c r="A10" s="221" t="inlineStr">
        <is>
          <t>Condition</t>
        </is>
      </c>
      <c r="B10" s="104" t="inlineStr">
        <is>
          <t xml:space="preserve">Precondition </t>
        </is>
      </c>
      <c r="C10" s="105" t="n"/>
      <c r="D10" s="106" t="n"/>
      <c r="E10" s="107" t="n"/>
      <c r="F10" s="108" t="n"/>
      <c r="G10" s="108" t="n"/>
      <c r="H10" s="108" t="n"/>
      <c r="I10" s="108" t="n"/>
      <c r="J10" s="108" t="n"/>
      <c r="K10" s="108" t="n"/>
      <c r="L10" s="108" t="n"/>
      <c r="M10" s="108" t="n"/>
      <c r="N10" s="108" t="n"/>
      <c r="O10" s="108" t="n"/>
      <c r="P10" s="108" t="n"/>
      <c r="Q10" s="108" t="n"/>
      <c r="R10" s="108" t="n"/>
      <c r="S10" s="108" t="n"/>
      <c r="T10" s="222" t="n"/>
    </row>
    <row r="11" ht="13.5" customHeight="1" s="426">
      <c r="A11" s="223" t="n"/>
      <c r="B11" s="75" t="n"/>
      <c r="C11" s="76" t="n"/>
      <c r="D11" s="77" t="inlineStr">
        <is>
          <t>Can connect with SQL Server</t>
        </is>
      </c>
      <c r="E11" s="80" t="n"/>
      <c r="F11" s="148" t="inlineStr">
        <is>
          <t>O</t>
        </is>
      </c>
      <c r="G11" s="148" t="inlineStr">
        <is>
          <t>O</t>
        </is>
      </c>
      <c r="H11" s="148" t="inlineStr">
        <is>
          <t>O</t>
        </is>
      </c>
      <c r="I11" s="148" t="inlineStr">
        <is>
          <t>O</t>
        </is>
      </c>
      <c r="J11" s="148" t="inlineStr">
        <is>
          <t>O</t>
        </is>
      </c>
      <c r="K11" s="148" t="n"/>
      <c r="L11" s="148" t="n"/>
      <c r="M11" s="148" t="n"/>
      <c r="N11" s="148" t="n"/>
      <c r="O11" s="148" t="n"/>
      <c r="P11" s="148" t="n"/>
      <c r="Q11" s="148" t="n"/>
      <c r="R11" s="148" t="n"/>
      <c r="S11" s="148" t="n"/>
      <c r="T11" s="170" t="n"/>
      <c r="V11" s="100" t="n"/>
    </row>
    <row r="12" ht="13.5" customHeight="1" s="426">
      <c r="A12" s="223"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n"/>
      <c r="M12" s="148" t="n"/>
      <c r="N12" s="148" t="n"/>
      <c r="O12" s="148" t="n"/>
      <c r="P12" s="148" t="n"/>
      <c r="Q12" s="148" t="n"/>
      <c r="R12" s="148" t="n"/>
      <c r="S12" s="148" t="n"/>
      <c r="T12" s="170" t="n"/>
    </row>
    <row r="13" ht="13.5" customHeight="1" s="426">
      <c r="A13" s="223" t="n"/>
      <c r="B13" s="104" t="inlineStr">
        <is>
          <t>BuildingId</t>
        </is>
      </c>
      <c r="C13" s="105" t="n"/>
      <c r="D13" s="106" t="n"/>
      <c r="E13" s="109" t="n"/>
      <c r="F13" s="108" t="n"/>
      <c r="G13" s="108" t="n"/>
      <c r="H13" s="108" t="n"/>
      <c r="I13" s="108" t="n"/>
      <c r="J13" s="108" t="n"/>
      <c r="K13" s="108" t="n"/>
      <c r="L13" s="108" t="n"/>
      <c r="M13" s="108" t="n"/>
      <c r="N13" s="108" t="n"/>
      <c r="O13" s="108" t="n"/>
      <c r="P13" s="108" t="n"/>
      <c r="Q13" s="108" t="n"/>
      <c r="R13" s="108" t="n"/>
      <c r="S13" s="108" t="n"/>
      <c r="T13" s="222" t="n"/>
    </row>
    <row r="14" ht="13.5" customHeight="1" s="426">
      <c r="A14" s="223" t="n"/>
      <c r="B14" s="104" t="n"/>
      <c r="C14" s="105" t="n"/>
      <c r="D14" s="106" t="n">
        <v>1</v>
      </c>
      <c r="E14" s="109" t="n"/>
      <c r="F14" s="148" t="inlineStr">
        <is>
          <t>O</t>
        </is>
      </c>
      <c r="G14" s="108" t="n"/>
      <c r="H14" s="148" t="inlineStr">
        <is>
          <t>O</t>
        </is>
      </c>
      <c r="I14" s="108" t="n"/>
      <c r="J14" s="148" t="inlineStr">
        <is>
          <t>O</t>
        </is>
      </c>
      <c r="K14" s="148" t="inlineStr">
        <is>
          <t>O</t>
        </is>
      </c>
      <c r="L14" s="108" t="n"/>
      <c r="M14" s="108" t="n"/>
      <c r="N14" s="108" t="n"/>
      <c r="O14" s="108" t="n"/>
      <c r="P14" s="108" t="n"/>
      <c r="Q14" s="108" t="n"/>
      <c r="R14" s="108" t="n"/>
      <c r="S14" s="108" t="n"/>
      <c r="T14" s="222" t="n"/>
      <c r="W14" s="100" t="n"/>
    </row>
    <row r="15" ht="13.5" customHeight="1" s="426">
      <c r="A15" s="223" t="n"/>
      <c r="B15" s="104" t="n"/>
      <c r="C15" s="105" t="n"/>
      <c r="D15" s="106" t="n">
        <v>0</v>
      </c>
      <c r="E15" s="109" t="n"/>
      <c r="F15" s="108" t="n"/>
      <c r="G15" s="108" t="n"/>
      <c r="H15" s="108" t="n"/>
      <c r="I15" s="148" t="inlineStr">
        <is>
          <t>O</t>
        </is>
      </c>
      <c r="J15" s="108" t="n"/>
      <c r="K15" s="108" t="n"/>
      <c r="L15" s="108" t="n"/>
      <c r="M15" s="108" t="n"/>
      <c r="N15" s="108" t="n"/>
      <c r="O15" s="108" t="n"/>
      <c r="P15" s="108" t="n"/>
      <c r="Q15" s="108" t="n"/>
      <c r="R15" s="108" t="n"/>
      <c r="S15" s="108" t="n"/>
      <c r="T15" s="222" t="n"/>
    </row>
    <row r="16" ht="13.5" customHeight="1" s="426">
      <c r="A16" s="223" t="n"/>
      <c r="B16" s="104" t="n"/>
      <c r="C16" s="105" t="n"/>
      <c r="D16" s="106" t="inlineStr">
        <is>
          <t>null</t>
        </is>
      </c>
      <c r="E16" s="109" t="n"/>
      <c r="F16" s="108" t="n"/>
      <c r="G16" s="148" t="inlineStr">
        <is>
          <t>O</t>
        </is>
      </c>
      <c r="H16" s="108" t="n"/>
      <c r="I16" s="108" t="n"/>
      <c r="J16" s="108" t="n"/>
      <c r="K16" s="108" t="n"/>
      <c r="L16" s="108" t="n"/>
      <c r="M16" s="108" t="n"/>
      <c r="N16" s="108" t="n"/>
      <c r="O16" s="108" t="n"/>
      <c r="P16" s="108" t="n"/>
      <c r="Q16" s="108" t="n"/>
      <c r="R16" s="108" t="n"/>
      <c r="S16" s="108" t="n"/>
      <c r="T16" s="222" t="n"/>
      <c r="U16" s="110" t="n"/>
    </row>
    <row r="17" ht="13.5" customHeight="1" s="426">
      <c r="A17" s="223" t="n"/>
      <c r="B17" s="104" t="inlineStr">
        <is>
          <t>RoomCode</t>
        </is>
      </c>
      <c r="C17" s="105" t="n"/>
      <c r="D17" s="106" t="n"/>
      <c r="E17" s="109" t="n"/>
      <c r="F17" s="108" t="n"/>
      <c r="G17" s="108" t="n"/>
      <c r="H17" s="108" t="n"/>
      <c r="I17" s="108" t="n"/>
      <c r="J17" s="108" t="n"/>
      <c r="K17" s="108" t="n"/>
      <c r="L17" s="108" t="n"/>
      <c r="M17" s="108" t="n"/>
      <c r="N17" s="108" t="n"/>
      <c r="O17" s="108" t="n"/>
      <c r="P17" s="108" t="n"/>
      <c r="Q17" s="108" t="n"/>
      <c r="R17" s="108" t="n"/>
      <c r="S17" s="108" t="n"/>
      <c r="T17" s="222" t="n"/>
      <c r="U17" s="110" t="n"/>
    </row>
    <row r="18" ht="13.5" customHeight="1" s="426">
      <c r="A18" s="223" t="n"/>
      <c r="B18" s="104" t="n"/>
      <c r="C18" s="105" t="n"/>
      <c r="D18" s="402" t="inlineStr">
        <is>
          <t>"A101"</t>
        </is>
      </c>
      <c r="F18" s="148" t="inlineStr">
        <is>
          <t>O</t>
        </is>
      </c>
      <c r="G18" s="108" t="n"/>
      <c r="H18" s="108" t="n"/>
      <c r="I18" s="108" t="n"/>
      <c r="J18" s="148" t="inlineStr">
        <is>
          <t>O</t>
        </is>
      </c>
      <c r="K18" s="148" t="inlineStr">
        <is>
          <t>O</t>
        </is>
      </c>
      <c r="L18" s="108" t="n"/>
      <c r="M18" s="108" t="n"/>
      <c r="N18" s="108" t="n"/>
      <c r="O18" s="108" t="n"/>
      <c r="P18" s="108" t="n"/>
      <c r="Q18" s="108" t="n"/>
      <c r="R18" s="108" t="n"/>
      <c r="S18" s="108" t="n"/>
      <c r="T18" s="222" t="n"/>
    </row>
    <row r="19" ht="13.5" customHeight="1" s="426">
      <c r="A19" s="223" t="n"/>
      <c r="B19" s="104" t="n"/>
      <c r="C19" s="105" t="n"/>
      <c r="D19" s="106" t="inlineStr">
        <is>
          <t>"B200"</t>
        </is>
      </c>
      <c r="E19" s="109" t="n"/>
      <c r="F19" s="108" t="n"/>
      <c r="G19" s="108" t="n"/>
      <c r="H19" s="108" t="n"/>
      <c r="I19" s="148" t="inlineStr">
        <is>
          <t>O</t>
        </is>
      </c>
      <c r="J19" s="108" t="n"/>
      <c r="K19" s="108" t="n"/>
      <c r="L19" s="108" t="n"/>
      <c r="M19" s="108" t="n"/>
      <c r="N19" s="108" t="n"/>
      <c r="O19" s="108" t="n"/>
      <c r="P19" s="108" t="n"/>
      <c r="Q19" s="108" t="n"/>
      <c r="R19" s="108" t="n"/>
      <c r="S19" s="108" t="n"/>
      <c r="T19" s="222" t="n"/>
    </row>
    <row r="20" ht="13.5" customHeight="1" s="426">
      <c r="A20" s="223" t="n"/>
      <c r="B20" s="104" t="n"/>
      <c r="C20" s="105" t="n"/>
      <c r="D20" s="106" t="inlineStr">
        <is>
          <t>""</t>
        </is>
      </c>
      <c r="E20" s="109" t="n"/>
      <c r="F20" s="108" t="n"/>
      <c r="G20" s="148" t="inlineStr">
        <is>
          <t>O</t>
        </is>
      </c>
      <c r="H20" s="148" t="inlineStr">
        <is>
          <t>O</t>
        </is>
      </c>
      <c r="I20" s="108" t="n"/>
      <c r="J20" s="108" t="n"/>
      <c r="K20" s="108" t="n"/>
      <c r="L20" s="108" t="n"/>
      <c r="M20" s="108" t="n"/>
      <c r="N20" s="108" t="n"/>
      <c r="O20" s="108" t="n"/>
      <c r="P20" s="108" t="n"/>
      <c r="Q20" s="108" t="n"/>
      <c r="R20" s="108" t="n"/>
      <c r="S20" s="108" t="n"/>
      <c r="T20" s="222" t="n"/>
    </row>
    <row r="21" ht="13.5" customHeight="1" s="426">
      <c r="A21" s="223" t="n"/>
      <c r="B21" s="104" t="inlineStr">
        <is>
          <t>Description</t>
        </is>
      </c>
      <c r="C21" s="105" t="n"/>
      <c r="D21" s="106" t="n"/>
      <c r="E21" s="109" t="n"/>
      <c r="F21" s="108" t="n"/>
      <c r="G21" s="108" t="n"/>
      <c r="H21" s="108" t="n"/>
      <c r="I21" s="108" t="n"/>
      <c r="J21" s="108" t="n"/>
      <c r="K21" s="108" t="n"/>
      <c r="L21" s="108" t="n"/>
      <c r="M21" s="108" t="n"/>
      <c r="N21" s="108" t="n"/>
      <c r="O21" s="108" t="n"/>
      <c r="P21" s="108" t="n"/>
      <c r="Q21" s="108" t="n"/>
      <c r="R21" s="108" t="n"/>
      <c r="S21" s="108" t="n"/>
      <c r="T21" s="222" t="n"/>
    </row>
    <row r="22" ht="13.5" customHeight="1" s="426">
      <c r="A22" s="223" t="n"/>
      <c r="B22" s="104" t="n"/>
      <c r="C22" s="105" t="n"/>
      <c r="D22" s="106" t="inlineStr">
        <is>
          <t>"Valid room description"</t>
        </is>
      </c>
      <c r="E22" s="109" t="n"/>
      <c r="F22" s="148" t="inlineStr">
        <is>
          <t>O</t>
        </is>
      </c>
      <c r="G22" s="108" t="n"/>
      <c r="H22" s="108" t="n"/>
      <c r="I22" s="108" t="n"/>
      <c r="J22" s="108" t="n"/>
      <c r="K22" s="108" t="n"/>
      <c r="L22" s="108" t="n"/>
      <c r="M22" s="108" t="n"/>
      <c r="N22" s="108" t="n"/>
      <c r="O22" s="108" t="n"/>
      <c r="P22" s="108" t="n"/>
      <c r="Q22" s="108" t="n"/>
      <c r="R22" s="108" t="n"/>
      <c r="S22" s="108" t="n"/>
      <c r="T22" s="222" t="n"/>
    </row>
    <row r="23" ht="13.5" customHeight="1" s="426">
      <c r="A23" s="223" t="n"/>
      <c r="B23" s="104" t="n"/>
      <c r="C23" s="105" t="n"/>
      <c r="D23" s="106" t="inlineStr">
        <is>
          <t>"Invalid room code"</t>
        </is>
      </c>
      <c r="E23" s="109" t="n"/>
      <c r="F23" s="108" t="n"/>
      <c r="G23" s="108" t="n"/>
      <c r="H23" s="148" t="inlineStr">
        <is>
          <t>O</t>
        </is>
      </c>
      <c r="I23" s="108" t="n"/>
      <c r="J23" s="108" t="n"/>
      <c r="K23" s="108" t="n"/>
      <c r="L23" s="108" t="n"/>
      <c r="M23" s="108" t="n"/>
      <c r="N23" s="108" t="n"/>
      <c r="O23" s="108" t="n"/>
      <c r="P23" s="108" t="n"/>
      <c r="Q23" s="108" t="n"/>
      <c r="R23" s="108" t="n"/>
      <c r="S23" s="108" t="n"/>
      <c r="T23" s="222" t="n"/>
    </row>
    <row r="24" ht="13.5" customHeight="1" s="426">
      <c r="A24" s="223" t="n"/>
      <c r="B24" s="104" t="n"/>
      <c r="C24" s="105" t="n"/>
      <c r="D24" s="106" t="inlineStr">
        <is>
          <t>"Invalid building ID"</t>
        </is>
      </c>
      <c r="E24" s="109" t="n"/>
      <c r="F24" s="108" t="n"/>
      <c r="G24" s="108" t="n"/>
      <c r="H24" s="108" t="n"/>
      <c r="I24" s="148" t="inlineStr">
        <is>
          <t>O</t>
        </is>
      </c>
      <c r="J24" s="108" t="n"/>
      <c r="K24" s="108" t="n"/>
      <c r="L24" s="108" t="n"/>
      <c r="M24" s="108" t="n"/>
      <c r="N24" s="108" t="n"/>
      <c r="O24" s="108" t="n"/>
      <c r="P24" s="108" t="n"/>
      <c r="Q24" s="108" t="n"/>
      <c r="R24" s="108" t="n"/>
      <c r="S24" s="108" t="n"/>
      <c r="T24" s="222" t="n"/>
    </row>
    <row r="25" ht="13.5" customHeight="1" s="426">
      <c r="A25" s="223" t="n"/>
      <c r="B25" s="104" t="n"/>
      <c r="C25" s="105" t="n"/>
      <c r="D25" s="106" t="inlineStr">
        <is>
          <t>"Sample room"</t>
        </is>
      </c>
      <c r="E25" s="109" t="n"/>
      <c r="F25" s="108" t="n"/>
      <c r="G25" s="108" t="n"/>
      <c r="H25" s="108" t="n"/>
      <c r="I25" s="108" t="n"/>
      <c r="J25" s="108" t="n"/>
      <c r="K25" s="148" t="inlineStr">
        <is>
          <t>O</t>
        </is>
      </c>
      <c r="L25" s="108" t="n"/>
      <c r="M25" s="108" t="n"/>
      <c r="N25" s="108" t="n"/>
      <c r="O25" s="108" t="n"/>
      <c r="P25" s="108" t="n"/>
      <c r="Q25" s="108" t="n"/>
      <c r="R25" s="108" t="n"/>
      <c r="S25" s="108" t="n"/>
      <c r="T25" s="222" t="n"/>
    </row>
    <row r="26" ht="13.5" customHeight="1" s="426" thickBot="1">
      <c r="A26" s="223" t="n"/>
      <c r="B26" s="104" t="n"/>
      <c r="C26" s="105" t="n"/>
      <c r="D26" s="106" t="inlineStr">
        <is>
          <t>null</t>
        </is>
      </c>
      <c r="E26" s="109" t="n"/>
      <c r="F26" s="108" t="n"/>
      <c r="G26" s="148" t="inlineStr">
        <is>
          <t>O</t>
        </is>
      </c>
      <c r="H26" s="108" t="n"/>
      <c r="I26" s="108" t="n"/>
      <c r="J26" s="148" t="inlineStr">
        <is>
          <t>O</t>
        </is>
      </c>
      <c r="K26" s="108" t="n"/>
      <c r="L26" s="108" t="n"/>
      <c r="M26" s="108" t="n"/>
      <c r="N26" s="108" t="n"/>
      <c r="O26" s="108" t="n"/>
      <c r="P26" s="108" t="n"/>
      <c r="Q26" s="108" t="n"/>
      <c r="R26" s="108" t="n"/>
      <c r="S26" s="108" t="n"/>
      <c r="T26" s="222" t="n"/>
    </row>
    <row r="27" ht="13.5" customHeight="1" s="426">
      <c r="A27" s="224" t="inlineStr">
        <is>
          <t>Confirm</t>
        </is>
      </c>
      <c r="B27" s="111" t="inlineStr">
        <is>
          <t>Return</t>
        </is>
      </c>
      <c r="C27" s="112" t="n"/>
      <c r="D27" s="113" t="n"/>
      <c r="E27" s="114" t="n"/>
      <c r="F27" s="115" t="n"/>
      <c r="G27" s="115" t="n"/>
      <c r="H27" s="115" t="n"/>
      <c r="I27" s="115" t="n"/>
      <c r="J27" s="115" t="n"/>
      <c r="K27" s="115" t="n"/>
      <c r="L27" s="115" t="n"/>
      <c r="M27" s="115" t="n"/>
      <c r="N27" s="115" t="n"/>
      <c r="O27" s="115" t="n"/>
      <c r="P27" s="115" t="n"/>
      <c r="Q27" s="115" t="n"/>
      <c r="R27" s="115" t="n"/>
      <c r="S27" s="115" t="n"/>
      <c r="T27" s="225" t="n"/>
    </row>
    <row r="28" ht="13.5" customHeight="1" s="426">
      <c r="A28" s="226" t="n"/>
      <c r="B28" s="116" t="n"/>
      <c r="C28" s="117" t="n"/>
      <c r="D28" s="118" t="inlineStr">
        <is>
          <t>T</t>
        </is>
      </c>
      <c r="E28" s="119" t="n"/>
      <c r="F28" s="148" t="inlineStr">
        <is>
          <t>O</t>
        </is>
      </c>
      <c r="G28" s="108" t="n"/>
      <c r="H28" s="108" t="n"/>
      <c r="I28" s="108" t="n"/>
      <c r="J28" s="108" t="n"/>
      <c r="K28" s="108" t="n"/>
      <c r="L28" s="108" t="n"/>
      <c r="M28" s="108" t="n"/>
      <c r="N28" s="108" t="n"/>
      <c r="O28" s="108" t="n"/>
      <c r="P28" s="108" t="n"/>
      <c r="Q28" s="108" t="n"/>
      <c r="R28" s="108" t="n"/>
      <c r="S28" s="108" t="n"/>
      <c r="T28" s="222" t="n"/>
    </row>
    <row r="29" ht="13.5" customHeight="1" s="426">
      <c r="A29" s="226" t="n"/>
      <c r="B29" s="116" t="n"/>
      <c r="C29" s="120" t="n"/>
      <c r="D29" s="118" t="inlineStr">
        <is>
          <t>F</t>
        </is>
      </c>
      <c r="E29" s="121" t="n"/>
      <c r="F29" s="108" t="n"/>
      <c r="G29" s="148" t="inlineStr">
        <is>
          <t>O</t>
        </is>
      </c>
      <c r="H29" s="148" t="inlineStr">
        <is>
          <t>O</t>
        </is>
      </c>
      <c r="I29" s="148" t="inlineStr">
        <is>
          <t>O</t>
        </is>
      </c>
      <c r="J29" s="148" t="inlineStr">
        <is>
          <t>O</t>
        </is>
      </c>
      <c r="K29" s="108" t="n"/>
      <c r="L29" s="108" t="n"/>
      <c r="M29" s="108" t="n"/>
      <c r="N29" s="108" t="n"/>
      <c r="O29" s="108" t="n"/>
      <c r="P29" s="108" t="n"/>
      <c r="Q29" s="108" t="n"/>
      <c r="R29" s="108" t="n"/>
      <c r="S29" s="108" t="n"/>
      <c r="T29" s="222" t="n"/>
    </row>
    <row r="30" ht="13.5" customHeight="1" s="426">
      <c r="A30" s="226" t="n"/>
      <c r="B30" s="116" t="inlineStr">
        <is>
          <t>Exception</t>
        </is>
      </c>
      <c r="C30" s="120" t="n"/>
      <c r="D30" s="118" t="n"/>
      <c r="E30" s="121" t="n"/>
      <c r="F30" s="108" t="n"/>
      <c r="G30" s="108" t="n"/>
      <c r="H30" s="108" t="n"/>
      <c r="I30" s="108" t="n"/>
      <c r="J30" s="108" t="n"/>
      <c r="K30" s="108" t="n"/>
      <c r="L30" s="108" t="n"/>
      <c r="M30" s="108" t="n"/>
      <c r="N30" s="108" t="n"/>
      <c r="O30" s="108" t="n"/>
      <c r="P30" s="108" t="n"/>
      <c r="Q30" s="108" t="n"/>
      <c r="R30" s="108" t="n"/>
      <c r="S30" s="108" t="n"/>
      <c r="T30" s="222" t="n"/>
    </row>
    <row r="31" ht="13.5" customHeight="1" s="426">
      <c r="A31" s="226" t="n"/>
      <c r="B31" s="116" t="n"/>
      <c r="C31" s="120" t="n"/>
      <c r="D31" s="118" t="inlineStr">
        <is>
          <t>InvalidOperationException</t>
        </is>
      </c>
      <c r="E31" s="121" t="n"/>
      <c r="F31" s="108" t="n"/>
      <c r="G31" s="108" t="n"/>
      <c r="H31" s="108" t="n"/>
      <c r="I31" s="108" t="n"/>
      <c r="J31" s="108" t="n"/>
      <c r="K31" s="148" t="inlineStr">
        <is>
          <t>O</t>
        </is>
      </c>
      <c r="L31" s="108" t="n"/>
      <c r="M31" s="108" t="n"/>
      <c r="N31" s="108" t="n"/>
      <c r="O31" s="108" t="n"/>
      <c r="P31" s="108" t="n"/>
      <c r="Q31" s="108" t="n"/>
      <c r="R31" s="108" t="n"/>
      <c r="S31" s="108" t="n"/>
      <c r="T31" s="222" t="n"/>
    </row>
    <row r="32" ht="13.5" customHeight="1" s="426">
      <c r="A32" s="226" t="n"/>
      <c r="B32" s="116" t="inlineStr">
        <is>
          <t>Log message</t>
        </is>
      </c>
      <c r="C32" s="120" t="n"/>
      <c r="D32" s="118" t="n"/>
      <c r="E32" s="121" t="n"/>
      <c r="F32" s="108" t="n"/>
      <c r="G32" s="108" t="n"/>
      <c r="H32" s="108" t="n"/>
      <c r="I32" s="108" t="n"/>
      <c r="J32" s="108" t="n"/>
      <c r="K32" s="108" t="n"/>
      <c r="L32" s="108" t="n"/>
      <c r="M32" s="108" t="n"/>
      <c r="N32" s="108" t="n"/>
      <c r="O32" s="108" t="n"/>
      <c r="P32" s="108" t="n"/>
      <c r="Q32" s="108" t="n"/>
      <c r="R32" s="108" t="n"/>
      <c r="S32" s="108" t="n"/>
      <c r="T32" s="222" t="n"/>
    </row>
    <row r="33" ht="13.5" customHeight="1" s="426">
      <c r="A33" s="226" t="n"/>
      <c r="B33" s="116" t="n"/>
      <c r="C33" s="120" t="n"/>
      <c r="D33" s="118" t="inlineStr">
        <is>
          <t>"Expected AddNewRoom to return false for an empty RoomCode."</t>
        </is>
      </c>
      <c r="E33" s="121" t="n"/>
      <c r="F33" s="108" t="n"/>
      <c r="G33" s="108" t="n"/>
      <c r="H33" s="148" t="inlineStr">
        <is>
          <t>O</t>
        </is>
      </c>
      <c r="I33" s="108" t="n"/>
      <c r="J33" s="108" t="n"/>
      <c r="K33" s="108" t="n"/>
      <c r="L33" s="108" t="n"/>
      <c r="M33" s="108" t="n"/>
      <c r="N33" s="108" t="n"/>
      <c r="O33" s="108" t="n"/>
      <c r="P33" s="108" t="n"/>
      <c r="Q33" s="108" t="n"/>
      <c r="R33" s="108" t="n"/>
      <c r="S33" s="108" t="n"/>
      <c r="T33" s="222" t="n"/>
    </row>
    <row r="34" ht="13.5" customHeight="1" s="426">
      <c r="A34" s="226" t="n"/>
      <c r="B34" s="208" t="n"/>
      <c r="C34" s="239" t="n"/>
      <c r="D34" s="210" t="inlineStr">
        <is>
          <t>Expected AddNewRoom to return false for a BuildingId of 0.</t>
        </is>
      </c>
      <c r="E34" s="240" t="n"/>
      <c r="F34" s="212" t="n"/>
      <c r="G34" s="212" t="n"/>
      <c r="H34" s="212" t="n"/>
      <c r="I34" s="148" t="inlineStr">
        <is>
          <t>O</t>
        </is>
      </c>
      <c r="J34" s="212" t="n"/>
      <c r="K34" s="212" t="n"/>
      <c r="L34" s="212" t="n"/>
      <c r="M34" s="212" t="n"/>
      <c r="N34" s="212" t="n"/>
      <c r="O34" s="212" t="n"/>
      <c r="P34" s="212" t="n"/>
      <c r="Q34" s="212" t="n"/>
      <c r="R34" s="212" t="n"/>
      <c r="S34" s="212" t="n"/>
      <c r="T34" s="227" t="n"/>
    </row>
    <row r="35" ht="13.5" customHeight="1" s="426">
      <c r="A35" s="226" t="n"/>
      <c r="B35" s="208" t="n"/>
      <c r="C35" s="239" t="n"/>
      <c r="D35" s="210" t="inlineStr">
        <is>
          <t>"Expected AddNewRoom to return false when Description is null."</t>
        </is>
      </c>
      <c r="E35" s="240" t="n"/>
      <c r="F35" s="212" t="n"/>
      <c r="G35" s="212" t="n"/>
      <c r="H35" s="212" t="n"/>
      <c r="I35" s="212" t="n"/>
      <c r="J35" s="148" t="inlineStr">
        <is>
          <t>O</t>
        </is>
      </c>
      <c r="K35" s="212" t="n"/>
      <c r="L35" s="212" t="n"/>
      <c r="M35" s="212" t="n"/>
      <c r="N35" s="212" t="n"/>
      <c r="O35" s="212" t="n"/>
      <c r="P35" s="212" t="n"/>
      <c r="Q35" s="212" t="n"/>
      <c r="R35" s="212" t="n"/>
      <c r="S35" s="212" t="n"/>
      <c r="T35" s="227" t="n"/>
    </row>
    <row r="36" ht="13.5" customHeight="1" s="426" thickBot="1">
      <c r="A36" s="226" t="n"/>
      <c r="B36" s="208" t="n"/>
      <c r="C36" s="209" t="n"/>
      <c r="D36" s="210" t="inlineStr">
        <is>
          <t>"Database insert error"</t>
        </is>
      </c>
      <c r="E36" s="211" t="n"/>
      <c r="F36" s="212" t="n"/>
      <c r="G36" s="212" t="n"/>
      <c r="H36" s="212" t="n"/>
      <c r="I36" s="212" t="n"/>
      <c r="J36" s="212" t="n"/>
      <c r="K36" s="148" t="inlineStr">
        <is>
          <t>O</t>
        </is>
      </c>
      <c r="L36" s="212" t="n"/>
      <c r="M36" s="212" t="n"/>
      <c r="N36" s="212" t="n"/>
      <c r="O36" s="212" t="n"/>
      <c r="P36" s="212" t="n"/>
      <c r="Q36" s="212" t="n"/>
      <c r="R36" s="212" t="n"/>
      <c r="S36" s="212" t="n"/>
      <c r="T36" s="227" t="n"/>
    </row>
    <row r="37" ht="13.5" customHeight="1" s="426" thickTop="1">
      <c r="A37" s="224" t="inlineStr">
        <is>
          <t>Result</t>
        </is>
      </c>
      <c r="B37" s="398" t="inlineStr">
        <is>
          <t>Type(N : Normal, A : Abnormal, B : Boundary)</t>
        </is>
      </c>
      <c r="C37" s="472" t="n"/>
      <c r="D37" s="473" t="n"/>
      <c r="E37" s="398" t="n"/>
      <c r="F37" s="214" t="inlineStr">
        <is>
          <t>N</t>
        </is>
      </c>
      <c r="G37" s="214" t="inlineStr">
        <is>
          <t>A</t>
        </is>
      </c>
      <c r="H37" s="214" t="inlineStr">
        <is>
          <t>A</t>
        </is>
      </c>
      <c r="I37" s="214" t="inlineStr">
        <is>
          <t>A</t>
        </is>
      </c>
      <c r="J37" s="214" t="inlineStr">
        <is>
          <t>A</t>
        </is>
      </c>
      <c r="K37" s="214" t="inlineStr">
        <is>
          <t>A</t>
        </is>
      </c>
      <c r="L37" s="214" t="n"/>
      <c r="M37" s="214" t="n"/>
      <c r="N37" s="214" t="n"/>
      <c r="O37" s="214" t="n"/>
      <c r="P37" s="214" t="n"/>
      <c r="Q37" s="214" t="n"/>
      <c r="R37" s="214" t="n"/>
      <c r="S37" s="214" t="n"/>
      <c r="T37" s="228" t="n"/>
    </row>
    <row r="38" ht="13.5" customHeight="1" s="426">
      <c r="A38" s="229" t="n"/>
      <c r="B38" s="388" t="inlineStr">
        <is>
          <t>Passed/Failed</t>
        </is>
      </c>
      <c r="C38" s="449" t="n"/>
      <c r="D38" s="450" t="n"/>
      <c r="E38" s="123" t="n"/>
      <c r="F38" s="122" t="inlineStr">
        <is>
          <t>P</t>
        </is>
      </c>
      <c r="G38" s="122" t="inlineStr">
        <is>
          <t>P</t>
        </is>
      </c>
      <c r="H38" s="122" t="inlineStr">
        <is>
          <t>P</t>
        </is>
      </c>
      <c r="I38" s="122" t="inlineStr">
        <is>
          <t>P</t>
        </is>
      </c>
      <c r="J38" s="122" t="inlineStr">
        <is>
          <t>P</t>
        </is>
      </c>
      <c r="K38" s="122" t="inlineStr">
        <is>
          <t>P</t>
        </is>
      </c>
      <c r="L38" s="122" t="n"/>
      <c r="M38" s="122" t="n"/>
      <c r="N38" s="122" t="n"/>
      <c r="O38" s="122" t="n"/>
      <c r="P38" s="122" t="n"/>
      <c r="Q38" s="122" t="n"/>
      <c r="R38" s="122" t="n"/>
      <c r="S38" s="122" t="n"/>
      <c r="T38" s="230" t="n"/>
    </row>
    <row r="39" ht="73" customHeight="1" s="426">
      <c r="A39" s="229" t="n"/>
      <c r="B39" s="389" t="inlineStr">
        <is>
          <t>Executed Date</t>
        </is>
      </c>
      <c r="C39" s="449" t="n"/>
      <c r="D39" s="450" t="n"/>
      <c r="E39" s="124" t="n"/>
      <c r="F39" s="97" t="n">
        <v>45700</v>
      </c>
      <c r="G39" s="97" t="n">
        <v>45700</v>
      </c>
      <c r="H39" s="97" t="n">
        <v>45700</v>
      </c>
      <c r="I39" s="97" t="n">
        <v>45700</v>
      </c>
      <c r="J39" s="97" t="n">
        <v>45700</v>
      </c>
      <c r="K39" s="97" t="n">
        <v>45700</v>
      </c>
      <c r="L39" s="125" t="n"/>
      <c r="M39" s="125" t="n"/>
      <c r="N39" s="125" t="n"/>
      <c r="O39" s="125" t="n"/>
      <c r="P39" s="125" t="n"/>
      <c r="Q39" s="125" t="n"/>
      <c r="R39" s="125" t="n"/>
      <c r="S39" s="125" t="n"/>
      <c r="T39" s="231" t="n"/>
    </row>
    <row r="40" ht="10.5" customHeight="1" s="426" thickBot="1">
      <c r="A40" s="232" t="n"/>
      <c r="B40" s="397" t="inlineStr">
        <is>
          <t>Defect ID</t>
        </is>
      </c>
      <c r="C40" s="474" t="n"/>
      <c r="D40" s="475" t="n"/>
      <c r="E40" s="233" t="n"/>
      <c r="F40" s="234" t="n"/>
      <c r="G40" s="234" t="n"/>
      <c r="H40" s="234" t="n"/>
      <c r="I40" s="234" t="n"/>
      <c r="J40" s="234" t="n"/>
      <c r="K40" s="234" t="n"/>
      <c r="L40" s="234" t="n"/>
      <c r="M40" s="234" t="n"/>
      <c r="N40" s="234" t="n"/>
      <c r="O40" s="234" t="n"/>
      <c r="P40" s="234" t="n"/>
      <c r="Q40" s="234" t="n"/>
      <c r="R40" s="234" t="n"/>
      <c r="S40" s="234" t="n"/>
      <c r="T40" s="235" t="n"/>
    </row>
    <row r="41" ht="10.5" customHeight="1" s="426" thickTop="1">
      <c r="A41" s="102" t="n"/>
      <c r="B41" s="98" t="n"/>
      <c r="C41" s="402" t="n"/>
      <c r="D41" s="98" t="n"/>
    </row>
  </sheetData>
  <mergeCells count="28">
    <mergeCell ref="F2:K2"/>
    <mergeCell ref="B38:D38"/>
    <mergeCell ref="A6:B6"/>
    <mergeCell ref="C4:D4"/>
    <mergeCell ref="L4:T4"/>
    <mergeCell ref="B37:D37"/>
    <mergeCell ref="A7:B7"/>
    <mergeCell ref="B40:D40"/>
    <mergeCell ref="C7:E7"/>
    <mergeCell ref="L6:N6"/>
    <mergeCell ref="A3:B3"/>
    <mergeCell ref="A2:B2"/>
    <mergeCell ref="C2:D2"/>
    <mergeCell ref="A5:B5"/>
    <mergeCell ref="C3:E3"/>
    <mergeCell ref="D18:E18"/>
    <mergeCell ref="F4:K4"/>
    <mergeCell ref="O7:T7"/>
    <mergeCell ref="C6:E6"/>
    <mergeCell ref="A4:B4"/>
    <mergeCell ref="L2:T2"/>
    <mergeCell ref="O6:T6"/>
    <mergeCell ref="F6:K6"/>
    <mergeCell ref="C5:T5"/>
    <mergeCell ref="F7:K7"/>
    <mergeCell ref="B39:D39"/>
    <mergeCell ref="L3:T3"/>
    <mergeCell ref="F3:K3"/>
  </mergeCells>
  <dataValidations count="3">
    <dataValidation sqref="F37:T37" showDropDown="0" showInputMessage="1" showErrorMessage="1" allowBlank="1" type="list">
      <formula1>"N,A,B, "</formula1>
    </dataValidation>
    <dataValidation sqref="F38:T38" showDropDown="0" showInputMessage="1" showErrorMessage="1" allowBlank="1" type="list">
      <formula1>"P,F, "</formula1>
    </dataValidation>
    <dataValidation sqref="F10:T36" showDropDown="0" showInputMessage="1" showErrorMessage="1" allowBlank="1" type="list">
      <formula1>"O, "</formula1>
    </dataValidation>
  </dataValidations>
  <pageMargins left="0.75" right="0.75" top="0.75" bottom="0.75" header="0.5" footer="0.5"/>
  <pageSetup orientation="portrait" paperSize="9" horizontalDpi="300" verticalDpi="300"/>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V39"/>
  <sheetViews>
    <sheetView zoomScale="145" zoomScaleNormal="145" workbookViewId="0">
      <selection activeCell="V34" sqref="V34"/>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Room - 4</t>
        </is>
      </c>
      <c r="D2" s="439" t="n"/>
      <c r="E2" s="441" t="n"/>
      <c r="F2" s="410" t="inlineStr">
        <is>
          <t>Function Name</t>
        </is>
      </c>
      <c r="G2" s="496" t="n"/>
      <c r="H2" s="496" t="n"/>
      <c r="I2" s="496" t="n"/>
      <c r="J2" s="496" t="n"/>
      <c r="K2" s="496" t="n"/>
      <c r="L2" s="443" t="inlineStr">
        <is>
          <t>Update Room</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200</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COUNTIF(F36:HQ36,"P")</f>
        <v/>
      </c>
      <c r="B7" s="465" t="n"/>
      <c r="C7" s="466">
        <f>COUNTIF(F37:HQ37,"F")</f>
        <v/>
      </c>
      <c r="D7" s="467" t="n"/>
      <c r="E7" s="465" t="n"/>
      <c r="F7" s="468">
        <f>SUM(O7,- A7,- C7)</f>
        <v/>
      </c>
      <c r="G7" s="467" t="n"/>
      <c r="H7" s="467" t="n"/>
      <c r="I7" s="467" t="n"/>
      <c r="J7" s="467" t="n"/>
      <c r="K7" s="469" t="n"/>
      <c r="L7" s="342">
        <f>COUNTIF(E35:HQ35,"N")</f>
        <v/>
      </c>
      <c r="M7" s="342">
        <f>COUNTIF(E35:HQ35,"A")</f>
        <v/>
      </c>
      <c r="N7" s="342">
        <f>COUNTIF(E35:HQ35,"B")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inlineStr">
        <is>
          <t>O</t>
        </is>
      </c>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n"/>
      <c r="L12" s="148" t="n"/>
      <c r="M12" s="148" t="n"/>
      <c r="N12" s="148" t="n"/>
      <c r="O12" s="148" t="n"/>
      <c r="P12" s="148" t="n"/>
      <c r="Q12" s="148" t="n"/>
      <c r="R12" s="148" t="n"/>
      <c r="S12" s="148" t="n"/>
      <c r="T12" s="170" t="n"/>
    </row>
    <row r="13" ht="13.5" customHeight="1" s="426">
      <c r="A13" s="171" t="n"/>
      <c r="B13" s="75" t="inlineStr">
        <is>
          <t>RoomId</t>
        </is>
      </c>
      <c r="C13" s="76" t="n"/>
      <c r="D13" s="77" t="n"/>
      <c r="E13" s="81" t="n"/>
      <c r="F13" s="79" t="n"/>
      <c r="G13" s="79" t="n"/>
      <c r="H13" s="79" t="n"/>
      <c r="I13" s="79" t="n"/>
      <c r="J13" s="79" t="n"/>
      <c r="K13" s="79" t="n"/>
      <c r="L13" s="79" t="n"/>
      <c r="M13" s="79" t="n"/>
      <c r="N13" s="79" t="n"/>
      <c r="O13" s="79" t="n"/>
      <c r="P13" s="79" t="n"/>
      <c r="Q13" s="79" t="n"/>
      <c r="R13" s="79" t="n"/>
      <c r="S13" s="79" t="n"/>
      <c r="T13" s="195" t="n"/>
    </row>
    <row r="14" ht="13.5" customHeight="1" s="426">
      <c r="A14" s="171" t="n"/>
      <c r="B14" s="75" t="n"/>
      <c r="C14" s="76" t="n"/>
      <c r="D14" s="77" t="inlineStr">
        <is>
          <t>Guid.NewGuid</t>
        </is>
      </c>
      <c r="E14" s="81" t="n"/>
      <c r="F14" s="148" t="inlineStr">
        <is>
          <t>O</t>
        </is>
      </c>
      <c r="G14" s="79" t="n"/>
      <c r="H14" s="148" t="inlineStr">
        <is>
          <t>O</t>
        </is>
      </c>
      <c r="I14" s="148" t="inlineStr">
        <is>
          <t>O</t>
        </is>
      </c>
      <c r="J14" s="148" t="inlineStr">
        <is>
          <t>O</t>
        </is>
      </c>
      <c r="K14" s="148" t="n"/>
      <c r="L14" s="79" t="n"/>
      <c r="M14" s="79" t="n"/>
      <c r="N14" s="79" t="n"/>
      <c r="O14" s="79" t="n"/>
      <c r="P14" s="79" t="n"/>
      <c r="Q14" s="79" t="n"/>
      <c r="R14" s="79" t="n"/>
      <c r="S14" s="79" t="n"/>
      <c r="T14" s="195" t="n"/>
    </row>
    <row r="15" ht="13.5" customHeight="1" s="426">
      <c r="A15" s="171" t="n"/>
      <c r="B15" s="75" t="n"/>
      <c r="C15" s="76" t="n"/>
      <c r="D15" s="77" t="inlineStr">
        <is>
          <t>null</t>
        </is>
      </c>
      <c r="E15" s="81" t="n"/>
      <c r="F15" s="79" t="n"/>
      <c r="G15" s="148" t="inlineStr">
        <is>
          <t>O</t>
        </is>
      </c>
      <c r="H15" s="79" t="n"/>
      <c r="I15" s="79" t="n"/>
      <c r="J15" s="79" t="n"/>
      <c r="K15" s="79" t="n"/>
      <c r="L15" s="79" t="n"/>
      <c r="M15" s="79" t="n"/>
      <c r="N15" s="79" t="n"/>
      <c r="O15" s="79" t="n"/>
      <c r="P15" s="79" t="n"/>
      <c r="Q15" s="79" t="n"/>
      <c r="R15" s="79" t="n"/>
      <c r="S15" s="79" t="n"/>
      <c r="T15" s="195" t="n"/>
    </row>
    <row r="16" ht="13.5" customHeight="1" s="426">
      <c r="A16" s="171" t="n"/>
      <c r="B16" s="75" t="inlineStr">
        <is>
          <t>Status</t>
        </is>
      </c>
      <c r="C16" s="76" t="n"/>
      <c r="D16" s="77" t="n"/>
      <c r="E16" s="81" t="n"/>
      <c r="F16" s="79" t="n"/>
      <c r="G16" s="79" t="n"/>
      <c r="H16" s="79" t="n"/>
      <c r="I16" s="79" t="n"/>
      <c r="J16" s="79" t="n"/>
      <c r="K16" s="79" t="n"/>
      <c r="L16" s="79" t="n"/>
      <c r="M16" s="79" t="n"/>
      <c r="N16" s="79" t="n"/>
      <c r="O16" s="79" t="n"/>
      <c r="P16" s="79" t="n"/>
      <c r="Q16" s="79" t="n"/>
      <c r="R16" s="79" t="n"/>
      <c r="S16" s="79" t="n"/>
      <c r="T16" s="195" t="n"/>
      <c r="U16" s="82" t="n"/>
    </row>
    <row r="17" ht="13.5" customHeight="1" s="426">
      <c r="A17" s="171" t="n"/>
      <c r="B17" s="75" t="n"/>
      <c r="C17" s="76" t="n"/>
      <c r="D17" s="413" t="n">
        <v>1</v>
      </c>
      <c r="F17" s="148" t="inlineStr">
        <is>
          <t>O</t>
        </is>
      </c>
      <c r="G17" s="79" t="n"/>
      <c r="H17" s="79" t="n"/>
      <c r="I17" s="148" t="inlineStr">
        <is>
          <t>O</t>
        </is>
      </c>
      <c r="J17" s="148" t="inlineStr">
        <is>
          <t>O</t>
        </is>
      </c>
      <c r="K17" s="79" t="n"/>
      <c r="L17" s="79" t="n"/>
      <c r="M17" s="79" t="n"/>
      <c r="N17" s="79" t="n"/>
      <c r="O17" s="79" t="n"/>
      <c r="P17" s="79" t="n"/>
      <c r="Q17" s="79" t="n"/>
      <c r="R17" s="79" t="n"/>
      <c r="S17" s="79" t="n"/>
      <c r="T17" s="195" t="n"/>
    </row>
    <row r="18" ht="13.5" customHeight="1" s="426">
      <c r="A18" s="171" t="n"/>
      <c r="B18" s="75" t="n"/>
      <c r="C18" s="76" t="n"/>
      <c r="D18" s="77" t="n">
        <v>-1</v>
      </c>
      <c r="E18" s="413" t="n"/>
      <c r="F18" s="79" t="n"/>
      <c r="G18" s="79" t="n"/>
      <c r="H18" s="148" t="inlineStr">
        <is>
          <t>O</t>
        </is>
      </c>
      <c r="I18" s="79" t="n"/>
      <c r="J18" s="79" t="n"/>
      <c r="K18" s="79" t="n"/>
      <c r="L18" s="79" t="n"/>
      <c r="M18" s="79" t="n"/>
      <c r="N18" s="79" t="n"/>
      <c r="O18" s="79" t="n"/>
      <c r="P18" s="79" t="n"/>
      <c r="Q18" s="79" t="n"/>
      <c r="R18" s="79" t="n"/>
      <c r="S18" s="79" t="n"/>
      <c r="T18" s="195" t="n"/>
    </row>
    <row r="19" ht="13.5" customHeight="1" s="426">
      <c r="A19" s="171" t="n"/>
      <c r="B19" s="75" t="n"/>
      <c r="C19" s="76" t="n"/>
      <c r="D19" s="77" t="inlineStr">
        <is>
          <t>null</t>
        </is>
      </c>
      <c r="E19" s="81" t="n"/>
      <c r="F19" s="79" t="n"/>
      <c r="G19" s="148" t="inlineStr">
        <is>
          <t>O</t>
        </is>
      </c>
      <c r="H19" s="79" t="n"/>
      <c r="I19" s="79" t="n"/>
      <c r="J19" s="79" t="n"/>
      <c r="K19" s="79" t="n"/>
      <c r="L19" s="79" t="n"/>
      <c r="M19" s="79" t="n"/>
      <c r="N19" s="79" t="n"/>
      <c r="O19" s="79" t="n"/>
      <c r="P19" s="79" t="n"/>
      <c r="Q19" s="79" t="n"/>
      <c r="R19" s="79" t="n"/>
      <c r="S19" s="79" t="n"/>
      <c r="T19" s="195" t="n"/>
    </row>
    <row r="20" ht="13.5" customHeight="1" s="426">
      <c r="A20" s="171" t="n"/>
      <c r="B20" s="75" t="inlineStr">
        <is>
          <t>Description</t>
        </is>
      </c>
      <c r="C20" s="76" t="n"/>
      <c r="D20" s="77" t="n"/>
      <c r="E20" s="81" t="n"/>
      <c r="F20" s="79" t="n"/>
      <c r="G20" s="79" t="n"/>
      <c r="H20" s="79" t="n"/>
      <c r="I20" s="79" t="n"/>
      <c r="J20" s="79" t="n"/>
      <c r="K20" s="79" t="n"/>
      <c r="L20" s="79" t="n"/>
      <c r="M20" s="79" t="n"/>
      <c r="N20" s="79" t="n"/>
      <c r="O20" s="79" t="n"/>
      <c r="P20" s="79" t="n"/>
      <c r="Q20" s="79" t="n"/>
      <c r="R20" s="79" t="n"/>
      <c r="S20" s="79" t="n"/>
      <c r="T20" s="195" t="n"/>
    </row>
    <row r="21" ht="13.5" customHeight="1" s="426">
      <c r="A21" s="171" t="n"/>
      <c r="B21" s="75" t="n"/>
      <c r="C21" s="76" t="n"/>
      <c r="D21" s="77" t="inlineStr">
        <is>
          <t>"Description1"</t>
        </is>
      </c>
      <c r="E21" s="81" t="n"/>
      <c r="F21" s="148" t="inlineStr">
        <is>
          <t>O</t>
        </is>
      </c>
      <c r="G21" s="79" t="n"/>
      <c r="H21" s="148" t="inlineStr">
        <is>
          <t>O</t>
        </is>
      </c>
      <c r="I21" s="79" t="n"/>
      <c r="J21" s="148" t="inlineStr">
        <is>
          <t>O</t>
        </is>
      </c>
      <c r="K21" s="79" t="n"/>
      <c r="L21" s="79" t="n"/>
      <c r="M21" s="79" t="n"/>
      <c r="N21" s="79" t="n"/>
      <c r="O21" s="79" t="n"/>
      <c r="P21" s="79" t="n"/>
      <c r="Q21" s="79" t="n"/>
      <c r="R21" s="79" t="n"/>
      <c r="S21" s="79" t="n"/>
      <c r="T21" s="195" t="n"/>
    </row>
    <row r="22" ht="13.5" customHeight="1" s="426" thickBot="1">
      <c r="A22" s="171" t="n"/>
      <c r="B22" s="75" t="n"/>
      <c r="C22" s="76" t="n"/>
      <c r="D22" s="77" t="inlineStr">
        <is>
          <t>null</t>
        </is>
      </c>
      <c r="E22" s="81" t="n"/>
      <c r="F22" s="79" t="n"/>
      <c r="G22" s="148" t="inlineStr">
        <is>
          <t>O</t>
        </is>
      </c>
      <c r="H22" s="79" t="n"/>
      <c r="I22" s="148" t="inlineStr">
        <is>
          <t>O</t>
        </is>
      </c>
      <c r="J22" s="79" t="n"/>
      <c r="K22" s="79" t="n"/>
      <c r="L22" s="79" t="n"/>
      <c r="M22" s="79" t="n"/>
      <c r="N22" s="79" t="n"/>
      <c r="O22" s="79" t="n"/>
      <c r="P22" s="79" t="n"/>
      <c r="Q22" s="79" t="n"/>
      <c r="R22" s="79" t="n"/>
      <c r="S22" s="79" t="n"/>
      <c r="T22" s="195" t="n"/>
    </row>
    <row r="23" ht="13.5" customHeight="1" s="426">
      <c r="A23" s="182" t="inlineStr">
        <is>
          <t>Confirm</t>
        </is>
      </c>
      <c r="B23" s="208" t="inlineStr">
        <is>
          <t>Return</t>
        </is>
      </c>
      <c r="C23" s="239" t="n"/>
      <c r="D23" s="210" t="n"/>
      <c r="E23" s="86" t="n"/>
      <c r="F23" s="87" t="n"/>
      <c r="G23" s="87" t="n"/>
      <c r="H23" s="87" t="n"/>
      <c r="I23" s="87" t="n"/>
      <c r="J23" s="87" t="n"/>
      <c r="K23" s="87" t="n"/>
      <c r="L23" s="87" t="n"/>
      <c r="M23" s="87" t="n"/>
      <c r="N23" s="87" t="n"/>
      <c r="O23" s="87" t="n"/>
      <c r="P23" s="87" t="n"/>
      <c r="Q23" s="87" t="n"/>
      <c r="R23" s="87" t="n"/>
      <c r="S23" s="87" t="n"/>
      <c r="T23" s="196" t="n"/>
    </row>
    <row r="24" ht="13.5" customHeight="1" s="426">
      <c r="A24" s="181" t="n"/>
      <c r="B24" s="208" t="n"/>
      <c r="C24" s="209" t="n"/>
      <c r="D24" s="210" t="inlineStr">
        <is>
          <t>T</t>
        </is>
      </c>
      <c r="E24" s="91" t="n"/>
      <c r="F24" s="148" t="inlineStr">
        <is>
          <t>O</t>
        </is>
      </c>
      <c r="G24" s="79" t="n"/>
      <c r="H24" s="79" t="n"/>
      <c r="I24" s="79" t="n"/>
      <c r="J24" s="79" t="n"/>
      <c r="K24" s="79" t="n"/>
      <c r="L24" s="79" t="n"/>
      <c r="M24" s="79" t="n"/>
      <c r="N24" s="79" t="n"/>
      <c r="O24" s="79" t="n"/>
      <c r="P24" s="79" t="n"/>
      <c r="Q24" s="79" t="n"/>
      <c r="R24" s="79" t="n"/>
      <c r="S24" s="79" t="n"/>
      <c r="T24" s="195" t="n"/>
    </row>
    <row r="25" ht="13.5" customHeight="1" s="426">
      <c r="A25" s="181" t="n"/>
      <c r="B25" s="126" t="n"/>
      <c r="C25" s="89" t="n"/>
      <c r="D25" s="90" t="inlineStr">
        <is>
          <t>F</t>
        </is>
      </c>
      <c r="E25" s="91" t="n"/>
      <c r="F25" s="79" t="n"/>
      <c r="G25" s="148" t="inlineStr">
        <is>
          <t>O</t>
        </is>
      </c>
      <c r="H25" s="148" t="inlineStr">
        <is>
          <t>O</t>
        </is>
      </c>
      <c r="I25" s="148" t="inlineStr">
        <is>
          <t>O</t>
        </is>
      </c>
      <c r="J25" s="148" t="inlineStr">
        <is>
          <t>O</t>
        </is>
      </c>
      <c r="K25" s="79" t="n"/>
      <c r="L25" s="79" t="n"/>
      <c r="M25" s="79" t="n"/>
      <c r="N25" s="79" t="n"/>
      <c r="O25" s="79" t="n"/>
      <c r="P25" s="79" t="n"/>
      <c r="Q25" s="79" t="n"/>
      <c r="R25" s="79" t="n"/>
      <c r="S25" s="79" t="n"/>
      <c r="T25" s="195" t="n"/>
    </row>
    <row r="26" ht="13.5" customHeight="1" s="426">
      <c r="A26" s="181" t="n"/>
      <c r="B26" s="116" t="inlineStr">
        <is>
          <t>Exception</t>
        </is>
      </c>
      <c r="C26" s="120" t="n"/>
      <c r="D26" s="118" t="n"/>
      <c r="E26" s="91" t="n"/>
      <c r="F26" s="79" t="n"/>
      <c r="G26" s="79" t="n"/>
      <c r="H26" s="79" t="n"/>
      <c r="I26" s="79" t="n"/>
      <c r="J26" s="79" t="n"/>
      <c r="K26" s="79" t="n"/>
      <c r="L26" s="79" t="n"/>
      <c r="M26" s="79" t="n"/>
      <c r="N26" s="79" t="n"/>
      <c r="O26" s="79" t="n"/>
      <c r="P26" s="79" t="n"/>
      <c r="Q26" s="79" t="n"/>
      <c r="R26" s="79" t="n"/>
      <c r="S26" s="79" t="n"/>
      <c r="T26" s="195" t="n"/>
    </row>
    <row r="27" ht="13.5" customHeight="1" s="426">
      <c r="A27" s="181" t="n"/>
      <c r="B27" s="116" t="n"/>
      <c r="C27" s="120" t="n"/>
      <c r="D27" s="118" t="inlineStr">
        <is>
          <t>InvalidOperationException</t>
        </is>
      </c>
      <c r="E27" s="91" t="n"/>
      <c r="F27" s="79" t="n"/>
      <c r="G27" s="79" t="n"/>
      <c r="H27" s="79" t="n"/>
      <c r="I27" s="79" t="n"/>
      <c r="J27" s="79" t="n"/>
      <c r="K27" s="79" t="n"/>
      <c r="L27" s="79" t="n"/>
      <c r="M27" s="79" t="n"/>
      <c r="N27" s="79" t="n"/>
      <c r="O27" s="79" t="n"/>
      <c r="P27" s="79" t="n"/>
      <c r="Q27" s="79" t="n"/>
      <c r="R27" s="79" t="n"/>
      <c r="S27" s="79" t="n"/>
      <c r="T27" s="195" t="n"/>
    </row>
    <row r="28" ht="13.5" customHeight="1" s="426">
      <c r="A28" s="181" t="n"/>
      <c r="B28" s="88" t="inlineStr">
        <is>
          <t>Log message</t>
        </is>
      </c>
      <c r="C28" s="89" t="n"/>
      <c r="D28" s="90" t="n"/>
      <c r="E28" s="91" t="n"/>
      <c r="F28" s="79" t="n"/>
      <c r="G28" s="79" t="n"/>
      <c r="H28" s="79" t="n"/>
      <c r="I28" s="79" t="n"/>
      <c r="J28" s="79" t="n"/>
      <c r="K28" s="79" t="n"/>
      <c r="L28" s="79" t="n"/>
      <c r="M28" s="79" t="n"/>
      <c r="N28" s="79" t="n"/>
      <c r="O28" s="79" t="n"/>
      <c r="P28" s="79" t="n"/>
      <c r="Q28" s="79" t="n"/>
      <c r="R28" s="79" t="n"/>
      <c r="S28" s="79" t="n"/>
      <c r="T28" s="195" t="n"/>
    </row>
    <row r="29" ht="13.5" customHeight="1" s="426">
      <c r="A29" s="181" t="n"/>
      <c r="B29" s="88" t="n"/>
      <c r="C29" s="92" t="n"/>
      <c r="D29" s="90" t="inlineStr">
        <is>
          <t>"Expected true for a successful update."</t>
        </is>
      </c>
      <c r="E29" s="93" t="n"/>
      <c r="F29" s="148" t="inlineStr">
        <is>
          <t>O</t>
        </is>
      </c>
      <c r="G29" s="79" t="n"/>
      <c r="H29" s="79" t="n"/>
      <c r="I29" s="79" t="n"/>
      <c r="J29" s="79" t="n"/>
      <c r="K29" s="79" t="n"/>
      <c r="L29" s="79" t="n"/>
      <c r="M29" s="79" t="n"/>
      <c r="N29" s="79" t="n"/>
      <c r="O29" s="79" t="n"/>
      <c r="P29" s="79" t="n"/>
      <c r="Q29" s="79" t="n"/>
      <c r="R29" s="79" t="n"/>
      <c r="S29" s="79" t="n"/>
      <c r="T29" s="195" t="n"/>
    </row>
    <row r="30" ht="13.5" customHeight="1" s="426">
      <c r="A30" s="181" t="n"/>
      <c r="B30" s="88" t="n"/>
      <c r="C30" s="92" t="n"/>
      <c r="D30" s="90" t="inlineStr">
        <is>
          <t>"Expected false when provided room is null."</t>
        </is>
      </c>
      <c r="E30" s="93" t="n"/>
      <c r="F30" s="79" t="n"/>
      <c r="G30" s="148" t="inlineStr">
        <is>
          <t>O</t>
        </is>
      </c>
      <c r="H30" s="79" t="n"/>
      <c r="I30" s="79" t="n"/>
      <c r="J30" s="79" t="n"/>
      <c r="K30" s="79" t="n"/>
      <c r="L30" s="79" t="n"/>
      <c r="M30" s="79" t="n"/>
      <c r="N30" s="79" t="n"/>
      <c r="O30" s="79" t="n"/>
      <c r="P30" s="79" t="n"/>
      <c r="Q30" s="79" t="n"/>
      <c r="R30" s="79" t="n"/>
      <c r="S30" s="79" t="n"/>
      <c r="T30" s="195" t="n"/>
    </row>
    <row r="31" ht="13.5" customHeight="1" s="426">
      <c r="A31" s="181" t="n"/>
      <c r="B31" s="88" t="n"/>
      <c r="C31" s="92" t="n"/>
      <c r="D31" s="90" t="inlineStr">
        <is>
          <t>"Expected false for invalid status."</t>
        </is>
      </c>
      <c r="E31" s="93" t="n"/>
      <c r="F31" s="79" t="n"/>
      <c r="G31" s="79" t="n"/>
      <c r="H31" s="148" t="inlineStr">
        <is>
          <t>O</t>
        </is>
      </c>
      <c r="I31" s="79" t="n"/>
      <c r="J31" s="79" t="n"/>
      <c r="K31" s="79" t="n"/>
      <c r="L31" s="79" t="n"/>
      <c r="M31" s="79" t="n"/>
      <c r="N31" s="79" t="n"/>
      <c r="O31" s="79" t="n"/>
      <c r="P31" s="79" t="n"/>
      <c r="Q31" s="79" t="n"/>
      <c r="R31" s="79" t="n"/>
      <c r="S31" s="79" t="n"/>
      <c r="T31" s="195" t="n"/>
    </row>
    <row r="32" ht="13.5" customHeight="1" s="426">
      <c r="A32" s="181" t="n"/>
      <c r="B32" s="88" t="n"/>
      <c r="C32" s="92" t="n"/>
      <c r="D32" s="90" t="inlineStr">
        <is>
          <t>"Expected false for invalid description."</t>
        </is>
      </c>
      <c r="E32" s="93" t="n"/>
      <c r="F32" s="79" t="n"/>
      <c r="G32" s="79" t="n"/>
      <c r="H32" s="79" t="n"/>
      <c r="I32" s="148" t="inlineStr">
        <is>
          <t>O</t>
        </is>
      </c>
      <c r="J32" s="79" t="n"/>
      <c r="K32" s="79" t="n"/>
      <c r="L32" s="79" t="n"/>
      <c r="M32" s="79" t="n"/>
      <c r="N32" s="79" t="n"/>
      <c r="O32" s="79" t="n"/>
      <c r="P32" s="79" t="n"/>
      <c r="Q32" s="79" t="n"/>
      <c r="R32" s="79" t="n"/>
      <c r="S32" s="79" t="n"/>
      <c r="T32" s="195" t="n"/>
    </row>
    <row r="33" ht="13.5" customHeight="1" s="426">
      <c r="A33" s="181" t="n"/>
      <c r="B33" s="88" t="n"/>
      <c r="C33" s="92" t="n"/>
      <c r="D33" s="90" t="inlineStr">
        <is>
          <t>"Database error"</t>
        </is>
      </c>
      <c r="E33" s="93" t="n"/>
      <c r="F33" s="79" t="n"/>
      <c r="G33" s="79" t="n"/>
      <c r="H33" s="79" t="n"/>
      <c r="I33" s="79" t="n"/>
      <c r="J33" s="148" t="inlineStr">
        <is>
          <t>O</t>
        </is>
      </c>
      <c r="K33" s="79" t="n"/>
      <c r="L33" s="79" t="n"/>
      <c r="M33" s="79" t="n"/>
      <c r="N33" s="79" t="n"/>
      <c r="O33" s="79" t="n"/>
      <c r="P33" s="79" t="n"/>
      <c r="Q33" s="79" t="n"/>
      <c r="R33" s="79" t="n"/>
      <c r="S33" s="79" t="n"/>
      <c r="T33" s="195" t="n"/>
    </row>
    <row r="34" ht="13.5" customHeight="1" s="426" thickBot="1">
      <c r="A34" s="181" t="n"/>
      <c r="B34" s="158" t="n"/>
      <c r="C34" s="159" t="n"/>
      <c r="D34" s="160" t="n"/>
      <c r="E34" s="161" t="n"/>
      <c r="F34" s="187" t="n"/>
      <c r="G34" s="187" t="n"/>
      <c r="H34" s="187" t="n"/>
      <c r="I34" s="187" t="n"/>
      <c r="J34" s="187" t="n"/>
      <c r="K34" s="187" t="n"/>
      <c r="L34" s="187" t="n"/>
      <c r="M34" s="187" t="n"/>
      <c r="N34" s="187" t="n"/>
      <c r="O34" s="187" t="n"/>
      <c r="P34" s="187" t="n"/>
      <c r="Q34" s="187" t="n"/>
      <c r="R34" s="187" t="n"/>
      <c r="S34" s="187" t="n"/>
      <c r="T34" s="197" t="n"/>
    </row>
    <row r="35" ht="13.5" customHeight="1" s="426" thickTop="1">
      <c r="A35" s="182" t="inlineStr">
        <is>
          <t>Result</t>
        </is>
      </c>
      <c r="B35" s="331" t="inlineStr">
        <is>
          <t>Type(N : Normal, A : Abnormal, B : Boundary)</t>
        </is>
      </c>
      <c r="C35" s="472" t="n"/>
      <c r="D35" s="473" t="n"/>
      <c r="E35" s="331" t="n"/>
      <c r="F35" s="188" t="inlineStr">
        <is>
          <t>N</t>
        </is>
      </c>
      <c r="G35" s="188" t="inlineStr">
        <is>
          <t>A</t>
        </is>
      </c>
      <c r="H35" s="188" t="inlineStr">
        <is>
          <t>A</t>
        </is>
      </c>
      <c r="I35" s="188" t="inlineStr">
        <is>
          <t>A</t>
        </is>
      </c>
      <c r="J35" s="188" t="inlineStr">
        <is>
          <t>A</t>
        </is>
      </c>
      <c r="K35" s="188" t="n"/>
      <c r="L35" s="188" t="n"/>
      <c r="M35" s="188" t="n"/>
      <c r="N35" s="188" t="n"/>
      <c r="O35" s="188" t="n"/>
      <c r="P35" s="188" t="n"/>
      <c r="Q35" s="188" t="n"/>
      <c r="R35" s="188" t="n"/>
      <c r="S35" s="188" t="n"/>
      <c r="T35" s="198" t="n"/>
    </row>
    <row r="36" ht="13.5" customHeight="1" s="426">
      <c r="A36" s="174" t="n"/>
      <c r="B36" s="320" t="inlineStr">
        <is>
          <t>Passed/Failed</t>
        </is>
      </c>
      <c r="C36" s="449" t="n"/>
      <c r="D36" s="450" t="n"/>
      <c r="E36" s="95" t="n"/>
      <c r="F36" s="94" t="inlineStr">
        <is>
          <t>P</t>
        </is>
      </c>
      <c r="G36" s="94" t="inlineStr">
        <is>
          <t>P</t>
        </is>
      </c>
      <c r="H36" s="94" t="inlineStr">
        <is>
          <t>P</t>
        </is>
      </c>
      <c r="I36" s="94" t="inlineStr">
        <is>
          <t>P</t>
        </is>
      </c>
      <c r="J36" s="94" t="inlineStr">
        <is>
          <t>P</t>
        </is>
      </c>
      <c r="K36" s="94" t="n"/>
      <c r="L36" s="94" t="n"/>
      <c r="M36" s="94" t="n"/>
      <c r="N36" s="94" t="n"/>
      <c r="O36" s="94" t="n"/>
      <c r="P36" s="94" t="n"/>
      <c r="Q36" s="94" t="n"/>
      <c r="R36" s="94" t="n"/>
      <c r="S36" s="94" t="n"/>
      <c r="T36" s="199" t="n"/>
    </row>
    <row r="37" ht="71.5" customHeight="1" s="426">
      <c r="A37" s="174" t="n"/>
      <c r="B37" s="329" t="inlineStr">
        <is>
          <t>Executed Date</t>
        </is>
      </c>
      <c r="C37" s="449" t="n"/>
      <c r="D37" s="450" t="n"/>
      <c r="E37" s="96" t="n"/>
      <c r="F37" s="97" t="n">
        <v>45700</v>
      </c>
      <c r="G37" s="97" t="n">
        <v>45700</v>
      </c>
      <c r="H37" s="97" t="n">
        <v>45700</v>
      </c>
      <c r="I37" s="97" t="n">
        <v>45700</v>
      </c>
      <c r="J37" s="97" t="n">
        <v>45700</v>
      </c>
      <c r="K37" s="97" t="n"/>
      <c r="L37" s="97" t="n"/>
      <c r="M37" s="97" t="n"/>
      <c r="N37" s="97" t="n"/>
      <c r="O37" s="97" t="n"/>
      <c r="P37" s="97" t="n"/>
      <c r="Q37" s="97" t="n"/>
      <c r="R37" s="97" t="n"/>
      <c r="S37" s="97" t="n"/>
      <c r="T37" s="176" t="n"/>
    </row>
    <row r="38" ht="10.5" customHeight="1" s="426" thickBot="1">
      <c r="A38" s="177" t="n"/>
      <c r="B38" s="330" t="inlineStr">
        <is>
          <t>Defect ID</t>
        </is>
      </c>
      <c r="C38" s="474" t="n"/>
      <c r="D38" s="475" t="n"/>
      <c r="E38" s="178" t="n"/>
      <c r="F38" s="179" t="n"/>
      <c r="G38" s="179" t="n"/>
      <c r="H38" s="179" t="n"/>
      <c r="I38" s="179" t="n"/>
      <c r="J38" s="179" t="n"/>
      <c r="K38" s="179" t="n"/>
      <c r="L38" s="179" t="n"/>
      <c r="M38" s="179" t="n"/>
      <c r="N38" s="179" t="n"/>
      <c r="O38" s="179" t="n"/>
      <c r="P38" s="179" t="n"/>
      <c r="Q38" s="179" t="n"/>
      <c r="R38" s="179" t="n"/>
      <c r="S38" s="179" t="n"/>
      <c r="T38" s="180" t="n"/>
    </row>
    <row r="39" ht="10.5" customHeight="1" s="426" thickTop="1">
      <c r="A39" s="73" t="n"/>
      <c r="B39" s="69" t="n"/>
      <c r="C39" s="413" t="n"/>
      <c r="D39" s="69" t="n"/>
    </row>
  </sheetData>
  <mergeCells count="28">
    <mergeCell ref="F2:K2"/>
    <mergeCell ref="A6:B6"/>
    <mergeCell ref="B38:D38"/>
    <mergeCell ref="C4:D4"/>
    <mergeCell ref="L4:T4"/>
    <mergeCell ref="C2:E2"/>
    <mergeCell ref="B37:D37"/>
    <mergeCell ref="A7:B7"/>
    <mergeCell ref="C7:E7"/>
    <mergeCell ref="L6:N6"/>
    <mergeCell ref="D17:E17"/>
    <mergeCell ref="A3:B3"/>
    <mergeCell ref="B36:D36"/>
    <mergeCell ref="A2:B2"/>
    <mergeCell ref="B35:D35"/>
    <mergeCell ref="A5:B5"/>
    <mergeCell ref="C3:E3"/>
    <mergeCell ref="O7:T7"/>
    <mergeCell ref="F4:K4"/>
    <mergeCell ref="C6:E6"/>
    <mergeCell ref="A4:B4"/>
    <mergeCell ref="L2:T2"/>
    <mergeCell ref="O6:T6"/>
    <mergeCell ref="F6:K6"/>
    <mergeCell ref="F7:K7"/>
    <mergeCell ref="C5:T5"/>
    <mergeCell ref="L3:T3"/>
    <mergeCell ref="F3:K3"/>
  </mergeCells>
  <dataValidations count="3">
    <dataValidation sqref="F36:T36" showDropDown="0" showInputMessage="1" showErrorMessage="1" allowBlank="1" type="list">
      <formula1>"P,F, "</formula1>
    </dataValidation>
    <dataValidation sqref="F35:T35" showDropDown="0" showInputMessage="1" showErrorMessage="1" allowBlank="1" type="list">
      <formula1>"N,A,B, "</formula1>
    </dataValidation>
    <dataValidation sqref="F10:T34"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V31"/>
  <sheetViews>
    <sheetView topLeftCell="A22" zoomScale="145" zoomScaleNormal="145" workbookViewId="0">
      <selection activeCell="W29" sqref="W29"/>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Room - 4</t>
        </is>
      </c>
      <c r="D2" s="439" t="n"/>
      <c r="E2" s="441" t="n"/>
      <c r="F2" s="410" t="inlineStr">
        <is>
          <t>Function Name</t>
        </is>
      </c>
      <c r="G2" s="496" t="n"/>
      <c r="H2" s="496" t="n"/>
      <c r="I2" s="496" t="n"/>
      <c r="J2" s="496" t="n"/>
      <c r="K2" s="496" t="n"/>
      <c r="L2" s="443" t="inlineStr">
        <is>
          <t>Entry Excel to Room</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100</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COUNTIF(F28:HQ28,"P")</f>
        <v/>
      </c>
      <c r="B7" s="465" t="n"/>
      <c r="C7" s="466">
        <f>COUNTIF(F29:HQ29,"F")</f>
        <v/>
      </c>
      <c r="D7" s="467" t="n"/>
      <c r="E7" s="465" t="n"/>
      <c r="F7" s="468">
        <f>SUM(O7,- A7,- C7)</f>
        <v/>
      </c>
      <c r="G7" s="467" t="n"/>
      <c r="H7" s="467" t="n"/>
      <c r="I7" s="467" t="n"/>
      <c r="J7" s="467" t="n"/>
      <c r="K7" s="469" t="n"/>
      <c r="L7" s="342">
        <f>COUNTIF(E27:HQ27,"N")</f>
        <v/>
      </c>
      <c r="M7" s="342">
        <f>COUNTIF(E27:HQ27,"A")</f>
        <v/>
      </c>
      <c r="N7" s="342">
        <f>COUNTIF(E27:HQ27,"B")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n"/>
      <c r="K12" s="148" t="n"/>
      <c r="L12" s="148" t="n"/>
      <c r="M12" s="148" t="n"/>
      <c r="N12" s="148" t="n"/>
      <c r="O12" s="148" t="n"/>
      <c r="P12" s="148" t="n"/>
      <c r="Q12" s="148" t="n"/>
      <c r="R12" s="148" t="n"/>
      <c r="S12" s="148" t="n"/>
      <c r="T12" s="170" t="n"/>
    </row>
    <row r="13" ht="13.5" customHeight="1" s="426">
      <c r="A13" s="171" t="n"/>
      <c r="B13" s="75" t="inlineStr">
        <is>
          <t>filePath</t>
        </is>
      </c>
      <c r="C13" s="76" t="n"/>
      <c r="D13" s="77" t="n"/>
      <c r="E13" s="81" t="n"/>
      <c r="F13" s="79" t="n"/>
      <c r="G13" s="79" t="n"/>
      <c r="H13" s="79" t="n"/>
      <c r="I13" s="79" t="n"/>
      <c r="J13" s="79" t="n"/>
      <c r="K13" s="79" t="n"/>
      <c r="L13" s="79" t="n"/>
      <c r="M13" s="79" t="n"/>
      <c r="N13" s="79" t="n"/>
      <c r="O13" s="79" t="n"/>
      <c r="P13" s="79" t="n"/>
      <c r="Q13" s="79" t="n"/>
      <c r="R13" s="79" t="n"/>
      <c r="S13" s="79" t="n"/>
      <c r="T13" s="195" t="n"/>
    </row>
    <row r="14" ht="13.5" customHeight="1" s="426">
      <c r="A14" s="171" t="n"/>
      <c r="B14" s="75" t="n"/>
      <c r="C14" s="76" t="n"/>
      <c r="D14" s="77" t="inlineStr">
        <is>
          <t>"C:\Temp\rooms.xlsx"</t>
        </is>
      </c>
      <c r="E14" s="81" t="n"/>
      <c r="F14" s="148" t="inlineStr">
        <is>
          <t>O</t>
        </is>
      </c>
      <c r="G14" s="79" t="n"/>
      <c r="H14" s="148" t="n"/>
      <c r="I14" s="148" t="inlineStr">
        <is>
          <t>O</t>
        </is>
      </c>
      <c r="J14" s="148" t="n"/>
      <c r="K14" s="148" t="n"/>
      <c r="L14" s="79" t="n"/>
      <c r="M14" s="79" t="n"/>
      <c r="N14" s="79" t="n"/>
      <c r="O14" s="79" t="n"/>
      <c r="P14" s="79" t="n"/>
      <c r="Q14" s="79" t="n"/>
      <c r="R14" s="79" t="n"/>
      <c r="S14" s="79" t="n"/>
      <c r="T14" s="195" t="n"/>
    </row>
    <row r="15" ht="13.5" customHeight="1" s="426">
      <c r="A15" s="171" t="n"/>
      <c r="B15" s="75" t="n"/>
      <c r="C15" s="76" t="n"/>
      <c r="D15" s="77" t="inlineStr">
        <is>
          <t>"C:\Temp\rooms.txt"</t>
        </is>
      </c>
      <c r="E15" s="81" t="n"/>
      <c r="F15" s="148" t="n"/>
      <c r="G15" s="79" t="n"/>
      <c r="H15" s="148" t="inlineStr">
        <is>
          <t>O</t>
        </is>
      </c>
      <c r="I15" s="148" t="n"/>
      <c r="J15" s="148" t="n"/>
      <c r="K15" s="148" t="n"/>
      <c r="L15" s="79" t="n"/>
      <c r="M15" s="79" t="n"/>
      <c r="N15" s="79" t="n"/>
      <c r="O15" s="79" t="n"/>
      <c r="P15" s="79" t="n"/>
      <c r="Q15" s="79" t="n"/>
      <c r="R15" s="79" t="n"/>
      <c r="S15" s="79" t="n"/>
      <c r="T15" s="195" t="n"/>
    </row>
    <row r="16" ht="13.5" customHeight="1" s="426" thickBot="1">
      <c r="A16" s="171" t="n"/>
      <c r="B16" s="75" t="n"/>
      <c r="C16" s="76" t="n"/>
      <c r="D16" s="77" t="inlineStr">
        <is>
          <t>null</t>
        </is>
      </c>
      <c r="E16" s="81" t="n"/>
      <c r="F16" s="79" t="n"/>
      <c r="G16" s="148" t="inlineStr">
        <is>
          <t>O</t>
        </is>
      </c>
      <c r="H16" s="79" t="n"/>
      <c r="I16" s="79" t="n"/>
      <c r="J16" s="79" t="n"/>
      <c r="K16" s="79" t="n"/>
      <c r="L16" s="79" t="n"/>
      <c r="M16" s="79" t="n"/>
      <c r="N16" s="79" t="n"/>
      <c r="O16" s="79" t="n"/>
      <c r="P16" s="79" t="n"/>
      <c r="Q16" s="79" t="n"/>
      <c r="R16" s="79" t="n"/>
      <c r="S16" s="79" t="n"/>
      <c r="T16" s="195" t="n"/>
    </row>
    <row r="17" ht="13.5" customHeight="1" s="426">
      <c r="A17" s="182" t="inlineStr">
        <is>
          <t>Confirm</t>
        </is>
      </c>
      <c r="B17" s="208" t="inlineStr">
        <is>
          <t>Return</t>
        </is>
      </c>
      <c r="C17" s="239" t="n"/>
      <c r="D17" s="210" t="n"/>
      <c r="E17" s="86" t="n"/>
      <c r="F17" s="87" t="n"/>
      <c r="G17" s="87" t="n"/>
      <c r="H17" s="87" t="n"/>
      <c r="I17" s="87" t="n"/>
      <c r="J17" s="87" t="n"/>
      <c r="K17" s="87" t="n"/>
      <c r="L17" s="87" t="n"/>
      <c r="M17" s="87" t="n"/>
      <c r="N17" s="87" t="n"/>
      <c r="O17" s="87" t="n"/>
      <c r="P17" s="87" t="n"/>
      <c r="Q17" s="87" t="n"/>
      <c r="R17" s="87" t="n"/>
      <c r="S17" s="87" t="n"/>
      <c r="T17" s="196" t="n"/>
    </row>
    <row r="18" ht="13.5" customHeight="1" s="426">
      <c r="A18" s="181" t="n"/>
      <c r="B18" s="208" t="n"/>
      <c r="C18" s="209" t="n"/>
      <c r="D18" s="210" t="inlineStr">
        <is>
          <t>T</t>
        </is>
      </c>
      <c r="E18" s="91" t="n"/>
      <c r="F18" s="148" t="inlineStr">
        <is>
          <t>O</t>
        </is>
      </c>
      <c r="G18" s="79" t="n"/>
      <c r="H18" s="79" t="n"/>
      <c r="I18" s="79" t="n"/>
      <c r="J18" s="79" t="n"/>
      <c r="K18" s="79" t="n"/>
      <c r="L18" s="79" t="n"/>
      <c r="M18" s="79" t="n"/>
      <c r="N18" s="79" t="n"/>
      <c r="O18" s="79" t="n"/>
      <c r="P18" s="79" t="n"/>
      <c r="Q18" s="79" t="n"/>
      <c r="R18" s="79" t="n"/>
      <c r="S18" s="79" t="n"/>
      <c r="T18" s="195" t="n"/>
    </row>
    <row r="19" ht="13.5" customHeight="1" s="426">
      <c r="A19" s="181" t="n"/>
      <c r="B19" s="126" t="n"/>
      <c r="C19" s="89" t="n"/>
      <c r="D19" s="90" t="inlineStr">
        <is>
          <t>F</t>
        </is>
      </c>
      <c r="E19" s="91" t="n"/>
      <c r="F19" s="79" t="n"/>
      <c r="G19" s="148" t="inlineStr">
        <is>
          <t>O</t>
        </is>
      </c>
      <c r="H19" s="148" t="inlineStr">
        <is>
          <t>O</t>
        </is>
      </c>
      <c r="I19" s="148" t="inlineStr">
        <is>
          <t>O</t>
        </is>
      </c>
      <c r="J19" s="148" t="n"/>
      <c r="K19" s="79" t="n"/>
      <c r="L19" s="79" t="n"/>
      <c r="M19" s="79" t="n"/>
      <c r="N19" s="79" t="n"/>
      <c r="O19" s="79" t="n"/>
      <c r="P19" s="79" t="n"/>
      <c r="Q19" s="79" t="n"/>
      <c r="R19" s="79" t="n"/>
      <c r="S19" s="79" t="n"/>
      <c r="T19" s="195" t="n"/>
    </row>
    <row r="20" ht="13.5" customHeight="1" s="426">
      <c r="A20" s="181" t="n"/>
      <c r="B20" s="116" t="inlineStr">
        <is>
          <t>Exception</t>
        </is>
      </c>
      <c r="C20" s="120" t="n"/>
      <c r="D20" s="118" t="n"/>
      <c r="E20" s="91" t="n"/>
      <c r="F20" s="79" t="n"/>
      <c r="G20" s="79" t="n"/>
      <c r="H20" s="79" t="n"/>
      <c r="I20" s="79" t="n"/>
      <c r="J20" s="79" t="n"/>
      <c r="K20" s="79" t="n"/>
      <c r="L20" s="79" t="n"/>
      <c r="M20" s="79" t="n"/>
      <c r="N20" s="79" t="n"/>
      <c r="O20" s="79" t="n"/>
      <c r="P20" s="79" t="n"/>
      <c r="Q20" s="79" t="n"/>
      <c r="R20" s="79" t="n"/>
      <c r="S20" s="79" t="n"/>
      <c r="T20" s="195" t="n"/>
    </row>
    <row r="21" ht="13.5" customHeight="1" s="426">
      <c r="A21" s="181" t="n"/>
      <c r="B21" s="116" t="n"/>
      <c r="C21" s="120" t="n"/>
      <c r="D21" s="118" t="inlineStr">
        <is>
          <t>IOException</t>
        </is>
      </c>
      <c r="E21" s="91" t="n"/>
      <c r="F21" s="79" t="n"/>
      <c r="G21" s="79" t="n"/>
      <c r="H21" s="79" t="n"/>
      <c r="I21" s="148" t="inlineStr">
        <is>
          <t>O</t>
        </is>
      </c>
      <c r="J21" s="79" t="n"/>
      <c r="K21" s="79" t="n"/>
      <c r="L21" s="79" t="n"/>
      <c r="M21" s="79" t="n"/>
      <c r="N21" s="79" t="n"/>
      <c r="O21" s="79" t="n"/>
      <c r="P21" s="79" t="n"/>
      <c r="Q21" s="79" t="n"/>
      <c r="R21" s="79" t="n"/>
      <c r="S21" s="79" t="n"/>
      <c r="T21" s="195" t="n"/>
    </row>
    <row r="22" ht="13.5" customHeight="1" s="426">
      <c r="A22" s="181" t="n"/>
      <c r="B22" s="88" t="inlineStr">
        <is>
          <t>Log message</t>
        </is>
      </c>
      <c r="C22" s="89" t="n"/>
      <c r="D22" s="90" t="n"/>
      <c r="E22" s="91" t="n"/>
      <c r="F22" s="79" t="n"/>
      <c r="G22" s="79" t="n"/>
      <c r="H22" s="79" t="n"/>
      <c r="I22" s="79" t="n"/>
      <c r="J22" s="79" t="n"/>
      <c r="K22" s="79" t="n"/>
      <c r="L22" s="79" t="n"/>
      <c r="M22" s="79" t="n"/>
      <c r="N22" s="79" t="n"/>
      <c r="O22" s="79" t="n"/>
      <c r="P22" s="79" t="n"/>
      <c r="Q22" s="79" t="n"/>
      <c r="R22" s="79" t="n"/>
      <c r="S22" s="79" t="n"/>
      <c r="T22" s="195" t="n"/>
    </row>
    <row r="23" ht="13.5" customHeight="1" s="426">
      <c r="A23" s="181" t="n"/>
      <c r="B23" s="88" t="n"/>
      <c r="C23" s="92" t="n"/>
      <c r="D23" s="90" t="inlineStr">
        <is>
          <t>"Expected true when a valid file path is provided."</t>
        </is>
      </c>
      <c r="E23" s="93" t="n"/>
      <c r="F23" s="148" t="inlineStr">
        <is>
          <t>O</t>
        </is>
      </c>
      <c r="G23" s="79" t="n"/>
      <c r="H23" s="79" t="n"/>
      <c r="I23" s="79" t="n"/>
      <c r="J23" s="79" t="n"/>
      <c r="K23" s="79" t="n"/>
      <c r="L23" s="79" t="n"/>
      <c r="M23" s="79" t="n"/>
      <c r="N23" s="79" t="n"/>
      <c r="O23" s="79" t="n"/>
      <c r="P23" s="79" t="n"/>
      <c r="Q23" s="79" t="n"/>
      <c r="R23" s="79" t="n"/>
      <c r="S23" s="79" t="n"/>
      <c r="T23" s="195" t="n"/>
    </row>
    <row r="24" ht="13.5" customHeight="1" s="426">
      <c r="A24" s="181" t="n"/>
      <c r="B24" s="88" t="n"/>
      <c r="C24" s="92" t="n"/>
      <c r="D24" s="90" t="inlineStr">
        <is>
          <t>"Expected false when a null file path is provided."</t>
        </is>
      </c>
      <c r="E24" s="93" t="n"/>
      <c r="F24" s="79" t="n"/>
      <c r="G24" s="148" t="inlineStr">
        <is>
          <t>O</t>
        </is>
      </c>
      <c r="H24" s="79" t="n"/>
      <c r="I24" s="79" t="n"/>
      <c r="J24" s="79" t="n"/>
      <c r="K24" s="79" t="n"/>
      <c r="L24" s="79" t="n"/>
      <c r="M24" s="79" t="n"/>
      <c r="N24" s="79" t="n"/>
      <c r="O24" s="79" t="n"/>
      <c r="P24" s="79" t="n"/>
      <c r="Q24" s="79" t="n"/>
      <c r="R24" s="79" t="n"/>
      <c r="S24" s="79" t="n"/>
      <c r="T24" s="195" t="n"/>
    </row>
    <row r="25" ht="13.5" customHeight="1" s="426">
      <c r="A25" s="181" t="n"/>
      <c r="B25" s="88" t="n"/>
      <c r="C25" s="92" t="n"/>
      <c r="D25" s="90" t="inlineStr">
        <is>
          <t>"Expected false when an unsupported file format is provided."</t>
        </is>
      </c>
      <c r="E25" s="93" t="n"/>
      <c r="F25" s="79" t="n"/>
      <c r="G25" s="79" t="n"/>
      <c r="H25" s="148" t="inlineStr">
        <is>
          <t>O</t>
        </is>
      </c>
      <c r="I25" s="79" t="n"/>
      <c r="J25" s="79" t="n"/>
      <c r="K25" s="79" t="n"/>
      <c r="L25" s="79" t="n"/>
      <c r="M25" s="79" t="n"/>
      <c r="N25" s="79" t="n"/>
      <c r="O25" s="79" t="n"/>
      <c r="P25" s="79" t="n"/>
      <c r="Q25" s="79" t="n"/>
      <c r="R25" s="79" t="n"/>
      <c r="S25" s="79" t="n"/>
      <c r="T25" s="195" t="n"/>
    </row>
    <row r="26" ht="13.5" customHeight="1" s="426" thickBot="1">
      <c r="A26" s="181" t="n"/>
      <c r="B26" s="88" t="n"/>
      <c r="C26" s="92" t="n"/>
      <c r="D26" s="90" t="inlineStr">
        <is>
          <t>"Failed to read file"</t>
        </is>
      </c>
      <c r="E26" s="93" t="n"/>
      <c r="F26" s="79" t="n"/>
      <c r="G26" s="79" t="n"/>
      <c r="H26" s="79" t="n"/>
      <c r="I26" s="148" t="inlineStr">
        <is>
          <t>O</t>
        </is>
      </c>
      <c r="J26" s="79" t="n"/>
      <c r="K26" s="79" t="n"/>
      <c r="L26" s="79" t="n"/>
      <c r="M26" s="79" t="n"/>
      <c r="N26" s="79" t="n"/>
      <c r="O26" s="79" t="n"/>
      <c r="P26" s="79" t="n"/>
      <c r="Q26" s="79" t="n"/>
      <c r="R26" s="79" t="n"/>
      <c r="S26" s="79" t="n"/>
      <c r="T26" s="195" t="n"/>
    </row>
    <row r="27" ht="13.5" customHeight="1" s="426" thickTop="1">
      <c r="A27" s="182" t="inlineStr">
        <is>
          <t>Result</t>
        </is>
      </c>
      <c r="B27" s="331" t="inlineStr">
        <is>
          <t>Type(N : Normal, A : Abnormal, B : Boundary)</t>
        </is>
      </c>
      <c r="C27" s="472" t="n"/>
      <c r="D27" s="473" t="n"/>
      <c r="E27" s="331" t="n"/>
      <c r="F27" s="188" t="inlineStr">
        <is>
          <t>N</t>
        </is>
      </c>
      <c r="G27" s="188" t="inlineStr">
        <is>
          <t>A</t>
        </is>
      </c>
      <c r="H27" s="188" t="inlineStr">
        <is>
          <t>A</t>
        </is>
      </c>
      <c r="I27" s="188" t="inlineStr">
        <is>
          <t>A</t>
        </is>
      </c>
      <c r="J27" s="188" t="n"/>
      <c r="K27" s="188" t="n"/>
      <c r="L27" s="188" t="n"/>
      <c r="M27" s="188" t="n"/>
      <c r="N27" s="188" t="n"/>
      <c r="O27" s="188" t="n"/>
      <c r="P27" s="188" t="n"/>
      <c r="Q27" s="188" t="n"/>
      <c r="R27" s="188" t="n"/>
      <c r="S27" s="188" t="n"/>
      <c r="T27" s="198" t="n"/>
    </row>
    <row r="28" ht="13.5" customHeight="1" s="426">
      <c r="A28" s="174" t="n"/>
      <c r="B28" s="320" t="inlineStr">
        <is>
          <t>Passed/Failed</t>
        </is>
      </c>
      <c r="C28" s="449" t="n"/>
      <c r="D28" s="450" t="n"/>
      <c r="E28" s="95" t="n"/>
      <c r="F28" s="94" t="inlineStr">
        <is>
          <t>P</t>
        </is>
      </c>
      <c r="G28" s="94" t="inlineStr">
        <is>
          <t>P</t>
        </is>
      </c>
      <c r="H28" s="94" t="inlineStr">
        <is>
          <t>P</t>
        </is>
      </c>
      <c r="I28" s="94" t="inlineStr">
        <is>
          <t>P</t>
        </is>
      </c>
      <c r="J28" s="94" t="n"/>
      <c r="K28" s="94" t="n"/>
      <c r="L28" s="94" t="n"/>
      <c r="M28" s="94" t="n"/>
      <c r="N28" s="94" t="n"/>
      <c r="O28" s="94" t="n"/>
      <c r="P28" s="94" t="n"/>
      <c r="Q28" s="94" t="n"/>
      <c r="R28" s="94" t="n"/>
      <c r="S28" s="94" t="n"/>
      <c r="T28" s="199" t="n"/>
    </row>
    <row r="29" ht="71.5" customHeight="1" s="426">
      <c r="A29" s="174" t="n"/>
      <c r="B29" s="329" t="inlineStr">
        <is>
          <t>Executed Date</t>
        </is>
      </c>
      <c r="C29" s="449" t="n"/>
      <c r="D29" s="450" t="n"/>
      <c r="E29" s="96" t="n"/>
      <c r="F29" s="97" t="n">
        <v>45700</v>
      </c>
      <c r="G29" s="97" t="n">
        <v>45700</v>
      </c>
      <c r="H29" s="97" t="n">
        <v>45700</v>
      </c>
      <c r="I29" s="97" t="n">
        <v>45700</v>
      </c>
      <c r="J29" s="97" t="n"/>
      <c r="K29" s="97" t="n"/>
      <c r="L29" s="97" t="n"/>
      <c r="M29" s="97" t="n"/>
      <c r="N29" s="97" t="n"/>
      <c r="O29" s="97" t="n"/>
      <c r="P29" s="97" t="n"/>
      <c r="Q29" s="97" t="n"/>
      <c r="R29" s="97" t="n"/>
      <c r="S29" s="97" t="n"/>
      <c r="T29" s="176" t="n"/>
    </row>
    <row r="30" ht="10.5" customHeight="1" s="426" thickBot="1">
      <c r="A30" s="177" t="n"/>
      <c r="B30" s="330" t="inlineStr">
        <is>
          <t>Defect ID</t>
        </is>
      </c>
      <c r="C30" s="474" t="n"/>
      <c r="D30" s="475" t="n"/>
      <c r="E30" s="178" t="n"/>
      <c r="F30" s="179" t="n"/>
      <c r="G30" s="179" t="n"/>
      <c r="H30" s="179" t="n"/>
      <c r="I30" s="179" t="n"/>
      <c r="J30" s="179" t="n"/>
      <c r="K30" s="179" t="n"/>
      <c r="L30" s="179" t="n"/>
      <c r="M30" s="179" t="n"/>
      <c r="N30" s="179" t="n"/>
      <c r="O30" s="179" t="n"/>
      <c r="P30" s="179" t="n"/>
      <c r="Q30" s="179" t="n"/>
      <c r="R30" s="179" t="n"/>
      <c r="S30" s="179" t="n"/>
      <c r="T30" s="180" t="n"/>
    </row>
    <row r="31" ht="10.5" customHeight="1" s="426" thickTop="1">
      <c r="A31" s="73" t="n"/>
      <c r="B31" s="69" t="n"/>
      <c r="C31" s="413" t="n"/>
      <c r="D31" s="69" t="n"/>
    </row>
  </sheetData>
  <mergeCells count="27">
    <mergeCell ref="B29:D29"/>
    <mergeCell ref="F2:K2"/>
    <mergeCell ref="A6:B6"/>
    <mergeCell ref="C4:D4"/>
    <mergeCell ref="C2:E2"/>
    <mergeCell ref="L4:T4"/>
    <mergeCell ref="B28:D28"/>
    <mergeCell ref="A7:B7"/>
    <mergeCell ref="B30:D30"/>
    <mergeCell ref="C7:E7"/>
    <mergeCell ref="L6:N6"/>
    <mergeCell ref="A3:B3"/>
    <mergeCell ref="A2:B2"/>
    <mergeCell ref="A5:B5"/>
    <mergeCell ref="C3:E3"/>
    <mergeCell ref="F4:K4"/>
    <mergeCell ref="O7:T7"/>
    <mergeCell ref="C6:E6"/>
    <mergeCell ref="A4:B4"/>
    <mergeCell ref="L2:T2"/>
    <mergeCell ref="O6:T6"/>
    <mergeCell ref="F6:K6"/>
    <mergeCell ref="B27:D27"/>
    <mergeCell ref="F7:K7"/>
    <mergeCell ref="C5:T5"/>
    <mergeCell ref="L3:T3"/>
    <mergeCell ref="F3:K3"/>
  </mergeCells>
  <dataValidations count="3">
    <dataValidation sqref="F27:T27" showDropDown="0" showInputMessage="1" showErrorMessage="1" allowBlank="1" type="list">
      <formula1>"N,A,B, "</formula1>
    </dataValidation>
    <dataValidation sqref="F28:T28" showDropDown="0" showInputMessage="1" showErrorMessage="1" allowBlank="1" type="list">
      <formula1>"P,F, "</formula1>
    </dataValidation>
    <dataValidation sqref="F10:T26"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V26"/>
  <sheetViews>
    <sheetView zoomScale="130" zoomScaleNormal="130" workbookViewId="0">
      <selection activeCell="Y9" sqref="Y9"/>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Role - 1</t>
        </is>
      </c>
      <c r="D2" s="439" t="n"/>
      <c r="E2" s="441" t="n"/>
      <c r="F2" s="410" t="inlineStr">
        <is>
          <t>Function Name</t>
        </is>
      </c>
      <c r="G2" s="496" t="n"/>
      <c r="H2" s="496" t="n"/>
      <c r="I2" s="496" t="n"/>
      <c r="J2" s="496" t="n"/>
      <c r="K2" s="496" t="n"/>
      <c r="L2" s="443" t="inlineStr">
        <is>
          <t>Get All Role</t>
        </is>
      </c>
      <c r="M2" s="439" t="n"/>
      <c r="N2" s="439" t="n"/>
      <c r="O2" s="439" t="n"/>
      <c r="P2" s="439" t="n"/>
      <c r="Q2" s="439" t="n"/>
      <c r="R2" s="439" t="n"/>
      <c r="S2" s="439" t="n"/>
      <c r="T2" s="444" t="n"/>
      <c r="V2" s="71" t="n"/>
    </row>
    <row r="3" ht="13.5" customHeight="1" s="426">
      <c r="A3" s="445" t="inlineStr">
        <is>
          <t>Created By</t>
        </is>
      </c>
      <c r="B3" s="428" t="n"/>
      <c r="C3" s="446" t="inlineStr">
        <is>
          <t>Nguyễn Chí Hậu</t>
        </is>
      </c>
      <c r="D3" s="433" t="n"/>
      <c r="E3" s="447" t="n"/>
      <c r="F3" s="448" t="inlineStr">
        <is>
          <t>Executed By</t>
        </is>
      </c>
      <c r="G3" s="449" t="n"/>
      <c r="H3" s="449" t="n"/>
      <c r="I3" s="449" t="n"/>
      <c r="J3" s="449" t="n"/>
      <c r="K3" s="450" t="n"/>
      <c r="L3" s="453" t="inlineStr">
        <is>
          <t>Nguyễn Chí Hậu</t>
        </is>
      </c>
      <c r="M3" s="454" t="n"/>
      <c r="N3" s="454" t="n"/>
      <c r="O3" s="454" t="n"/>
      <c r="P3" s="454" t="n"/>
      <c r="Q3" s="454" t="n"/>
      <c r="R3" s="454" t="n"/>
      <c r="S3" s="454" t="n"/>
      <c r="T3" s="455" t="n"/>
    </row>
    <row r="4" ht="13.5" customHeight="1" s="426">
      <c r="A4" s="445" t="inlineStr">
        <is>
          <t>Lines  of code</t>
        </is>
      </c>
      <c r="B4" s="428" t="n"/>
      <c r="C4" s="327" t="n">
        <v>100</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COUNTIF(F23:HQ23,"P")</f>
        <v/>
      </c>
      <c r="B7" s="465" t="n"/>
      <c r="C7" s="466">
        <f>COUNTIF(F24:HQ24,"F")</f>
        <v/>
      </c>
      <c r="D7" s="467" t="n"/>
      <c r="E7" s="465" t="n"/>
      <c r="F7" s="468">
        <f>SUM(O7,- A7,- C7)</f>
        <v/>
      </c>
      <c r="G7" s="467" t="n"/>
      <c r="H7" s="467" t="n"/>
      <c r="I7" s="467" t="n"/>
      <c r="J7" s="467" t="n"/>
      <c r="K7" s="469" t="n"/>
      <c r="L7" s="342">
        <f>COUNTIF(E22:HQ22,"N")</f>
        <v/>
      </c>
      <c r="M7" s="342">
        <f>COUNTIF(E22:HQ22,"A")</f>
        <v/>
      </c>
      <c r="N7" s="342">
        <f>COUNTIF(E22:HQ22,"B")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n"/>
      <c r="I11" s="148" t="n"/>
      <c r="J11" s="79" t="n"/>
      <c r="K11" s="79" t="n"/>
      <c r="L11" s="79" t="n"/>
      <c r="M11" s="79" t="n"/>
      <c r="N11" s="79" t="n"/>
      <c r="O11" s="79" t="n"/>
      <c r="P11" s="79" t="n"/>
      <c r="Q11" s="79" t="n"/>
      <c r="R11" s="79" t="n"/>
      <c r="S11" s="79" t="n"/>
      <c r="T11" s="195"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79" t="n"/>
      <c r="K12" s="79" t="n"/>
      <c r="L12" s="79" t="n"/>
      <c r="M12" s="79" t="n"/>
      <c r="N12" s="79" t="n"/>
      <c r="O12" s="79" t="n"/>
      <c r="P12" s="79" t="n"/>
      <c r="Q12" s="79" t="n"/>
      <c r="R12" s="79" t="n"/>
      <c r="S12" s="79" t="n"/>
      <c r="T12" s="195" t="n"/>
    </row>
    <row r="13" ht="13.5" customHeight="1" s="426">
      <c r="A13" s="171" t="n"/>
      <c r="B13" s="75" t="n"/>
      <c r="C13" s="76" t="n"/>
      <c r="D13" s="77" t="inlineStr">
        <is>
          <t>Have Entry in Database</t>
        </is>
      </c>
      <c r="E13" s="80" t="n"/>
      <c r="F13" s="148" t="inlineStr">
        <is>
          <t>O</t>
        </is>
      </c>
      <c r="G13" s="148" t="n"/>
      <c r="H13" s="148" t="n"/>
      <c r="I13" s="148" t="n"/>
      <c r="J13" s="148" t="n"/>
      <c r="K13" s="148" t="n"/>
      <c r="L13" s="148" t="n"/>
      <c r="M13" s="148" t="n"/>
      <c r="N13" s="148" t="n"/>
      <c r="O13" s="148" t="n"/>
      <c r="P13" s="148" t="n"/>
      <c r="Q13" s="148" t="n"/>
      <c r="R13" s="148" t="n"/>
      <c r="S13" s="148" t="n"/>
      <c r="T13" s="170" t="n"/>
      <c r="V13" s="71" t="n"/>
    </row>
    <row r="14" ht="13.5" customHeight="1" s="426" thickBot="1">
      <c r="A14" s="171" t="n"/>
      <c r="B14" s="75" t="n"/>
      <c r="C14" s="76" t="n"/>
      <c r="D14" s="77" t="inlineStr">
        <is>
          <t>No Entry in Database</t>
        </is>
      </c>
      <c r="E14" s="80" t="n"/>
      <c r="F14" s="148" t="n"/>
      <c r="G14" s="148" t="inlineStr">
        <is>
          <t>O</t>
        </is>
      </c>
      <c r="H14" s="148" t="n"/>
      <c r="I14" s="148" t="n"/>
      <c r="J14" s="148" t="n"/>
      <c r="K14" s="148" t="n"/>
      <c r="L14" s="148" t="n"/>
      <c r="M14" s="148" t="n"/>
      <c r="N14" s="148" t="n"/>
      <c r="O14" s="148" t="n"/>
      <c r="P14" s="148" t="n"/>
      <c r="Q14" s="148" t="n"/>
      <c r="R14" s="148" t="n"/>
      <c r="S14" s="148" t="n"/>
      <c r="T14" s="170" t="n"/>
    </row>
    <row r="15" ht="13.5" customHeight="1" s="426">
      <c r="A15" s="182" t="inlineStr">
        <is>
          <t>Confirm</t>
        </is>
      </c>
      <c r="B15" s="208" t="inlineStr">
        <is>
          <t>Return</t>
        </is>
      </c>
      <c r="C15" s="239" t="n"/>
      <c r="D15" s="210" t="n"/>
      <c r="E15" s="86" t="n"/>
      <c r="F15" s="87" t="n"/>
      <c r="G15" s="87" t="n"/>
      <c r="H15" s="87" t="n"/>
      <c r="I15" s="87" t="n"/>
      <c r="J15" s="87" t="n"/>
      <c r="K15" s="87" t="n"/>
      <c r="L15" s="87" t="n"/>
      <c r="M15" s="87" t="n"/>
      <c r="N15" s="87" t="n"/>
      <c r="O15" s="87" t="n"/>
      <c r="P15" s="87" t="n"/>
      <c r="Q15" s="87" t="n"/>
      <c r="R15" s="87" t="n"/>
      <c r="S15" s="87" t="n"/>
      <c r="T15" s="196" t="n"/>
    </row>
    <row r="16" ht="13.5" customHeight="1" s="426">
      <c r="A16" s="181" t="n"/>
      <c r="B16" s="208" t="n"/>
      <c r="C16" s="209" t="n"/>
      <c r="D16" s="210" t="inlineStr">
        <is>
          <t>Role List</t>
        </is>
      </c>
      <c r="E16" s="91" t="n"/>
      <c r="F16" s="148" t="inlineStr">
        <is>
          <t>O</t>
        </is>
      </c>
      <c r="G16" s="79" t="n"/>
      <c r="H16" s="79" t="n"/>
      <c r="I16" s="79" t="n"/>
      <c r="J16" s="79" t="n"/>
      <c r="K16" s="79" t="n"/>
      <c r="L16" s="79" t="n"/>
      <c r="M16" s="79" t="n"/>
      <c r="N16" s="79" t="n"/>
      <c r="O16" s="79" t="n"/>
      <c r="P16" s="79" t="n"/>
      <c r="Q16" s="79" t="n"/>
      <c r="R16" s="79" t="n"/>
      <c r="S16" s="79" t="n"/>
      <c r="T16" s="195" t="n"/>
    </row>
    <row r="17" ht="13.5" customHeight="1" s="426">
      <c r="A17" s="181" t="n"/>
      <c r="B17" s="126" t="n"/>
      <c r="C17" s="89" t="n"/>
      <c r="D17" s="90" t="inlineStr">
        <is>
          <t>Null</t>
        </is>
      </c>
      <c r="E17" s="91" t="n"/>
      <c r="F17" s="79" t="n"/>
      <c r="G17" s="148" t="inlineStr">
        <is>
          <t>O</t>
        </is>
      </c>
      <c r="H17" s="148" t="n"/>
      <c r="I17" s="148" t="n"/>
      <c r="J17" s="148" t="n"/>
      <c r="K17" s="79" t="n"/>
      <c r="L17" s="79" t="n"/>
      <c r="M17" s="79" t="n"/>
      <c r="N17" s="79" t="n"/>
      <c r="O17" s="79" t="n"/>
      <c r="P17" s="79" t="n"/>
      <c r="Q17" s="79" t="n"/>
      <c r="R17" s="79" t="n"/>
      <c r="S17" s="79" t="n"/>
      <c r="T17" s="195" t="n"/>
    </row>
    <row r="18" ht="13.5" customHeight="1" s="426">
      <c r="A18" s="181" t="n"/>
      <c r="B18" s="116" t="inlineStr">
        <is>
          <t>Exception</t>
        </is>
      </c>
      <c r="C18" s="120" t="n"/>
      <c r="D18" s="118" t="n"/>
      <c r="E18" s="91" t="n"/>
      <c r="F18" s="79" t="n"/>
      <c r="G18" s="79" t="n"/>
      <c r="H18" s="79" t="n"/>
      <c r="I18" s="79" t="n"/>
      <c r="J18" s="79" t="n"/>
      <c r="K18" s="79" t="n"/>
      <c r="L18" s="79" t="n"/>
      <c r="M18" s="79" t="n"/>
      <c r="N18" s="79" t="n"/>
      <c r="O18" s="79" t="n"/>
      <c r="P18" s="79" t="n"/>
      <c r="Q18" s="79" t="n"/>
      <c r="R18" s="79" t="n"/>
      <c r="S18" s="79" t="n"/>
      <c r="T18" s="195" t="n"/>
    </row>
    <row r="19" ht="13.5" customHeight="1" s="426">
      <c r="A19" s="181" t="n"/>
      <c r="B19" s="116" t="n"/>
      <c r="C19" s="120" t="n"/>
      <c r="D19" s="118" t="inlineStr">
        <is>
          <t>InvalidOperationException</t>
        </is>
      </c>
      <c r="E19" s="91" t="n"/>
      <c r="F19" s="79" t="n"/>
      <c r="G19" s="79" t="n"/>
      <c r="H19" s="148" t="inlineStr">
        <is>
          <t>O</t>
        </is>
      </c>
      <c r="I19" s="148" t="n"/>
      <c r="J19" s="79" t="n"/>
      <c r="K19" s="79" t="n"/>
      <c r="L19" s="79" t="n"/>
      <c r="M19" s="79" t="n"/>
      <c r="N19" s="79" t="n"/>
      <c r="O19" s="79" t="n"/>
      <c r="P19" s="79" t="n"/>
      <c r="Q19" s="79" t="n"/>
      <c r="R19" s="79" t="n"/>
      <c r="S19" s="79" t="n"/>
      <c r="T19" s="195" t="n"/>
    </row>
    <row r="20" ht="13.5" customHeight="1" s="426">
      <c r="A20" s="181" t="n"/>
      <c r="B20" s="88" t="inlineStr">
        <is>
          <t>Log message</t>
        </is>
      </c>
      <c r="C20" s="89" t="n"/>
      <c r="D20" s="90" t="n"/>
      <c r="E20" s="91" t="n"/>
      <c r="F20" s="79" t="n"/>
      <c r="G20" s="79" t="n"/>
      <c r="H20" s="79" t="n"/>
      <c r="I20" s="79" t="n"/>
      <c r="J20" s="79" t="n"/>
      <c r="K20" s="79" t="n"/>
      <c r="L20" s="79" t="n"/>
      <c r="M20" s="79" t="n"/>
      <c r="N20" s="79" t="n"/>
      <c r="O20" s="79" t="n"/>
      <c r="P20" s="79" t="n"/>
      <c r="Q20" s="79" t="n"/>
      <c r="R20" s="79" t="n"/>
      <c r="S20" s="79" t="n"/>
      <c r="T20" s="195" t="n"/>
    </row>
    <row r="21" ht="13.5" customHeight="1" s="426" thickBot="1">
      <c r="A21" s="181" t="n"/>
      <c r="B21" s="88" t="n"/>
      <c r="C21" s="92" t="n"/>
      <c r="D21" s="90" t="inlineStr">
        <is>
          <t>"Database query error"</t>
        </is>
      </c>
      <c r="E21" s="93" t="n"/>
      <c r="F21" s="148" t="n"/>
      <c r="G21" s="79" t="n"/>
      <c r="H21" s="148" t="inlineStr">
        <is>
          <t>O</t>
        </is>
      </c>
      <c r="I21" s="79" t="n"/>
      <c r="J21" s="79" t="n"/>
      <c r="K21" s="79" t="n"/>
      <c r="L21" s="79" t="n"/>
      <c r="M21" s="79" t="n"/>
      <c r="N21" s="79" t="n"/>
      <c r="O21" s="79" t="n"/>
      <c r="P21" s="79" t="n"/>
      <c r="Q21" s="79" t="n"/>
      <c r="R21" s="79" t="n"/>
      <c r="S21" s="79" t="n"/>
      <c r="T21" s="195" t="n"/>
    </row>
    <row r="22" ht="13.5" customHeight="1" s="426" thickTop="1">
      <c r="A22" s="182" t="inlineStr">
        <is>
          <t>Result</t>
        </is>
      </c>
      <c r="B22" s="331" t="inlineStr">
        <is>
          <t>Type(N : Normal, A : Abnormal, B : Boundary)</t>
        </is>
      </c>
      <c r="C22" s="472" t="n"/>
      <c r="D22" s="473" t="n"/>
      <c r="E22" s="331" t="n"/>
      <c r="F22" s="188" t="inlineStr">
        <is>
          <t>N</t>
        </is>
      </c>
      <c r="G22" s="188" t="inlineStr">
        <is>
          <t>A</t>
        </is>
      </c>
      <c r="H22" s="188" t="inlineStr">
        <is>
          <t>A</t>
        </is>
      </c>
      <c r="I22" s="188" t="n"/>
      <c r="J22" s="188" t="n"/>
      <c r="K22" s="188" t="n"/>
      <c r="L22" s="188" t="n"/>
      <c r="M22" s="188" t="n"/>
      <c r="N22" s="188" t="n"/>
      <c r="O22" s="188" t="n"/>
      <c r="P22" s="188" t="n"/>
      <c r="Q22" s="188" t="n"/>
      <c r="R22" s="188" t="n"/>
      <c r="S22" s="188" t="n"/>
      <c r="T22" s="198" t="n"/>
    </row>
    <row r="23" ht="13.5" customHeight="1" s="426">
      <c r="A23" s="174" t="n"/>
      <c r="B23" s="320" t="inlineStr">
        <is>
          <t>Passed/Failed</t>
        </is>
      </c>
      <c r="C23" s="449" t="n"/>
      <c r="D23" s="450" t="n"/>
      <c r="E23" s="95" t="n"/>
      <c r="F23" s="94" t="inlineStr">
        <is>
          <t>P</t>
        </is>
      </c>
      <c r="G23" s="94" t="inlineStr">
        <is>
          <t>P</t>
        </is>
      </c>
      <c r="H23" s="94" t="inlineStr">
        <is>
          <t>P</t>
        </is>
      </c>
      <c r="I23" s="94" t="n"/>
      <c r="J23" s="94" t="n"/>
      <c r="K23" s="94" t="n"/>
      <c r="L23" s="94" t="n"/>
      <c r="M23" s="94" t="n"/>
      <c r="N23" s="94" t="n"/>
      <c r="O23" s="94" t="n"/>
      <c r="P23" s="94" t="n"/>
      <c r="Q23" s="94" t="n"/>
      <c r="R23" s="94" t="n"/>
      <c r="S23" s="94" t="n"/>
      <c r="T23" s="199" t="n"/>
    </row>
    <row r="24" ht="71.5" customHeight="1" s="426">
      <c r="A24" s="174" t="n"/>
      <c r="B24" s="329" t="inlineStr">
        <is>
          <t>Executed Date</t>
        </is>
      </c>
      <c r="C24" s="449" t="n"/>
      <c r="D24" s="450" t="n"/>
      <c r="E24" s="96" t="n"/>
      <c r="F24" s="97" t="n">
        <v>45695</v>
      </c>
      <c r="G24" s="97" t="n">
        <v>45695</v>
      </c>
      <c r="H24" s="97" t="n">
        <v>45695</v>
      </c>
      <c r="I24" s="97" t="n"/>
      <c r="J24" s="97" t="n"/>
      <c r="K24" s="97" t="n"/>
      <c r="L24" s="97" t="n"/>
      <c r="M24" s="97" t="n"/>
      <c r="N24" s="97" t="n"/>
      <c r="O24" s="97" t="n"/>
      <c r="P24" s="97" t="n"/>
      <c r="Q24" s="97" t="n"/>
      <c r="R24" s="97" t="n"/>
      <c r="S24" s="97" t="n"/>
      <c r="T24" s="176" t="n"/>
    </row>
    <row r="25" ht="10.5" customHeight="1" s="426" thickBot="1">
      <c r="A25" s="177" t="n"/>
      <c r="B25" s="330" t="inlineStr">
        <is>
          <t>Defect ID</t>
        </is>
      </c>
      <c r="C25" s="474" t="n"/>
      <c r="D25" s="475" t="n"/>
      <c r="E25" s="178" t="n"/>
      <c r="F25" s="179" t="n"/>
      <c r="G25" s="179" t="n"/>
      <c r="H25" s="179" t="n"/>
      <c r="I25" s="179" t="n"/>
      <c r="J25" s="179" t="n"/>
      <c r="K25" s="179" t="n"/>
      <c r="L25" s="179" t="n"/>
      <c r="M25" s="179" t="n"/>
      <c r="N25" s="179" t="n"/>
      <c r="O25" s="179" t="n"/>
      <c r="P25" s="179" t="n"/>
      <c r="Q25" s="179" t="n"/>
      <c r="R25" s="179" t="n"/>
      <c r="S25" s="179" t="n"/>
      <c r="T25" s="180" t="n"/>
    </row>
    <row r="26" ht="10.5" customHeight="1" s="426" thickTop="1">
      <c r="A26" s="73" t="n"/>
      <c r="B26" s="69" t="n"/>
      <c r="C26" s="413" t="n"/>
      <c r="D26" s="69" t="n"/>
    </row>
  </sheetData>
  <mergeCells count="27">
    <mergeCell ref="B23:D23"/>
    <mergeCell ref="F2:K2"/>
    <mergeCell ref="A6:B6"/>
    <mergeCell ref="C4:D4"/>
    <mergeCell ref="L4:T4"/>
    <mergeCell ref="C2:E2"/>
    <mergeCell ref="A7:B7"/>
    <mergeCell ref="C7:E7"/>
    <mergeCell ref="L6:N6"/>
    <mergeCell ref="A3:B3"/>
    <mergeCell ref="B24:D24"/>
    <mergeCell ref="A2:B2"/>
    <mergeCell ref="A5:B5"/>
    <mergeCell ref="C3:E3"/>
    <mergeCell ref="O7:T7"/>
    <mergeCell ref="F4:K4"/>
    <mergeCell ref="B25:D25"/>
    <mergeCell ref="C6:E6"/>
    <mergeCell ref="A4:B4"/>
    <mergeCell ref="L2:T2"/>
    <mergeCell ref="O6:T6"/>
    <mergeCell ref="F6:K6"/>
    <mergeCell ref="B22:D22"/>
    <mergeCell ref="F7:K7"/>
    <mergeCell ref="C5:T5"/>
    <mergeCell ref="L3:T3"/>
    <mergeCell ref="F3:K3"/>
  </mergeCells>
  <dataValidations count="3">
    <dataValidation sqref="F23:T23" showDropDown="0" showInputMessage="1" showErrorMessage="1" allowBlank="1" type="list">
      <formula1>"P,F, "</formula1>
    </dataValidation>
    <dataValidation sqref="F22:T22" showDropDown="0" showInputMessage="1" showErrorMessage="1" allowBlank="1" type="list">
      <formula1>"N,A,B, "</formula1>
    </dataValidation>
    <dataValidation sqref="F10:T21"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V30"/>
  <sheetViews>
    <sheetView zoomScale="145" zoomScaleNormal="145" workbookViewId="0">
      <selection activeCell="X7" sqref="X7"/>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Role - 2</t>
        </is>
      </c>
      <c r="D2" s="439" t="n"/>
      <c r="E2" s="441" t="n"/>
      <c r="F2" s="410" t="inlineStr">
        <is>
          <t>Function Name</t>
        </is>
      </c>
      <c r="G2" s="496" t="n"/>
      <c r="H2" s="496" t="n"/>
      <c r="I2" s="496" t="n"/>
      <c r="J2" s="496" t="n"/>
      <c r="K2" s="496" t="n"/>
      <c r="L2" s="443" t="inlineStr">
        <is>
          <t>Get Role Detail</t>
        </is>
      </c>
      <c r="M2" s="439" t="n"/>
      <c r="N2" s="439" t="n"/>
      <c r="O2" s="439" t="n"/>
      <c r="P2" s="439" t="n"/>
      <c r="Q2" s="439" t="n"/>
      <c r="R2" s="439" t="n"/>
      <c r="S2" s="439" t="n"/>
      <c r="T2" s="444" t="n"/>
      <c r="V2" s="71" t="n"/>
    </row>
    <row r="3" ht="13.5" customHeight="1" s="426">
      <c r="A3" s="445" t="inlineStr">
        <is>
          <t>Created By</t>
        </is>
      </c>
      <c r="B3" s="428" t="n"/>
      <c r="C3" s="446" t="inlineStr">
        <is>
          <t>Nguyễn Chí Hậu</t>
        </is>
      </c>
      <c r="D3" s="433" t="n"/>
      <c r="E3" s="447" t="n"/>
      <c r="F3" s="448" t="inlineStr">
        <is>
          <t>Executed By</t>
        </is>
      </c>
      <c r="G3" s="449" t="n"/>
      <c r="H3" s="449" t="n"/>
      <c r="I3" s="449" t="n"/>
      <c r="J3" s="449" t="n"/>
      <c r="K3" s="450" t="n"/>
      <c r="L3" s="453" t="inlineStr">
        <is>
          <t>Nguyễn Chí Hậu</t>
        </is>
      </c>
      <c r="M3" s="454" t="n"/>
      <c r="N3" s="454" t="n"/>
      <c r="O3" s="454" t="n"/>
      <c r="P3" s="454" t="n"/>
      <c r="Q3" s="454" t="n"/>
      <c r="R3" s="454" t="n"/>
      <c r="S3" s="454" t="n"/>
      <c r="T3" s="455" t="n"/>
    </row>
    <row r="4" ht="13.5" customHeight="1" s="426">
      <c r="A4" s="445" t="inlineStr">
        <is>
          <t>Lines  of code</t>
        </is>
      </c>
      <c r="B4" s="428" t="n"/>
      <c r="C4" s="327" t="n">
        <v>100</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COUNTIF(F27:HQ27,"P")</f>
        <v/>
      </c>
      <c r="B7" s="465" t="n"/>
      <c r="C7" s="466">
        <f>COUNTIF(F28:HQ28,"F")</f>
        <v/>
      </c>
      <c r="D7" s="467" t="n"/>
      <c r="E7" s="465" t="n"/>
      <c r="F7" s="468">
        <f>SUM(O7,- A7,- C7)</f>
        <v/>
      </c>
      <c r="G7" s="467" t="n"/>
      <c r="H7" s="467" t="n"/>
      <c r="I7" s="467" t="n"/>
      <c r="J7" s="467" t="n"/>
      <c r="K7" s="469" t="n"/>
      <c r="L7" s="342">
        <f>COUNTIF(E26:HQ276,"N")</f>
        <v/>
      </c>
      <c r="M7" s="342">
        <f>COUNTIF(E26:HQ26,"A")</f>
        <v/>
      </c>
      <c r="N7" s="342">
        <f>COUNTIF(E26:HQ26,"B")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n"/>
      <c r="H11" s="148" t="inlineStr">
        <is>
          <t>O</t>
        </is>
      </c>
      <c r="I11" s="148" t="inlineStr">
        <is>
          <t>O</t>
        </is>
      </c>
      <c r="J11" s="79" t="n"/>
      <c r="K11" s="79" t="n"/>
      <c r="L11" s="79" t="n"/>
      <c r="M11" s="79" t="n"/>
      <c r="N11" s="79" t="n"/>
      <c r="O11" s="79" t="n"/>
      <c r="P11" s="79" t="n"/>
      <c r="Q11" s="79" t="n"/>
      <c r="R11" s="79" t="n"/>
      <c r="S11" s="79" t="n"/>
      <c r="T11" s="195"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79" t="n"/>
      <c r="K12" s="79" t="n"/>
      <c r="L12" s="79" t="n"/>
      <c r="M12" s="79" t="n"/>
      <c r="N12" s="79" t="n"/>
      <c r="O12" s="79" t="n"/>
      <c r="P12" s="79" t="n"/>
      <c r="Q12" s="79" t="n"/>
      <c r="R12" s="79" t="n"/>
      <c r="S12" s="79" t="n"/>
      <c r="T12" s="195" t="n"/>
    </row>
    <row r="13" ht="13.5" customHeight="1" s="426">
      <c r="A13" s="171" t="n"/>
      <c r="B13" s="75" t="n"/>
      <c r="C13" s="76" t="n"/>
      <c r="D13" s="77" t="inlineStr">
        <is>
          <t>Have Entry in Database</t>
        </is>
      </c>
      <c r="E13" s="80" t="n"/>
      <c r="F13" s="148" t="inlineStr">
        <is>
          <t>O</t>
        </is>
      </c>
      <c r="G13" s="148" t="n"/>
      <c r="H13" s="148" t="n"/>
      <c r="I13" s="148" t="inlineStr">
        <is>
          <t>O</t>
        </is>
      </c>
      <c r="J13" s="148" t="n"/>
      <c r="K13" s="148" t="n"/>
      <c r="L13" s="148" t="n"/>
      <c r="M13" s="148" t="n"/>
      <c r="N13" s="148" t="n"/>
      <c r="O13" s="148" t="n"/>
      <c r="P13" s="148" t="n"/>
      <c r="Q13" s="148" t="n"/>
      <c r="R13" s="148" t="n"/>
      <c r="S13" s="148" t="n"/>
      <c r="T13" s="170" t="n"/>
      <c r="V13" s="71" t="n"/>
    </row>
    <row r="14" ht="13.5" customHeight="1" s="426">
      <c r="A14" s="171" t="n"/>
      <c r="B14" s="75" t="n"/>
      <c r="C14" s="76" t="n"/>
      <c r="D14" s="77" t="inlineStr">
        <is>
          <t>No Entry in Database</t>
        </is>
      </c>
      <c r="E14" s="80" t="n"/>
      <c r="F14" s="148" t="n"/>
      <c r="G14" s="148" t="n"/>
      <c r="H14" s="148" t="inlineStr">
        <is>
          <t>O</t>
        </is>
      </c>
      <c r="J14" s="148" t="n"/>
      <c r="K14" s="148" t="n"/>
      <c r="L14" s="148" t="n"/>
      <c r="M14" s="148" t="n"/>
      <c r="N14" s="148" t="n"/>
      <c r="O14" s="148" t="n"/>
      <c r="P14" s="148" t="n"/>
      <c r="Q14" s="148" t="n"/>
      <c r="R14" s="148" t="n"/>
      <c r="S14" s="148" t="n"/>
      <c r="T14" s="170" t="n"/>
    </row>
    <row r="15" ht="13.5" customHeight="1" s="426">
      <c r="A15" s="171" t="n"/>
      <c r="B15" s="75" t="inlineStr">
        <is>
          <t>roleId</t>
        </is>
      </c>
      <c r="C15" s="76" t="n"/>
      <c r="D15" s="77" t="n"/>
      <c r="E15" s="81" t="n"/>
      <c r="F15" s="79" t="n"/>
      <c r="G15" s="79" t="n"/>
      <c r="H15" s="79" t="n"/>
      <c r="I15" s="79" t="n"/>
      <c r="J15" s="79" t="n"/>
      <c r="K15" s="79" t="n"/>
      <c r="L15" s="79" t="n"/>
      <c r="M15" s="79" t="n"/>
      <c r="N15" s="79" t="n"/>
      <c r="O15" s="79" t="n"/>
      <c r="P15" s="79" t="n"/>
      <c r="Q15" s="79" t="n"/>
      <c r="R15" s="79" t="n"/>
      <c r="S15" s="79" t="n"/>
      <c r="T15" s="195" t="n"/>
    </row>
    <row r="16" ht="13.5" customHeight="1" s="426">
      <c r="A16" s="171" t="n"/>
      <c r="B16" s="75" t="n"/>
      <c r="C16" s="76" t="n"/>
      <c r="D16" s="77" t="n">
        <v>1</v>
      </c>
      <c r="E16" s="81" t="n"/>
      <c r="F16" s="148" t="inlineStr">
        <is>
          <t>O</t>
        </is>
      </c>
      <c r="G16" s="148" t="inlineStr">
        <is>
          <t>O</t>
        </is>
      </c>
      <c r="H16" s="148" t="n"/>
      <c r="I16" s="148" t="n"/>
      <c r="J16" s="148" t="n"/>
      <c r="K16" s="148" t="n"/>
      <c r="L16" s="79" t="n"/>
      <c r="M16" s="79" t="n"/>
      <c r="N16" s="79" t="n"/>
      <c r="O16" s="79" t="n"/>
      <c r="P16" s="79" t="n"/>
      <c r="Q16" s="79" t="n"/>
      <c r="R16" s="79" t="n"/>
      <c r="S16" s="79" t="n"/>
      <c r="T16" s="195" t="n"/>
    </row>
    <row r="17" ht="13.5" customHeight="1" s="426">
      <c r="A17" s="171" t="n"/>
      <c r="B17" s="75" t="n"/>
      <c r="C17" s="76" t="n"/>
      <c r="D17" s="77" t="n">
        <v>9999</v>
      </c>
      <c r="E17" s="81" t="n"/>
      <c r="F17" s="148" t="n"/>
      <c r="G17" s="79" t="n"/>
      <c r="H17" s="148" t="inlineStr">
        <is>
          <t>O</t>
        </is>
      </c>
      <c r="I17" s="148" t="n"/>
      <c r="J17" s="148" t="n"/>
      <c r="K17" s="148" t="n"/>
      <c r="L17" s="79" t="n"/>
      <c r="M17" s="79" t="n"/>
      <c r="N17" s="79" t="n"/>
      <c r="O17" s="79" t="n"/>
      <c r="P17" s="79" t="n"/>
      <c r="Q17" s="79" t="n"/>
      <c r="R17" s="79" t="n"/>
      <c r="S17" s="79" t="n"/>
      <c r="T17" s="195" t="n"/>
    </row>
    <row r="18" ht="13.5" customHeight="1" s="426" thickBot="1">
      <c r="A18" s="171" t="n"/>
      <c r="B18" s="75" t="n"/>
      <c r="C18" s="76" t="n"/>
      <c r="D18" s="77" t="n">
        <v>0</v>
      </c>
      <c r="E18" s="81" t="n"/>
      <c r="F18" s="79" t="n"/>
      <c r="G18" s="148" t="n"/>
      <c r="H18" s="79" t="n"/>
      <c r="I18" s="148" t="inlineStr">
        <is>
          <t>O</t>
        </is>
      </c>
      <c r="J18" s="79" t="n"/>
      <c r="K18" s="79" t="n"/>
      <c r="L18" s="79" t="n"/>
      <c r="M18" s="79" t="n"/>
      <c r="N18" s="79" t="n"/>
      <c r="O18" s="79" t="n"/>
      <c r="P18" s="79" t="n"/>
      <c r="Q18" s="79" t="n"/>
      <c r="R18" s="79" t="n"/>
      <c r="S18" s="79" t="n"/>
      <c r="T18" s="195" t="n"/>
    </row>
    <row r="19" ht="13.5" customHeight="1" s="426">
      <c r="A19" s="182" t="inlineStr">
        <is>
          <t>Confirm</t>
        </is>
      </c>
      <c r="B19" s="208" t="inlineStr">
        <is>
          <t>Return</t>
        </is>
      </c>
      <c r="C19" s="239" t="n"/>
      <c r="D19" s="210" t="n"/>
      <c r="E19" s="86" t="n"/>
      <c r="F19" s="87" t="n"/>
      <c r="G19" s="87" t="n"/>
      <c r="H19" s="87" t="n"/>
      <c r="I19" s="87" t="n"/>
      <c r="J19" s="87" t="n"/>
      <c r="K19" s="87" t="n"/>
      <c r="L19" s="87" t="n"/>
      <c r="M19" s="87" t="n"/>
      <c r="N19" s="87" t="n"/>
      <c r="O19" s="87" t="n"/>
      <c r="P19" s="87" t="n"/>
      <c r="Q19" s="87" t="n"/>
      <c r="R19" s="87" t="n"/>
      <c r="S19" s="87" t="n"/>
      <c r="T19" s="196" t="n"/>
    </row>
    <row r="20" ht="13.5" customHeight="1" s="426">
      <c r="A20" s="181" t="n"/>
      <c r="B20" s="208" t="n"/>
      <c r="C20" s="209" t="n"/>
      <c r="D20" s="210" t="inlineStr">
        <is>
          <t>Role Detail by the RoleId</t>
        </is>
      </c>
      <c r="E20" s="91" t="n"/>
      <c r="F20" s="148" t="inlineStr">
        <is>
          <t>O</t>
        </is>
      </c>
      <c r="G20" s="79" t="n"/>
      <c r="H20" s="79" t="n"/>
      <c r="I20" s="79" t="n"/>
      <c r="J20" s="79" t="n"/>
      <c r="K20" s="79" t="n"/>
      <c r="L20" s="79" t="n"/>
      <c r="M20" s="79" t="n"/>
      <c r="N20" s="79" t="n"/>
      <c r="O20" s="79" t="n"/>
      <c r="P20" s="79" t="n"/>
      <c r="Q20" s="79" t="n"/>
      <c r="R20" s="79" t="n"/>
      <c r="S20" s="79" t="n"/>
      <c r="T20" s="195" t="n"/>
    </row>
    <row r="21" ht="13.5" customHeight="1" s="426">
      <c r="A21" s="181" t="n"/>
      <c r="B21" s="126" t="n"/>
      <c r="C21" s="89" t="n"/>
      <c r="D21" s="90" t="inlineStr">
        <is>
          <t>Null</t>
        </is>
      </c>
      <c r="E21" s="91" t="n"/>
      <c r="F21" s="79" t="n"/>
      <c r="G21" s="148" t="n"/>
      <c r="H21" s="148" t="inlineStr">
        <is>
          <t>O</t>
        </is>
      </c>
      <c r="I21" s="148" t="inlineStr">
        <is>
          <t>O</t>
        </is>
      </c>
      <c r="J21" s="148" t="n"/>
      <c r="K21" s="79" t="n"/>
      <c r="L21" s="79" t="n"/>
      <c r="M21" s="79" t="n"/>
      <c r="N21" s="79" t="n"/>
      <c r="O21" s="79" t="n"/>
      <c r="P21" s="79" t="n"/>
      <c r="Q21" s="79" t="n"/>
      <c r="R21" s="79" t="n"/>
      <c r="S21" s="79" t="n"/>
      <c r="T21" s="195" t="n"/>
    </row>
    <row r="22" ht="13.5" customHeight="1" s="426">
      <c r="A22" s="181" t="n"/>
      <c r="B22" s="116" t="inlineStr">
        <is>
          <t>Exception</t>
        </is>
      </c>
      <c r="C22" s="120" t="n"/>
      <c r="D22" s="118" t="n"/>
      <c r="E22" s="91" t="n"/>
      <c r="F22" s="79" t="n"/>
      <c r="G22" s="79" t="n"/>
      <c r="H22" s="79" t="n"/>
      <c r="I22" s="79" t="n"/>
      <c r="J22" s="79" t="n"/>
      <c r="K22" s="79" t="n"/>
      <c r="L22" s="79" t="n"/>
      <c r="M22" s="79" t="n"/>
      <c r="N22" s="79" t="n"/>
      <c r="O22" s="79" t="n"/>
      <c r="P22" s="79" t="n"/>
      <c r="Q22" s="79" t="n"/>
      <c r="R22" s="79" t="n"/>
      <c r="S22" s="79" t="n"/>
      <c r="T22" s="195" t="n"/>
    </row>
    <row r="23" ht="13.5" customHeight="1" s="426">
      <c r="A23" s="181" t="n"/>
      <c r="B23" s="116" t="n"/>
      <c r="C23" s="120" t="n"/>
      <c r="D23" s="118" t="inlineStr">
        <is>
          <t>InvalidOperationException</t>
        </is>
      </c>
      <c r="E23" s="91" t="n"/>
      <c r="F23" s="79" t="n"/>
      <c r="G23" s="148" t="inlineStr">
        <is>
          <t>O</t>
        </is>
      </c>
      <c r="H23" s="79" t="n"/>
      <c r="I23" s="148" t="n"/>
      <c r="J23" s="79" t="n"/>
      <c r="K23" s="79" t="n"/>
      <c r="L23" s="79" t="n"/>
      <c r="M23" s="79" t="n"/>
      <c r="N23" s="79" t="n"/>
      <c r="O23" s="79" t="n"/>
      <c r="P23" s="79" t="n"/>
      <c r="Q23" s="79" t="n"/>
      <c r="R23" s="79" t="n"/>
      <c r="S23" s="79" t="n"/>
      <c r="T23" s="195" t="n"/>
    </row>
    <row r="24" ht="13.5" customHeight="1" s="426">
      <c r="A24" s="181" t="n"/>
      <c r="B24" s="88" t="inlineStr">
        <is>
          <t>Log message</t>
        </is>
      </c>
      <c r="C24" s="89" t="n"/>
      <c r="D24" s="90" t="n"/>
      <c r="E24" s="91" t="n"/>
      <c r="F24" s="79" t="n"/>
      <c r="G24" s="79" t="n"/>
      <c r="H24" s="79" t="n"/>
      <c r="I24" s="79" t="n"/>
      <c r="J24" s="79" t="n"/>
      <c r="K24" s="79" t="n"/>
      <c r="L24" s="79" t="n"/>
      <c r="M24" s="79" t="n"/>
      <c r="N24" s="79" t="n"/>
      <c r="O24" s="79" t="n"/>
      <c r="P24" s="79" t="n"/>
      <c r="Q24" s="79" t="n"/>
      <c r="R24" s="79" t="n"/>
      <c r="S24" s="79" t="n"/>
      <c r="T24" s="195" t="n"/>
    </row>
    <row r="25" ht="13.5" customHeight="1" s="426" thickBot="1">
      <c r="A25" s="181" t="n"/>
      <c r="B25" s="88" t="n"/>
      <c r="C25" s="92" t="n"/>
      <c r="D25" s="90" t="inlineStr">
        <is>
          <t>"Database error"</t>
        </is>
      </c>
      <c r="E25" s="93" t="n"/>
      <c r="F25" s="148" t="n"/>
      <c r="G25" s="148" t="inlineStr">
        <is>
          <t>O</t>
        </is>
      </c>
      <c r="H25" s="79" t="n"/>
      <c r="I25" s="79" t="n"/>
      <c r="J25" s="79" t="n"/>
      <c r="K25" s="79" t="n"/>
      <c r="L25" s="79" t="n"/>
      <c r="M25" s="79" t="n"/>
      <c r="N25" s="79" t="n"/>
      <c r="O25" s="79" t="n"/>
      <c r="P25" s="79" t="n"/>
      <c r="Q25" s="79" t="n"/>
      <c r="R25" s="79" t="n"/>
      <c r="S25" s="79" t="n"/>
      <c r="T25" s="195" t="n"/>
    </row>
    <row r="26" ht="13.5" customHeight="1" s="426" thickTop="1">
      <c r="A26" s="182" t="inlineStr">
        <is>
          <t>Result</t>
        </is>
      </c>
      <c r="B26" s="331" t="inlineStr">
        <is>
          <t>Type(N : Normal, A : Abnormal, B : Boundary)</t>
        </is>
      </c>
      <c r="C26" s="472" t="n"/>
      <c r="D26" s="473" t="n"/>
      <c r="E26" s="331" t="n"/>
      <c r="F26" s="188" t="inlineStr">
        <is>
          <t>N</t>
        </is>
      </c>
      <c r="G26" s="188" t="inlineStr">
        <is>
          <t>A</t>
        </is>
      </c>
      <c r="H26" s="188" t="inlineStr">
        <is>
          <t>N</t>
        </is>
      </c>
      <c r="I26" s="188" t="inlineStr">
        <is>
          <t>N</t>
        </is>
      </c>
      <c r="J26" s="188" t="n"/>
      <c r="K26" s="188" t="n"/>
      <c r="L26" s="188" t="n"/>
      <c r="M26" s="188" t="n"/>
      <c r="N26" s="188" t="n"/>
      <c r="O26" s="188" t="n"/>
      <c r="P26" s="188" t="n"/>
      <c r="Q26" s="188" t="n"/>
      <c r="R26" s="188" t="n"/>
      <c r="S26" s="188" t="n"/>
      <c r="T26" s="198" t="n"/>
    </row>
    <row r="27" ht="13.5" customHeight="1" s="426">
      <c r="A27" s="174" t="n"/>
      <c r="B27" s="320" t="inlineStr">
        <is>
          <t>Passed/Failed</t>
        </is>
      </c>
      <c r="C27" s="449" t="n"/>
      <c r="D27" s="450" t="n"/>
      <c r="E27" s="95" t="n"/>
      <c r="F27" s="94" t="inlineStr">
        <is>
          <t>P</t>
        </is>
      </c>
      <c r="G27" s="94" t="inlineStr">
        <is>
          <t>P</t>
        </is>
      </c>
      <c r="H27" s="94" t="inlineStr">
        <is>
          <t>P</t>
        </is>
      </c>
      <c r="I27" s="94" t="inlineStr">
        <is>
          <t>P</t>
        </is>
      </c>
      <c r="J27" s="94" t="n"/>
      <c r="K27" s="94" t="n"/>
      <c r="L27" s="94" t="n"/>
      <c r="M27" s="94" t="n"/>
      <c r="N27" s="94" t="n"/>
      <c r="O27" s="94" t="n"/>
      <c r="P27" s="94" t="n"/>
      <c r="Q27" s="94" t="n"/>
      <c r="R27" s="94" t="n"/>
      <c r="S27" s="94" t="n"/>
      <c r="T27" s="199" t="n"/>
    </row>
    <row r="28" ht="71.5" customHeight="1" s="426">
      <c r="A28" s="174" t="n"/>
      <c r="B28" s="329" t="inlineStr">
        <is>
          <t>Executed Date</t>
        </is>
      </c>
      <c r="C28" s="449" t="n"/>
      <c r="D28" s="450" t="n"/>
      <c r="E28" s="96" t="n"/>
      <c r="F28" s="97" t="n">
        <v>45695</v>
      </c>
      <c r="G28" s="97" t="n">
        <v>45695</v>
      </c>
      <c r="H28" s="97" t="n">
        <v>45695</v>
      </c>
      <c r="I28" s="97" t="n">
        <v>45695</v>
      </c>
      <c r="J28" s="97" t="n"/>
      <c r="K28" s="97" t="n"/>
      <c r="L28" s="97" t="n"/>
      <c r="M28" s="97" t="n"/>
      <c r="N28" s="97" t="n"/>
      <c r="O28" s="97" t="n"/>
      <c r="P28" s="97" t="n"/>
      <c r="Q28" s="97" t="n"/>
      <c r="R28" s="97" t="n"/>
      <c r="S28" s="97" t="n"/>
      <c r="T28" s="176" t="n"/>
    </row>
    <row r="29" ht="10.5" customHeight="1" s="426" thickBot="1">
      <c r="A29" s="177" t="n"/>
      <c r="B29" s="330" t="inlineStr">
        <is>
          <t>Defect ID</t>
        </is>
      </c>
      <c r="C29" s="474" t="n"/>
      <c r="D29" s="475" t="n"/>
      <c r="E29" s="178" t="n"/>
      <c r="F29" s="179" t="n"/>
      <c r="G29" s="179" t="n"/>
      <c r="H29" s="179" t="n"/>
      <c r="I29" s="179" t="n"/>
      <c r="J29" s="179" t="n"/>
      <c r="K29" s="179" t="n"/>
      <c r="L29" s="179" t="n"/>
      <c r="M29" s="179" t="n"/>
      <c r="N29" s="179" t="n"/>
      <c r="O29" s="179" t="n"/>
      <c r="P29" s="179" t="n"/>
      <c r="Q29" s="179" t="n"/>
      <c r="R29" s="179" t="n"/>
      <c r="S29" s="179" t="n"/>
      <c r="T29" s="180" t="n"/>
    </row>
    <row r="30" ht="10.5" customHeight="1" s="426" thickTop="1">
      <c r="A30" s="73" t="n"/>
      <c r="B30" s="69" t="n"/>
      <c r="C30" s="413" t="n"/>
      <c r="D30" s="69" t="n"/>
    </row>
  </sheetData>
  <mergeCells count="27">
    <mergeCell ref="F2:K2"/>
    <mergeCell ref="B29:D29"/>
    <mergeCell ref="A6:B6"/>
    <mergeCell ref="C4:D4"/>
    <mergeCell ref="L4:T4"/>
    <mergeCell ref="B28:D28"/>
    <mergeCell ref="C2:E2"/>
    <mergeCell ref="A7:B7"/>
    <mergeCell ref="C7:E7"/>
    <mergeCell ref="L6:N6"/>
    <mergeCell ref="A3:B3"/>
    <mergeCell ref="A2:B2"/>
    <mergeCell ref="A5:B5"/>
    <mergeCell ref="B26:D26"/>
    <mergeCell ref="C3:E3"/>
    <mergeCell ref="F4:K4"/>
    <mergeCell ref="O7:T7"/>
    <mergeCell ref="C6:E6"/>
    <mergeCell ref="A4:B4"/>
    <mergeCell ref="L2:T2"/>
    <mergeCell ref="O6:T6"/>
    <mergeCell ref="F6:K6"/>
    <mergeCell ref="B27:D27"/>
    <mergeCell ref="F7:K7"/>
    <mergeCell ref="C5:T5"/>
    <mergeCell ref="L3:T3"/>
    <mergeCell ref="F3:K3"/>
  </mergeCells>
  <dataValidations count="3">
    <dataValidation sqref="F27:T27" showDropDown="0" showInputMessage="1" showErrorMessage="1" allowBlank="1" type="list">
      <formula1>"P,F, "</formula1>
    </dataValidation>
    <dataValidation sqref="F26:T26" showDropDown="0" showInputMessage="1" showErrorMessage="1" allowBlank="1" type="list">
      <formula1>"N,A,B, "</formula1>
    </dataValidation>
    <dataValidation sqref="F10:T13 F14:H14 F15:T25 J14:T14"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V54"/>
  <sheetViews>
    <sheetView topLeftCell="A29" zoomScale="115" zoomScaleNormal="115" workbookViewId="0">
      <selection activeCell="W43" sqref="W43"/>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Role - 3</t>
        </is>
      </c>
      <c r="D2" s="439" t="n"/>
      <c r="E2" s="441" t="n"/>
      <c r="F2" s="410" t="inlineStr">
        <is>
          <t>Function Name</t>
        </is>
      </c>
      <c r="G2" s="496" t="n"/>
      <c r="H2" s="496" t="n"/>
      <c r="I2" s="496" t="n"/>
      <c r="J2" s="496" t="n"/>
      <c r="K2" s="496" t="n"/>
      <c r="L2" s="443" t="inlineStr">
        <is>
          <t>Add New Role</t>
        </is>
      </c>
      <c r="M2" s="439" t="n"/>
      <c r="N2" s="439" t="n"/>
      <c r="O2" s="439" t="n"/>
      <c r="P2" s="439" t="n"/>
      <c r="Q2" s="439" t="n"/>
      <c r="R2" s="439" t="n"/>
      <c r="S2" s="439" t="n"/>
      <c r="T2" s="444" t="n"/>
      <c r="V2" s="71" t="n"/>
    </row>
    <row r="3" ht="13.5" customHeight="1" s="426">
      <c r="A3" s="445" t="inlineStr">
        <is>
          <t>Created By</t>
        </is>
      </c>
      <c r="B3" s="428" t="n"/>
      <c r="C3" s="446" t="inlineStr">
        <is>
          <t>Nguyễn Chí Hậu</t>
        </is>
      </c>
      <c r="D3" s="433" t="n"/>
      <c r="E3" s="447" t="n"/>
      <c r="F3" s="448" t="inlineStr">
        <is>
          <t>Executed By</t>
        </is>
      </c>
      <c r="G3" s="449" t="n"/>
      <c r="H3" s="449" t="n"/>
      <c r="I3" s="449" t="n"/>
      <c r="J3" s="449" t="n"/>
      <c r="K3" s="450" t="n"/>
      <c r="L3" s="453" t="inlineStr">
        <is>
          <t>Nguyễn Chí Hậu</t>
        </is>
      </c>
      <c r="M3" s="454" t="n"/>
      <c r="N3" s="454" t="n"/>
      <c r="O3" s="454" t="n"/>
      <c r="P3" s="454" t="n"/>
      <c r="Q3" s="454" t="n"/>
      <c r="R3" s="454" t="n"/>
      <c r="S3" s="454" t="n"/>
      <c r="T3" s="455" t="n"/>
    </row>
    <row r="4" ht="13.5" customHeight="1" s="426">
      <c r="A4" s="445" t="inlineStr">
        <is>
          <t>Lines  of code</t>
        </is>
      </c>
      <c r="B4" s="428" t="n"/>
      <c r="C4" s="327" t="n">
        <v>100</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COUNTIF(F51:HQ51,"P")</f>
        <v/>
      </c>
      <c r="B7" s="465" t="n"/>
      <c r="C7" s="466">
        <f>COUNTIF(F52:HQ52,"F")</f>
        <v/>
      </c>
      <c r="D7" s="467" t="n"/>
      <c r="E7" s="465" t="n"/>
      <c r="F7" s="468">
        <f>SUM(O7,- A7,- C7)</f>
        <v/>
      </c>
      <c r="G7" s="467" t="n"/>
      <c r="H7" s="467" t="n"/>
      <c r="I7" s="467" t="n"/>
      <c r="J7" s="467" t="n"/>
      <c r="K7" s="469" t="n"/>
      <c r="L7" s="342">
        <f>COUNTIF(E50:HQ50,"N")</f>
        <v/>
      </c>
      <c r="M7" s="342">
        <f>COUNTIF(E50:HQ50,"A")</f>
        <v/>
      </c>
      <c r="N7" s="342">
        <f>COUNTIF(E50:HQ50,"B")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inlineStr">
        <is>
          <t>UTCID07</t>
        </is>
      </c>
      <c r="M9" s="168" t="inlineStr">
        <is>
          <t>UTCID08</t>
        </is>
      </c>
      <c r="N9" s="168" t="inlineStr">
        <is>
          <t>UTCID09</t>
        </is>
      </c>
      <c r="O9" s="168" t="inlineStr">
        <is>
          <t>UTCID10</t>
        </is>
      </c>
      <c r="P9" s="168" t="inlineStr">
        <is>
          <t>UTCID11</t>
        </is>
      </c>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inlineStr">
        <is>
          <t>O</t>
        </is>
      </c>
      <c r="K11" s="148" t="n"/>
      <c r="L11" s="148" t="inlineStr">
        <is>
          <t>O</t>
        </is>
      </c>
      <c r="M11" s="148" t="inlineStr">
        <is>
          <t>O</t>
        </is>
      </c>
      <c r="N11" s="148" t="inlineStr">
        <is>
          <t>O</t>
        </is>
      </c>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inlineStr">
        <is>
          <t>O</t>
        </is>
      </c>
      <c r="M12" s="148" t="inlineStr">
        <is>
          <t>O</t>
        </is>
      </c>
      <c r="N12" s="148" t="inlineStr">
        <is>
          <t>O</t>
        </is>
      </c>
      <c r="O12" s="148" t="n"/>
      <c r="P12" s="148" t="n"/>
      <c r="Q12" s="148" t="n"/>
      <c r="R12" s="148" t="n"/>
      <c r="S12" s="148" t="n"/>
      <c r="T12" s="170" t="n"/>
    </row>
    <row r="13" ht="13.5" customHeight="1" s="426">
      <c r="A13" s="171" t="n"/>
      <c r="B13" s="75" t="inlineStr">
        <is>
          <t>RoleName</t>
        </is>
      </c>
      <c r="C13" s="76" t="n"/>
      <c r="D13" s="77" t="n"/>
      <c r="E13" s="81" t="n"/>
      <c r="F13" s="79" t="n"/>
      <c r="G13" s="79" t="n"/>
      <c r="H13" s="79" t="n"/>
      <c r="I13" s="79" t="n"/>
      <c r="J13" s="79" t="n"/>
      <c r="K13" s="79" t="n"/>
      <c r="L13" s="79" t="n"/>
      <c r="M13" s="79" t="n"/>
      <c r="N13" s="79" t="n"/>
      <c r="O13" s="79" t="n"/>
      <c r="P13" s="79" t="n"/>
      <c r="Q13" s="79" t="n"/>
      <c r="R13" s="79" t="n"/>
      <c r="S13" s="79" t="n"/>
      <c r="T13" s="195" t="n"/>
    </row>
    <row r="14" ht="13.5" customHeight="1" s="426">
      <c r="A14" s="171" t="n"/>
      <c r="B14" s="75" t="n"/>
      <c r="C14" s="76" t="n"/>
      <c r="D14" s="77" t="inlineStr">
        <is>
          <t>"Admin"</t>
        </is>
      </c>
      <c r="E14" s="81" t="n"/>
      <c r="F14" s="148" t="inlineStr">
        <is>
          <t>O</t>
        </is>
      </c>
      <c r="G14" s="79" t="n"/>
      <c r="H14" s="79" t="n"/>
      <c r="I14" s="148" t="inlineStr">
        <is>
          <t>O</t>
        </is>
      </c>
      <c r="J14" s="79" t="n"/>
      <c r="K14" s="79" t="n"/>
      <c r="L14" s="79" t="n"/>
      <c r="M14" s="79" t="n"/>
      <c r="N14" s="79" t="n"/>
      <c r="O14" s="148" t="inlineStr">
        <is>
          <t>O</t>
        </is>
      </c>
      <c r="P14" s="148" t="inlineStr">
        <is>
          <t>O</t>
        </is>
      </c>
      <c r="Q14" s="79" t="n"/>
      <c r="R14" s="79" t="n"/>
      <c r="S14" s="79" t="n"/>
      <c r="T14" s="195" t="n"/>
    </row>
    <row r="15" ht="13.5" customHeight="1" s="426">
      <c r="A15" s="171" t="n"/>
      <c r="B15" s="75" t="n"/>
      <c r="C15" s="76" t="n"/>
      <c r="D15" s="77" t="inlineStr">
        <is>
          <t>null</t>
        </is>
      </c>
      <c r="E15" s="81" t="n"/>
      <c r="F15" s="79" t="n"/>
      <c r="G15" s="148" t="inlineStr">
        <is>
          <t>O</t>
        </is>
      </c>
      <c r="H15" s="148" t="inlineStr">
        <is>
          <t>O</t>
        </is>
      </c>
      <c r="I15" s="79" t="n"/>
      <c r="J15" s="79" t="n"/>
      <c r="K15" s="79" t="n"/>
      <c r="L15" s="79" t="n"/>
      <c r="M15" s="79" t="n"/>
      <c r="N15" s="79" t="n"/>
      <c r="O15" s="79" t="n"/>
      <c r="P15" s="79" t="n"/>
      <c r="Q15" s="79" t="n"/>
      <c r="R15" s="79" t="n"/>
      <c r="S15" s="79" t="n"/>
      <c r="T15" s="195" t="n"/>
    </row>
    <row r="16" ht="13.5" customHeight="1" s="426">
      <c r="A16" s="171" t="n"/>
      <c r="B16" s="75" t="n"/>
      <c r="C16" s="76" t="n"/>
      <c r="D16" s="77" t="inlineStr">
        <is>
          <t>"Support"</t>
        </is>
      </c>
      <c r="E16" s="81" t="n"/>
      <c r="F16" s="79" t="n"/>
      <c r="G16" s="79" t="n"/>
      <c r="H16" s="79" t="n"/>
      <c r="I16" s="79" t="n"/>
      <c r="J16" s="148" t="inlineStr">
        <is>
          <t>O</t>
        </is>
      </c>
      <c r="K16" s="79" t="n"/>
      <c r="L16" s="79" t="n"/>
      <c r="M16" s="79" t="n"/>
      <c r="N16" s="79" t="n"/>
      <c r="O16" s="79" t="n"/>
      <c r="P16" s="79" t="n"/>
      <c r="Q16" s="79" t="n"/>
      <c r="R16" s="79" t="n"/>
      <c r="S16" s="79" t="n"/>
      <c r="T16" s="195" t="n"/>
    </row>
    <row r="17" ht="13.5" customHeight="1" s="426">
      <c r="A17" s="171" t="n"/>
      <c r="B17" s="75" t="n"/>
      <c r="C17" s="76" t="n"/>
      <c r="D17" s="77" t="inlineStr">
        <is>
          <t>"DatabaseFail"</t>
        </is>
      </c>
      <c r="E17" s="81" t="n"/>
      <c r="F17" s="79" t="n"/>
      <c r="G17" s="79" t="n"/>
      <c r="H17" s="79" t="n"/>
      <c r="I17" s="79" t="n"/>
      <c r="J17" s="79" t="n"/>
      <c r="K17" s="148" t="inlineStr">
        <is>
          <t>O</t>
        </is>
      </c>
      <c r="L17" s="79" t="n"/>
      <c r="M17" s="79" t="n"/>
      <c r="N17" s="79" t="n"/>
      <c r="O17" s="79" t="n"/>
      <c r="P17" s="79" t="n"/>
      <c r="Q17" s="79" t="n"/>
      <c r="R17" s="79" t="n"/>
      <c r="S17" s="79" t="n"/>
      <c r="T17" s="195" t="n"/>
    </row>
    <row r="18" ht="13.5" customHeight="1" s="426">
      <c r="A18" s="171" t="n"/>
      <c r="B18" s="75" t="n"/>
      <c r="C18" s="76" t="n"/>
      <c r="D18" s="77" t="inlineStr">
        <is>
          <t>"Viewer"</t>
        </is>
      </c>
      <c r="E18" s="81" t="n"/>
      <c r="F18" s="79" t="n"/>
      <c r="G18" s="79" t="n"/>
      <c r="H18" s="79" t="n"/>
      <c r="I18" s="79" t="n"/>
      <c r="J18" s="79" t="n"/>
      <c r="K18" s="148" t="n"/>
      <c r="L18" s="148" t="inlineStr">
        <is>
          <t>O</t>
        </is>
      </c>
      <c r="M18" s="79" t="n"/>
      <c r="N18" s="79" t="n"/>
      <c r="O18" s="79" t="n"/>
      <c r="P18" s="79" t="n"/>
      <c r="Q18" s="79" t="n"/>
      <c r="R18" s="79" t="n"/>
      <c r="S18" s="79" t="n"/>
      <c r="T18" s="195" t="n"/>
    </row>
    <row r="19" ht="13.5" customHeight="1" s="426">
      <c r="A19" s="171" t="n"/>
      <c r="B19" s="75" t="n"/>
      <c r="C19" s="76" t="n"/>
      <c r="D19" s="77" t="inlineStr">
        <is>
          <t>25 characters string</t>
        </is>
      </c>
      <c r="E19" s="81" t="n"/>
      <c r="F19" s="79" t="n"/>
      <c r="G19" s="79" t="n"/>
      <c r="H19" s="79" t="n"/>
      <c r="I19" s="79" t="n"/>
      <c r="J19" s="79" t="n"/>
      <c r="K19" s="148" t="n"/>
      <c r="L19" s="79" t="n"/>
      <c r="M19" s="148" t="inlineStr">
        <is>
          <t>O</t>
        </is>
      </c>
      <c r="N19" s="79" t="n"/>
      <c r="O19" s="79" t="n"/>
      <c r="P19" s="79" t="n"/>
      <c r="Q19" s="79" t="n"/>
      <c r="R19" s="79" t="n"/>
      <c r="S19" s="79" t="n"/>
      <c r="T19" s="195" t="n"/>
    </row>
    <row r="20" ht="13.5" customHeight="1" s="426">
      <c r="A20" s="171" t="n"/>
      <c r="B20" s="75" t="n"/>
      <c r="C20" s="76" t="n"/>
      <c r="D20" s="77" t="inlineStr">
        <is>
          <t>26 characters string</t>
        </is>
      </c>
      <c r="E20" s="81" t="n"/>
      <c r="F20" s="79" t="n"/>
      <c r="G20" s="79" t="n"/>
      <c r="H20" s="79" t="n"/>
      <c r="I20" s="79" t="n"/>
      <c r="J20" s="79" t="n"/>
      <c r="K20" s="79" t="n"/>
      <c r="L20" s="148" t="n"/>
      <c r="M20" s="79" t="n"/>
      <c r="N20" s="148" t="inlineStr">
        <is>
          <t>O</t>
        </is>
      </c>
      <c r="O20" s="79" t="n"/>
      <c r="P20" s="79" t="n"/>
      <c r="Q20" s="79" t="n"/>
      <c r="R20" s="79" t="n"/>
      <c r="S20" s="79" t="n"/>
      <c r="T20" s="195" t="n"/>
    </row>
    <row r="21" ht="13.5" customHeight="1" s="426">
      <c r="A21" s="171" t="n"/>
      <c r="B21" s="75" t="inlineStr">
        <is>
          <t>RoleDescription</t>
        </is>
      </c>
      <c r="C21" s="76" t="n"/>
      <c r="D21" s="77" t="n"/>
      <c r="E21" s="81" t="n"/>
      <c r="F21" s="79" t="n"/>
      <c r="G21" s="79" t="n"/>
      <c r="H21" s="79" t="n"/>
      <c r="I21" s="79" t="n"/>
      <c r="J21" s="79" t="n"/>
      <c r="K21" s="79" t="n"/>
      <c r="L21" s="79" t="n"/>
      <c r="M21" s="79" t="n"/>
      <c r="N21" s="79" t="n"/>
      <c r="O21" s="79" t="n"/>
      <c r="P21" s="79" t="n"/>
      <c r="Q21" s="79" t="n"/>
      <c r="R21" s="79" t="n"/>
      <c r="S21" s="79" t="n"/>
      <c r="T21" s="195" t="n"/>
    </row>
    <row r="22" ht="13.5" customHeight="1" s="426">
      <c r="A22" s="171" t="n"/>
      <c r="B22" s="75" t="n"/>
      <c r="C22" s="76" t="n"/>
      <c r="D22" s="77" t="inlineStr">
        <is>
          <t>"Administrator Role"</t>
        </is>
      </c>
      <c r="E22" s="81" t="n"/>
      <c r="F22" s="148" t="inlineStr">
        <is>
          <t>O</t>
        </is>
      </c>
      <c r="G22" s="79" t="n"/>
      <c r="H22" s="79" t="n"/>
      <c r="I22" s="79" t="n"/>
      <c r="J22" s="79" t="n"/>
      <c r="K22" s="79" t="n"/>
      <c r="L22" s="79" t="n"/>
      <c r="M22" s="148" t="inlineStr">
        <is>
          <t>O</t>
        </is>
      </c>
      <c r="N22" s="148" t="inlineStr">
        <is>
          <t>O</t>
        </is>
      </c>
      <c r="O22" s="79" t="n"/>
      <c r="P22" s="79" t="n"/>
      <c r="Q22" s="79" t="n"/>
      <c r="R22" s="79" t="n"/>
      <c r="S22" s="79" t="n"/>
      <c r="T22" s="195" t="n"/>
    </row>
    <row r="23" ht="13.5" customHeight="1" s="426">
      <c r="A23" s="171" t="n"/>
      <c r="B23" s="75" t="n"/>
      <c r="C23" s="76" t="n"/>
      <c r="D23" s="77" t="inlineStr">
        <is>
          <t>null</t>
        </is>
      </c>
      <c r="E23" s="81" t="n"/>
      <c r="F23" s="79" t="n"/>
      <c r="G23" s="148" t="inlineStr">
        <is>
          <t>O</t>
        </is>
      </c>
      <c r="H23" s="79" t="n"/>
      <c r="I23" s="148" t="inlineStr">
        <is>
          <t>O</t>
        </is>
      </c>
      <c r="J23" s="79" t="n"/>
      <c r="K23" s="79" t="n"/>
      <c r="L23" s="79" t="n"/>
      <c r="M23" s="79" t="n"/>
      <c r="N23" s="79" t="n"/>
      <c r="O23" s="79" t="n"/>
      <c r="P23" s="79" t="n"/>
      <c r="Q23" s="79" t="n"/>
      <c r="R23" s="79" t="n"/>
      <c r="S23" s="79" t="n"/>
      <c r="T23" s="195" t="n"/>
    </row>
    <row r="24" ht="13.5" customHeight="1" s="426">
      <c r="A24" s="171" t="n"/>
      <c r="B24" s="75" t="n"/>
      <c r="C24" s="76" t="n"/>
      <c r="D24" s="77" t="inlineStr">
        <is>
          <t>"Test description"</t>
        </is>
      </c>
      <c r="E24" s="81" t="n"/>
      <c r="F24" s="79" t="n"/>
      <c r="G24" s="79" t="n"/>
      <c r="H24" s="148" t="inlineStr">
        <is>
          <t>O</t>
        </is>
      </c>
      <c r="I24" s="79" t="n"/>
      <c r="J24" s="79" t="n"/>
      <c r="K24" s="79" t="n"/>
      <c r="L24" s="79" t="n"/>
      <c r="M24" s="79" t="n"/>
      <c r="N24" s="79" t="n"/>
      <c r="O24" s="79" t="n"/>
      <c r="P24" s="79" t="n"/>
      <c r="Q24" s="79" t="n"/>
      <c r="R24" s="79" t="n"/>
      <c r="S24" s="79" t="n"/>
      <c r="T24" s="195" t="n"/>
    </row>
    <row r="25" ht="13.5" customHeight="1" s="426">
      <c r="A25" s="171" t="n"/>
      <c r="B25" s="75" t="n"/>
      <c r="C25" s="76" t="n"/>
      <c r="D25" s="77" t="inlineStr">
        <is>
          <t>"Support role"</t>
        </is>
      </c>
      <c r="E25" s="81" t="n"/>
      <c r="F25" s="79" t="n"/>
      <c r="G25" s="79" t="n"/>
      <c r="H25" s="79" t="n"/>
      <c r="I25" s="79" t="n"/>
      <c r="J25" s="148" t="inlineStr">
        <is>
          <t>O</t>
        </is>
      </c>
      <c r="K25" s="79" t="n"/>
      <c r="L25" s="79" t="n"/>
      <c r="M25" s="79" t="n"/>
      <c r="N25" s="79" t="n"/>
      <c r="O25" s="79" t="n"/>
      <c r="P25" s="79" t="n"/>
      <c r="Q25" s="79" t="n"/>
      <c r="R25" s="79" t="n"/>
      <c r="S25" s="79" t="n"/>
      <c r="T25" s="195" t="n"/>
    </row>
    <row r="26" ht="13.5" customHeight="1" s="426">
      <c r="A26" s="171" t="n"/>
      <c r="B26" s="75" t="n"/>
      <c r="C26" s="76" t="n"/>
      <c r="D26" s="77" t="inlineStr">
        <is>
          <t>"Test for exception scenario"</t>
        </is>
      </c>
      <c r="E26" s="81" t="n"/>
      <c r="F26" s="79" t="n"/>
      <c r="G26" s="79" t="n"/>
      <c r="H26" s="79" t="n"/>
      <c r="I26" s="79" t="n"/>
      <c r="J26" s="79" t="n"/>
      <c r="K26" s="148" t="inlineStr">
        <is>
          <t>O</t>
        </is>
      </c>
      <c r="L26" s="79" t="n"/>
      <c r="M26" s="79" t="n"/>
      <c r="N26" s="79" t="n"/>
      <c r="O26" s="79" t="n"/>
      <c r="P26" s="79" t="n"/>
      <c r="Q26" s="79" t="n"/>
      <c r="R26" s="79" t="n"/>
      <c r="S26" s="79" t="n"/>
      <c r="T26" s="195" t="n"/>
    </row>
    <row r="27" ht="13.5" customHeight="1" s="426">
      <c r="A27" s="171" t="n"/>
      <c r="B27" s="75" t="n"/>
      <c r="C27" s="76" t="n"/>
      <c r="D27" s="77" t="inlineStr">
        <is>
          <t>"Role with no explicit permissions"</t>
        </is>
      </c>
      <c r="E27" s="81" t="n"/>
      <c r="F27" s="79" t="n"/>
      <c r="G27" s="79" t="n"/>
      <c r="H27" s="79" t="n"/>
      <c r="I27" s="79" t="n"/>
      <c r="J27" s="79" t="n"/>
      <c r="K27" s="79" t="n"/>
      <c r="L27" s="148" t="inlineStr">
        <is>
          <t>O</t>
        </is>
      </c>
      <c r="M27" s="79" t="n"/>
      <c r="N27" s="79" t="n"/>
      <c r="O27" s="79" t="n"/>
      <c r="P27" s="79" t="n"/>
      <c r="Q27" s="79" t="n"/>
      <c r="R27" s="79" t="n"/>
      <c r="S27" s="79" t="n"/>
      <c r="T27" s="195" t="n"/>
    </row>
    <row r="28" ht="13.5" customHeight="1" s="426">
      <c r="A28" s="171" t="n"/>
      <c r="B28" s="75" t="n"/>
      <c r="C28" s="76" t="n"/>
      <c r="D28" s="77" t="inlineStr">
        <is>
          <t>50 characters string</t>
        </is>
      </c>
      <c r="E28" s="81" t="n"/>
      <c r="F28" s="79" t="n"/>
      <c r="G28" s="79" t="n"/>
      <c r="H28" s="79" t="n"/>
      <c r="I28" s="79" t="n"/>
      <c r="J28" s="79" t="n"/>
      <c r="K28" s="148" t="n"/>
      <c r="L28" s="79" t="n"/>
      <c r="M28" s="79" t="n"/>
      <c r="N28" s="79" t="n"/>
      <c r="O28" s="148" t="inlineStr">
        <is>
          <t>O</t>
        </is>
      </c>
      <c r="P28" s="79" t="n"/>
      <c r="Q28" s="79" t="n"/>
      <c r="R28" s="79" t="n"/>
      <c r="S28" s="79" t="n"/>
      <c r="T28" s="195" t="n"/>
    </row>
    <row r="29" ht="13.5" customHeight="1" s="426">
      <c r="A29" s="171" t="n"/>
      <c r="B29" s="75" t="n"/>
      <c r="C29" s="76" t="n"/>
      <c r="D29" s="77" t="inlineStr">
        <is>
          <t>51 characters string</t>
        </is>
      </c>
      <c r="E29" s="81" t="n"/>
      <c r="F29" s="79" t="n"/>
      <c r="G29" s="79" t="n"/>
      <c r="H29" s="79" t="n"/>
      <c r="I29" s="79" t="n"/>
      <c r="J29" s="79" t="n"/>
      <c r="K29" s="79" t="n"/>
      <c r="L29" s="148" t="n"/>
      <c r="M29" s="79" t="n"/>
      <c r="N29" s="79" t="n"/>
      <c r="O29" s="79" t="n"/>
      <c r="P29" s="148" t="inlineStr">
        <is>
          <t>O</t>
        </is>
      </c>
      <c r="Q29" s="79" t="n"/>
      <c r="R29" s="79" t="n"/>
      <c r="S29" s="79" t="n"/>
      <c r="T29" s="195" t="n"/>
    </row>
    <row r="30" ht="13.5" customHeight="1" s="426">
      <c r="A30" s="171" t="n"/>
      <c r="B30" s="75" t="inlineStr">
        <is>
          <t>Permissions</t>
        </is>
      </c>
      <c r="C30" s="76" t="n"/>
      <c r="D30" s="77" t="n"/>
      <c r="E30" s="81" t="n"/>
      <c r="F30" s="79" t="n"/>
      <c r="G30" s="79" t="n"/>
      <c r="H30" s="79" t="n"/>
      <c r="I30" s="79" t="n"/>
      <c r="J30" s="79" t="n"/>
      <c r="K30" s="79" t="n"/>
      <c r="L30" s="79" t="n"/>
      <c r="M30" s="79" t="n"/>
      <c r="N30" s="79" t="n"/>
      <c r="O30" s="79" t="n"/>
      <c r="P30" s="79" t="n"/>
      <c r="Q30" s="79" t="n"/>
      <c r="R30" s="79" t="n"/>
      <c r="S30" s="79" t="n"/>
      <c r="T30" s="195" t="n"/>
    </row>
    <row r="31" ht="13.5" customHeight="1" s="426">
      <c r="A31" s="171" t="n"/>
      <c r="B31" s="75" t="n"/>
      <c r="C31" s="76" t="n"/>
      <c r="D31" s="77" t="inlineStr">
        <is>
          <t>{ 101, 102 }</t>
        </is>
      </c>
      <c r="E31" s="81" t="n"/>
      <c r="F31" s="148" t="inlineStr">
        <is>
          <t>O</t>
        </is>
      </c>
      <c r="G31" s="79" t="n"/>
      <c r="H31" s="79" t="n"/>
      <c r="I31" s="79" t="n"/>
      <c r="J31" s="79" t="n"/>
      <c r="K31" s="79" t="n"/>
      <c r="L31" s="79" t="n"/>
      <c r="M31" s="148" t="inlineStr">
        <is>
          <t>O</t>
        </is>
      </c>
      <c r="N31" s="148" t="inlineStr">
        <is>
          <t>O</t>
        </is>
      </c>
      <c r="O31" s="148" t="inlineStr">
        <is>
          <t>O</t>
        </is>
      </c>
      <c r="P31" s="148" t="inlineStr">
        <is>
          <t>O</t>
        </is>
      </c>
      <c r="Q31" s="79" t="n"/>
      <c r="R31" s="79" t="n"/>
      <c r="S31" s="79" t="n"/>
      <c r="T31" s="195" t="n"/>
    </row>
    <row r="32" ht="13.5" customHeight="1" s="426">
      <c r="A32" s="171" t="n"/>
      <c r="B32" s="75" t="n"/>
      <c r="C32" s="76" t="n"/>
      <c r="D32" s="77" t="inlineStr">
        <is>
          <t>null</t>
        </is>
      </c>
      <c r="E32" s="81" t="n"/>
      <c r="F32" s="79" t="n"/>
      <c r="G32" s="148" t="inlineStr">
        <is>
          <t>O</t>
        </is>
      </c>
      <c r="H32" s="79" t="n"/>
      <c r="I32" s="79" t="n"/>
      <c r="J32" s="79" t="n"/>
      <c r="K32" s="79" t="n"/>
      <c r="L32" s="79" t="n"/>
      <c r="M32" s="79" t="n"/>
      <c r="N32" s="79" t="n"/>
      <c r="O32" s="79" t="n"/>
      <c r="P32" s="79" t="n"/>
      <c r="Q32" s="79" t="n"/>
      <c r="R32" s="79" t="n"/>
      <c r="S32" s="79" t="n"/>
      <c r="T32" s="195" t="n"/>
    </row>
    <row r="33" ht="13.5" customHeight="1" s="426">
      <c r="A33" s="171" t="n"/>
      <c r="B33" s="75" t="n"/>
      <c r="C33" s="76" t="n"/>
      <c r="D33" s="77" t="inlineStr">
        <is>
          <t>{ 101 }</t>
        </is>
      </c>
      <c r="E33" s="81" t="n"/>
      <c r="F33" s="79" t="n"/>
      <c r="G33" s="79" t="n"/>
      <c r="H33" s="148" t="inlineStr">
        <is>
          <t>O</t>
        </is>
      </c>
      <c r="I33" s="148" t="inlineStr">
        <is>
          <t>O</t>
        </is>
      </c>
      <c r="J33" s="79" t="n"/>
      <c r="K33" s="79" t="n"/>
      <c r="L33" s="79" t="n"/>
      <c r="M33" s="79" t="n"/>
      <c r="N33" s="79" t="n"/>
      <c r="O33" s="79" t="n"/>
      <c r="P33" s="79" t="n"/>
      <c r="Q33" s="79" t="n"/>
      <c r="R33" s="79" t="n"/>
      <c r="S33" s="79" t="n"/>
      <c r="T33" s="195" t="n"/>
    </row>
    <row r="34" ht="13.5" customHeight="1" s="426">
      <c r="A34" s="171" t="n"/>
      <c r="B34" s="75" t="n"/>
      <c r="C34" s="76" t="n"/>
      <c r="D34" s="77" t="inlineStr">
        <is>
          <t>{ 301, 302 }</t>
        </is>
      </c>
      <c r="E34" s="81" t="n"/>
      <c r="F34" s="79" t="n"/>
      <c r="G34" s="79" t="n"/>
      <c r="H34" s="79" t="n"/>
      <c r="I34" s="79" t="n"/>
      <c r="J34" s="148" t="inlineStr">
        <is>
          <t>O</t>
        </is>
      </c>
      <c r="K34" s="79" t="n"/>
      <c r="L34" s="79" t="n"/>
      <c r="M34" s="79" t="n"/>
      <c r="N34" s="79" t="n"/>
      <c r="O34" s="79" t="n"/>
      <c r="P34" s="79" t="n"/>
      <c r="Q34" s="79" t="n"/>
      <c r="R34" s="79" t="n"/>
      <c r="S34" s="79" t="n"/>
      <c r="T34" s="195" t="n"/>
    </row>
    <row r="35" ht="13.5" customHeight="1" s="426">
      <c r="A35" s="171" t="n"/>
      <c r="B35" s="75" t="n"/>
      <c r="C35" s="76" t="n"/>
      <c r="D35" s="77" t="inlineStr">
        <is>
          <t>{ 999 }</t>
        </is>
      </c>
      <c r="E35" s="81" t="n"/>
      <c r="F35" s="79" t="n"/>
      <c r="G35" s="79" t="n"/>
      <c r="H35" s="79" t="n"/>
      <c r="I35" s="79" t="n"/>
      <c r="J35" s="79" t="n"/>
      <c r="K35" s="148" t="inlineStr">
        <is>
          <t>O</t>
        </is>
      </c>
      <c r="L35" s="79" t="n"/>
      <c r="M35" s="79" t="n"/>
      <c r="N35" s="79" t="n"/>
      <c r="O35" s="79" t="n"/>
      <c r="P35" s="79" t="n"/>
      <c r="Q35" s="79" t="n"/>
      <c r="R35" s="79" t="n"/>
      <c r="S35" s="79" t="n"/>
      <c r="T35" s="195" t="n"/>
    </row>
    <row r="36" ht="13.5" customHeight="1" s="426" thickBot="1">
      <c r="A36" s="171" t="n"/>
      <c r="B36" s="75" t="n"/>
      <c r="C36" s="76" t="n"/>
      <c r="D36" s="77" t="inlineStr">
        <is>
          <t>{}</t>
        </is>
      </c>
      <c r="E36" s="81" t="n"/>
      <c r="F36" s="79" t="n"/>
      <c r="G36" s="79" t="n"/>
      <c r="H36" s="79" t="n"/>
      <c r="I36" s="79" t="n"/>
      <c r="J36" s="79" t="n"/>
      <c r="K36" s="79" t="n"/>
      <c r="L36" s="148" t="inlineStr">
        <is>
          <t>O</t>
        </is>
      </c>
      <c r="M36" s="79" t="n"/>
      <c r="N36" s="79" t="n"/>
      <c r="O36" s="79" t="n"/>
      <c r="P36" s="79" t="n"/>
      <c r="Q36" s="79" t="n"/>
      <c r="R36" s="79" t="n"/>
      <c r="S36" s="79" t="n"/>
      <c r="T36" s="195" t="n"/>
    </row>
    <row r="37" ht="13.5" customHeight="1" s="426">
      <c r="A37" s="182" t="inlineStr">
        <is>
          <t>Confirm</t>
        </is>
      </c>
      <c r="B37" s="208" t="inlineStr">
        <is>
          <t>Return</t>
        </is>
      </c>
      <c r="C37" s="239" t="n"/>
      <c r="D37" s="210" t="n"/>
      <c r="E37" s="86" t="n"/>
      <c r="F37" s="87" t="n"/>
      <c r="G37" s="87" t="n"/>
      <c r="H37" s="87" t="n"/>
      <c r="I37" s="87" t="n"/>
      <c r="J37" s="87" t="n"/>
      <c r="K37" s="87" t="n"/>
      <c r="L37" s="87" t="n"/>
      <c r="M37" s="87" t="n"/>
      <c r="N37" s="87" t="n"/>
      <c r="O37" s="87" t="n"/>
      <c r="P37" s="87" t="n"/>
      <c r="Q37" s="87" t="n"/>
      <c r="R37" s="87" t="n"/>
      <c r="S37" s="87" t="n"/>
      <c r="T37" s="196" t="n"/>
    </row>
    <row r="38" ht="13.5" customHeight="1" s="426">
      <c r="A38" s="181" t="n"/>
      <c r="B38" s="208" t="n"/>
      <c r="C38" s="209" t="n"/>
      <c r="D38" s="210" t="inlineStr">
        <is>
          <t>T</t>
        </is>
      </c>
      <c r="E38" s="91" t="n"/>
      <c r="F38" s="148" t="inlineStr">
        <is>
          <t>O</t>
        </is>
      </c>
      <c r="G38" s="79" t="n"/>
      <c r="H38" s="79" t="n"/>
      <c r="I38" s="79" t="n"/>
      <c r="J38" s="79" t="n"/>
      <c r="K38" s="79" t="n"/>
      <c r="L38" s="79" t="n"/>
      <c r="M38" s="148" t="inlineStr">
        <is>
          <t>O</t>
        </is>
      </c>
      <c r="N38" s="79" t="n"/>
      <c r="O38" s="148" t="inlineStr">
        <is>
          <t>O</t>
        </is>
      </c>
      <c r="P38" s="79" t="n"/>
      <c r="Q38" s="79" t="n"/>
      <c r="R38" s="79" t="n"/>
      <c r="S38" s="79" t="n"/>
      <c r="T38" s="195" t="n"/>
    </row>
    <row r="39" ht="13.5" customHeight="1" s="426">
      <c r="A39" s="181" t="n"/>
      <c r="B39" s="126" t="n"/>
      <c r="C39" s="89" t="n"/>
      <c r="D39" s="90" t="inlineStr">
        <is>
          <t>F</t>
        </is>
      </c>
      <c r="E39" s="91" t="n"/>
      <c r="F39" s="79" t="n"/>
      <c r="G39" s="148" t="inlineStr">
        <is>
          <t>O</t>
        </is>
      </c>
      <c r="H39" s="148" t="inlineStr">
        <is>
          <t>O</t>
        </is>
      </c>
      <c r="I39" s="148" t="inlineStr">
        <is>
          <t>O</t>
        </is>
      </c>
      <c r="J39" s="148" t="inlineStr">
        <is>
          <t>O</t>
        </is>
      </c>
      <c r="K39" s="79" t="n"/>
      <c r="L39" s="148" t="inlineStr">
        <is>
          <t>O</t>
        </is>
      </c>
      <c r="M39" s="79" t="n"/>
      <c r="N39" s="148" t="inlineStr">
        <is>
          <t>O</t>
        </is>
      </c>
      <c r="O39" s="79" t="n"/>
      <c r="P39" s="148" t="inlineStr">
        <is>
          <t>O</t>
        </is>
      </c>
      <c r="Q39" s="79" t="n"/>
      <c r="R39" s="79" t="n"/>
      <c r="S39" s="79" t="n"/>
      <c r="T39" s="195" t="n"/>
    </row>
    <row r="40" ht="13.5" customHeight="1" s="426">
      <c r="A40" s="181" t="n"/>
      <c r="B40" s="116" t="inlineStr">
        <is>
          <t>Exception</t>
        </is>
      </c>
      <c r="C40" s="120" t="n"/>
      <c r="D40" s="118" t="n"/>
      <c r="E40" s="91" t="n"/>
      <c r="F40" s="79" t="n"/>
      <c r="G40" s="79" t="n"/>
      <c r="H40" s="79" t="n"/>
      <c r="I40" s="79" t="n"/>
      <c r="J40" s="79" t="n"/>
      <c r="K40" s="79" t="n"/>
      <c r="L40" s="79" t="n"/>
      <c r="M40" s="79" t="n"/>
      <c r="N40" s="79" t="n"/>
      <c r="O40" s="79" t="n"/>
      <c r="P40" s="79" t="n"/>
      <c r="Q40" s="79" t="n"/>
      <c r="R40" s="79" t="n"/>
      <c r="S40" s="79" t="n"/>
      <c r="T40" s="195" t="n"/>
    </row>
    <row r="41" ht="13.5" customHeight="1" s="426">
      <c r="A41" s="181" t="n"/>
      <c r="B41" s="116" t="n"/>
      <c r="C41" s="120" t="n"/>
      <c r="D41" s="118" t="inlineStr">
        <is>
          <t>InvalidOperationException</t>
        </is>
      </c>
      <c r="E41" s="91" t="n"/>
      <c r="F41" s="79" t="n"/>
      <c r="G41" s="79" t="n"/>
      <c r="H41" s="79" t="n"/>
      <c r="I41" s="148" t="n"/>
      <c r="J41" s="79" t="n"/>
      <c r="K41" s="148" t="inlineStr">
        <is>
          <t>O</t>
        </is>
      </c>
      <c r="L41" s="79" t="n"/>
      <c r="M41" s="79" t="n"/>
      <c r="N41" s="79" t="n"/>
      <c r="O41" s="79" t="n"/>
      <c r="P41" s="79" t="n"/>
      <c r="Q41" s="79" t="n"/>
      <c r="R41" s="79" t="n"/>
      <c r="S41" s="79" t="n"/>
      <c r="T41" s="195" t="n"/>
    </row>
    <row r="42" ht="13.5" customHeight="1" s="426">
      <c r="A42" s="181" t="n"/>
      <c r="B42" s="88" t="inlineStr">
        <is>
          <t>Log message</t>
        </is>
      </c>
      <c r="C42" s="89" t="n"/>
      <c r="D42" s="90" t="n"/>
      <c r="E42" s="91" t="n"/>
      <c r="F42" s="79" t="n"/>
      <c r="G42" s="79" t="n"/>
      <c r="H42" s="79" t="n"/>
      <c r="I42" s="79" t="n"/>
      <c r="J42" s="79" t="n"/>
      <c r="K42" s="79" t="n"/>
      <c r="L42" s="79" t="n"/>
      <c r="M42" s="79" t="n"/>
      <c r="N42" s="79" t="n"/>
      <c r="O42" s="79" t="n"/>
      <c r="P42" s="79" t="n"/>
      <c r="Q42" s="79" t="n"/>
      <c r="R42" s="79" t="n"/>
      <c r="S42" s="79" t="n"/>
      <c r="T42" s="195" t="n"/>
    </row>
    <row r="43" ht="13.5" customHeight="1" s="426">
      <c r="A43" s="181" t="n"/>
      <c r="B43" s="88" t="n"/>
      <c r="C43" s="89" t="n"/>
      <c r="D43" s="90" t="inlineStr">
        <is>
          <t>"Expected AddNewRole to return true for a valid role."</t>
        </is>
      </c>
      <c r="E43" s="91" t="n"/>
      <c r="F43" s="148" t="inlineStr">
        <is>
          <t>O</t>
        </is>
      </c>
      <c r="G43" s="79" t="n"/>
      <c r="H43" s="79" t="n"/>
      <c r="I43" s="79" t="n"/>
      <c r="J43" s="79" t="n"/>
      <c r="K43" s="79" t="n"/>
      <c r="L43" s="79" t="n"/>
      <c r="M43" s="79" t="n"/>
      <c r="N43" s="79" t="n"/>
      <c r="O43" s="79" t="n"/>
      <c r="P43" s="79" t="n"/>
      <c r="Q43" s="79" t="n"/>
      <c r="R43" s="79" t="n"/>
      <c r="S43" s="79" t="n"/>
      <c r="T43" s="195" t="n"/>
    </row>
    <row r="44" ht="13.5" customHeight="1" s="426">
      <c r="A44" s="181" t="n"/>
      <c r="B44" s="88" t="n"/>
      <c r="C44" s="89" t="n"/>
      <c r="D44" s="90" t="inlineStr">
        <is>
          <t>"Expected false for a null role DTO."</t>
        </is>
      </c>
      <c r="E44" s="91" t="n"/>
      <c r="F44" s="79" t="n"/>
      <c r="G44" s="148" t="inlineStr">
        <is>
          <t>O</t>
        </is>
      </c>
      <c r="H44" s="79" t="n"/>
      <c r="I44" s="79" t="n"/>
      <c r="J44" s="79" t="n"/>
      <c r="K44" s="79" t="n"/>
      <c r="L44" s="79" t="n"/>
      <c r="M44" s="79" t="n"/>
      <c r="N44" s="79" t="n"/>
      <c r="O44" s="79" t="n"/>
      <c r="P44" s="79" t="n"/>
      <c r="Q44" s="79" t="n"/>
      <c r="R44" s="79" t="n"/>
      <c r="S44" s="79" t="n"/>
      <c r="T44" s="195" t="n"/>
    </row>
    <row r="45" ht="13.5" customHeight="1" s="426">
      <c r="A45" s="181" t="n"/>
      <c r="B45" s="88" t="n"/>
      <c r="C45" s="89" t="n"/>
      <c r="D45" s="90" t="inlineStr">
        <is>
          <t>"Expected false when RoleName is empty."</t>
        </is>
      </c>
      <c r="E45" s="91" t="n"/>
      <c r="F45" s="79" t="n"/>
      <c r="G45" s="79" t="n"/>
      <c r="H45" s="148" t="inlineStr">
        <is>
          <t>O</t>
        </is>
      </c>
      <c r="I45" s="79" t="n"/>
      <c r="J45" s="79" t="n"/>
      <c r="K45" s="79" t="n"/>
      <c r="L45" s="79" t="n"/>
      <c r="M45" s="79" t="n"/>
      <c r="N45" s="79" t="n"/>
      <c r="O45" s="79" t="n"/>
      <c r="P45" s="79" t="n"/>
      <c r="Q45" s="79" t="n"/>
      <c r="R45" s="79" t="n"/>
      <c r="S45" s="79" t="n"/>
      <c r="T45" s="195" t="n"/>
    </row>
    <row r="46" ht="13.5" customHeight="1" s="426">
      <c r="A46" s="181" t="n"/>
      <c r="B46" s="88" t="n"/>
      <c r="C46" s="89" t="n"/>
      <c r="D46" s="90" t="inlineStr">
        <is>
          <t>"Expected false when RoleDescription is empty."</t>
        </is>
      </c>
      <c r="E46" s="91" t="n"/>
      <c r="F46" s="79" t="n"/>
      <c r="G46" s="79" t="n"/>
      <c r="H46" s="79" t="n"/>
      <c r="I46" s="148" t="inlineStr">
        <is>
          <t>O</t>
        </is>
      </c>
      <c r="J46" s="79" t="n"/>
      <c r="K46" s="79" t="n"/>
      <c r="L46" s="79" t="n"/>
      <c r="M46" s="79" t="n"/>
      <c r="N46" s="79" t="n"/>
      <c r="O46" s="79" t="n"/>
      <c r="P46" s="79" t="n"/>
      <c r="Q46" s="79" t="n"/>
      <c r="R46" s="79" t="n"/>
      <c r="S46" s="79" t="n"/>
      <c r="T46" s="195" t="n"/>
    </row>
    <row r="47" ht="13.5" customHeight="1" s="426">
      <c r="A47" s="181" t="n"/>
      <c r="B47" s="88" t="n"/>
      <c r="C47" s="92" t="n"/>
      <c r="D47" s="90" t="inlineStr">
        <is>
          <t>"Expected false because permissions failed to insert."</t>
        </is>
      </c>
      <c r="E47" s="93" t="n"/>
      <c r="F47" s="148" t="n"/>
      <c r="G47" s="79" t="n"/>
      <c r="H47" s="79" t="n"/>
      <c r="I47" s="79" t="n"/>
      <c r="J47" s="148" t="inlineStr">
        <is>
          <t>O</t>
        </is>
      </c>
      <c r="K47" s="79" t="n"/>
      <c r="L47" s="79" t="n"/>
      <c r="M47" s="79" t="n"/>
      <c r="N47" s="79" t="n"/>
      <c r="O47" s="79" t="n"/>
      <c r="P47" s="79" t="n"/>
      <c r="Q47" s="79" t="n"/>
      <c r="R47" s="79" t="n"/>
      <c r="S47" s="79" t="n"/>
      <c r="T47" s="195" t="n"/>
    </row>
    <row r="48" ht="13.5" customHeight="1" s="426">
      <c r="A48" s="181" t="n"/>
      <c r="B48" s="88" t="n"/>
      <c r="C48" s="92" t="n"/>
      <c r="D48" s="90" t="inlineStr">
        <is>
          <t>"Simulated DB error"</t>
        </is>
      </c>
      <c r="E48" s="93" t="n"/>
      <c r="F48" s="79" t="n"/>
      <c r="G48" s="148" t="n"/>
      <c r="H48" s="79" t="n"/>
      <c r="I48" s="79" t="n"/>
      <c r="J48" s="79" t="n"/>
      <c r="K48" s="148" t="inlineStr">
        <is>
          <t>O</t>
        </is>
      </c>
      <c r="L48" s="79" t="n"/>
      <c r="M48" s="79" t="n"/>
      <c r="N48" s="79" t="n"/>
      <c r="O48" s="79" t="n"/>
      <c r="P48" s="79" t="n"/>
      <c r="Q48" s="79" t="n"/>
      <c r="R48" s="79" t="n"/>
      <c r="S48" s="79" t="n"/>
      <c r="T48" s="195" t="n"/>
    </row>
    <row r="49" ht="13.5" customHeight="1" s="426" thickBot="1">
      <c r="A49" s="181" t="n"/>
      <c r="B49" s="88" t="n"/>
      <c r="C49" s="92" t="n"/>
      <c r="D49" s="90" t="inlineStr">
        <is>
          <t>"Expected false when a role can have zero permissions."</t>
        </is>
      </c>
      <c r="E49" s="93" t="n"/>
      <c r="F49" s="79" t="n"/>
      <c r="G49" s="79" t="n"/>
      <c r="H49" s="148" t="n"/>
      <c r="I49" s="79" t="n"/>
      <c r="J49" s="79" t="n"/>
      <c r="K49" s="79" t="n"/>
      <c r="L49" s="148" t="inlineStr">
        <is>
          <t>O</t>
        </is>
      </c>
      <c r="M49" s="79" t="n"/>
      <c r="N49" s="79" t="n"/>
      <c r="O49" s="79" t="n"/>
      <c r="P49" s="79" t="n"/>
      <c r="Q49" s="79" t="n"/>
      <c r="R49" s="79" t="n"/>
      <c r="S49" s="79" t="n"/>
      <c r="T49" s="195" t="n"/>
    </row>
    <row r="50" ht="13.5" customHeight="1" s="426" thickTop="1">
      <c r="A50" s="182" t="inlineStr">
        <is>
          <t>Result</t>
        </is>
      </c>
      <c r="B50" s="331" t="inlineStr">
        <is>
          <t>Type(N : Normal, A : Abnormal, B : Boundary)</t>
        </is>
      </c>
      <c r="C50" s="472" t="n"/>
      <c r="D50" s="473" t="n"/>
      <c r="E50" s="331" t="n"/>
      <c r="F50" s="188" t="inlineStr">
        <is>
          <t>N</t>
        </is>
      </c>
      <c r="G50" s="188" t="inlineStr">
        <is>
          <t>A</t>
        </is>
      </c>
      <c r="H50" s="188" t="inlineStr">
        <is>
          <t>A</t>
        </is>
      </c>
      <c r="I50" s="188" t="inlineStr">
        <is>
          <t>A</t>
        </is>
      </c>
      <c r="J50" s="188" t="inlineStr">
        <is>
          <t>A</t>
        </is>
      </c>
      <c r="K50" s="188" t="inlineStr">
        <is>
          <t>A</t>
        </is>
      </c>
      <c r="L50" s="188" t="inlineStr">
        <is>
          <t>A</t>
        </is>
      </c>
      <c r="M50" s="188" t="inlineStr">
        <is>
          <t>B</t>
        </is>
      </c>
      <c r="N50" s="188" t="inlineStr">
        <is>
          <t>B</t>
        </is>
      </c>
      <c r="O50" s="188" t="inlineStr">
        <is>
          <t>B</t>
        </is>
      </c>
      <c r="P50" s="188" t="inlineStr">
        <is>
          <t>B</t>
        </is>
      </c>
      <c r="Q50" s="188" t="n"/>
      <c r="R50" s="188" t="n"/>
      <c r="S50" s="188" t="n"/>
      <c r="T50" s="198" t="n"/>
    </row>
    <row r="51" ht="13.5" customHeight="1" s="426">
      <c r="A51" s="174" t="n"/>
      <c r="B51" s="320" t="inlineStr">
        <is>
          <t>Passed/Failed</t>
        </is>
      </c>
      <c r="C51" s="449" t="n"/>
      <c r="D51" s="450" t="n"/>
      <c r="E51" s="95" t="n"/>
      <c r="F51" s="94" t="inlineStr">
        <is>
          <t>P</t>
        </is>
      </c>
      <c r="G51" s="94" t="inlineStr">
        <is>
          <t>P</t>
        </is>
      </c>
      <c r="H51" s="94" t="inlineStr">
        <is>
          <t>P</t>
        </is>
      </c>
      <c r="I51" s="94" t="inlineStr">
        <is>
          <t>P</t>
        </is>
      </c>
      <c r="J51" s="94" t="inlineStr">
        <is>
          <t>P</t>
        </is>
      </c>
      <c r="K51" s="94" t="inlineStr">
        <is>
          <t>P</t>
        </is>
      </c>
      <c r="L51" s="94" t="inlineStr">
        <is>
          <t>P</t>
        </is>
      </c>
      <c r="M51" s="94" t="inlineStr">
        <is>
          <t>P</t>
        </is>
      </c>
      <c r="N51" s="94" t="inlineStr">
        <is>
          <t>P</t>
        </is>
      </c>
      <c r="O51" s="94" t="inlineStr">
        <is>
          <t>P</t>
        </is>
      </c>
      <c r="P51" s="94" t="inlineStr">
        <is>
          <t>P</t>
        </is>
      </c>
      <c r="Q51" s="94" t="n"/>
      <c r="R51" s="94" t="n"/>
      <c r="S51" s="94" t="n"/>
      <c r="T51" s="199" t="n"/>
    </row>
    <row r="52" ht="71.5" customHeight="1" s="426">
      <c r="A52" s="174" t="n"/>
      <c r="B52" s="329" t="inlineStr">
        <is>
          <t>Executed Date</t>
        </is>
      </c>
      <c r="C52" s="449" t="n"/>
      <c r="D52" s="450" t="n"/>
      <c r="E52" s="96" t="n"/>
      <c r="F52" s="97" t="n">
        <v>45695</v>
      </c>
      <c r="G52" s="97" t="n">
        <v>45695</v>
      </c>
      <c r="H52" s="97" t="n">
        <v>45695</v>
      </c>
      <c r="I52" s="97" t="n">
        <v>45695</v>
      </c>
      <c r="J52" s="97" t="n">
        <v>45695</v>
      </c>
      <c r="K52" s="97" t="n">
        <v>45695</v>
      </c>
      <c r="L52" s="97" t="n">
        <v>45695</v>
      </c>
      <c r="M52" s="97" t="n">
        <v>45695</v>
      </c>
      <c r="N52" s="97" t="n">
        <v>45695</v>
      </c>
      <c r="O52" s="97" t="n">
        <v>45695</v>
      </c>
      <c r="P52" s="97" t="n">
        <v>45695</v>
      </c>
      <c r="Q52" s="97" t="n"/>
      <c r="R52" s="97" t="n"/>
      <c r="S52" s="97" t="n"/>
      <c r="T52" s="176" t="n"/>
    </row>
    <row r="53" ht="10.5" customHeight="1" s="426" thickBot="1">
      <c r="A53" s="177" t="n"/>
      <c r="B53" s="330" t="inlineStr">
        <is>
          <t>Defect ID</t>
        </is>
      </c>
      <c r="C53" s="474" t="n"/>
      <c r="D53" s="475" t="n"/>
      <c r="E53" s="178" t="n"/>
      <c r="F53" s="179" t="n"/>
      <c r="G53" s="179" t="n"/>
      <c r="H53" s="179" t="n"/>
      <c r="I53" s="179" t="n"/>
      <c r="J53" s="179" t="n"/>
      <c r="K53" s="179" t="n"/>
      <c r="L53" s="179" t="n"/>
      <c r="M53" s="179" t="n"/>
      <c r="N53" s="179" t="n"/>
      <c r="O53" s="179" t="n"/>
      <c r="P53" s="179" t="n"/>
      <c r="Q53" s="179" t="n"/>
      <c r="R53" s="179" t="n"/>
      <c r="S53" s="179" t="n"/>
      <c r="T53" s="180" t="n"/>
    </row>
    <row r="54" ht="10.5" customHeight="1" s="426" thickTop="1">
      <c r="A54" s="73" t="n"/>
      <c r="B54" s="69" t="n"/>
      <c r="C54" s="413" t="n"/>
      <c r="D54" s="69"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O7:T7"/>
    <mergeCell ref="F4:K4"/>
    <mergeCell ref="C6:E6"/>
    <mergeCell ref="A4:B4"/>
    <mergeCell ref="L2:T2"/>
    <mergeCell ref="O6:T6"/>
    <mergeCell ref="F6:K6"/>
    <mergeCell ref="B52:D52"/>
    <mergeCell ref="F7:K7"/>
    <mergeCell ref="C5:T5"/>
    <mergeCell ref="L3:T3"/>
    <mergeCell ref="F3:K3"/>
  </mergeCells>
  <dataValidations count="3">
    <dataValidation sqref="F51:T51" showDropDown="0" showInputMessage="1" showErrorMessage="1" allowBlank="1" type="list">
      <formula1>"P,F, "</formula1>
    </dataValidation>
    <dataValidation sqref="F50:T50" showDropDown="0" showInputMessage="1" showErrorMessage="1" allowBlank="1" type="list">
      <formula1>"N,A,B, "</formula1>
    </dataValidation>
    <dataValidation sqref="F10:T49"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V55"/>
  <sheetViews>
    <sheetView topLeftCell="A29" zoomScale="115" zoomScaleNormal="115" workbookViewId="0">
      <selection activeCell="W6" sqref="W6"/>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Role - 4</t>
        </is>
      </c>
      <c r="D2" s="439" t="n"/>
      <c r="E2" s="441" t="n"/>
      <c r="F2" s="410" t="inlineStr">
        <is>
          <t>Function Name</t>
        </is>
      </c>
      <c r="G2" s="496" t="n"/>
      <c r="H2" s="496" t="n"/>
      <c r="I2" s="496" t="n"/>
      <c r="J2" s="496" t="n"/>
      <c r="K2" s="496" t="n"/>
      <c r="L2" s="443" t="inlineStr">
        <is>
          <t>Update Role</t>
        </is>
      </c>
      <c r="M2" s="439" t="n"/>
      <c r="N2" s="439" t="n"/>
      <c r="O2" s="439" t="n"/>
      <c r="P2" s="439" t="n"/>
      <c r="Q2" s="439" t="n"/>
      <c r="R2" s="439" t="n"/>
      <c r="S2" s="439" t="n"/>
      <c r="T2" s="444" t="n"/>
      <c r="V2" s="71" t="n"/>
    </row>
    <row r="3" ht="13.5" customHeight="1" s="426">
      <c r="A3" s="445" t="inlineStr">
        <is>
          <t>Created By</t>
        </is>
      </c>
      <c r="B3" s="428" t="n"/>
      <c r="C3" s="446" t="inlineStr">
        <is>
          <t>Nguyễn Chí Hậu</t>
        </is>
      </c>
      <c r="D3" s="433" t="n"/>
      <c r="E3" s="447" t="n"/>
      <c r="F3" s="448" t="inlineStr">
        <is>
          <t>Executed By</t>
        </is>
      </c>
      <c r="G3" s="449" t="n"/>
      <c r="H3" s="449" t="n"/>
      <c r="I3" s="449" t="n"/>
      <c r="J3" s="449" t="n"/>
      <c r="K3" s="450" t="n"/>
      <c r="L3" s="453" t="inlineStr">
        <is>
          <t>Nguyễn Chí Hậu</t>
        </is>
      </c>
      <c r="M3" s="454" t="n"/>
      <c r="N3" s="454" t="n"/>
      <c r="O3" s="454" t="n"/>
      <c r="P3" s="454" t="n"/>
      <c r="Q3" s="454" t="n"/>
      <c r="R3" s="454" t="n"/>
      <c r="S3" s="454" t="n"/>
      <c r="T3" s="455" t="n"/>
    </row>
    <row r="4" ht="13.5" customHeight="1" s="426">
      <c r="A4" s="445" t="inlineStr">
        <is>
          <t>Lines  of code</t>
        </is>
      </c>
      <c r="B4" s="428" t="n"/>
      <c r="C4" s="327" t="n">
        <v>100</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COUNTIF(F52:HQ52,"P")</f>
        <v/>
      </c>
      <c r="B7" s="465" t="n"/>
      <c r="C7" s="466">
        <f>COUNTIF(F53:HQ53,"F")</f>
        <v/>
      </c>
      <c r="D7" s="467" t="n"/>
      <c r="E7" s="465" t="n"/>
      <c r="F7" s="468">
        <f>SUM(O7,- A7,- C7)</f>
        <v/>
      </c>
      <c r="G7" s="467" t="n"/>
      <c r="H7" s="467" t="n"/>
      <c r="I7" s="467" t="n"/>
      <c r="J7" s="467" t="n"/>
      <c r="K7" s="469" t="n"/>
      <c r="L7" s="342">
        <f>COUNTIF(E51:HQ51,"N")</f>
        <v/>
      </c>
      <c r="M7" s="342">
        <f>COUNTIF(E51:HQ51,"A")</f>
        <v/>
      </c>
      <c r="N7" s="342">
        <f>COUNTIF(E51:HQ51,"B")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inlineStr">
        <is>
          <t>UTCID07</t>
        </is>
      </c>
      <c r="M9" s="168" t="inlineStr">
        <is>
          <t>UTCID08</t>
        </is>
      </c>
      <c r="N9" s="168" t="inlineStr">
        <is>
          <t>UTCID09</t>
        </is>
      </c>
      <c r="O9" s="168" t="inlineStr">
        <is>
          <t>UTCID10</t>
        </is>
      </c>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inlineStr">
        <is>
          <t>O</t>
        </is>
      </c>
      <c r="K11" s="148" t="n"/>
      <c r="L11" s="148" t="inlineStr">
        <is>
          <t>O</t>
        </is>
      </c>
      <c r="M11" s="148" t="inlineStr">
        <is>
          <t>O</t>
        </is>
      </c>
      <c r="N11" s="148" t="inlineStr">
        <is>
          <t>O</t>
        </is>
      </c>
      <c r="O11" s="148" t="inlineStr">
        <is>
          <t>O</t>
        </is>
      </c>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inlineStr">
        <is>
          <t>O</t>
        </is>
      </c>
      <c r="M12" s="148" t="inlineStr">
        <is>
          <t>O</t>
        </is>
      </c>
      <c r="N12" s="148" t="inlineStr">
        <is>
          <t>O</t>
        </is>
      </c>
      <c r="O12" s="148" t="inlineStr">
        <is>
          <t>O</t>
        </is>
      </c>
      <c r="P12" s="148" t="n"/>
      <c r="Q12" s="148" t="n"/>
      <c r="R12" s="148" t="n"/>
      <c r="S12" s="148" t="n"/>
      <c r="T12" s="170" t="n"/>
    </row>
    <row r="13" ht="13.5" customHeight="1" s="426">
      <c r="A13" s="171" t="n"/>
      <c r="B13" s="75" t="inlineStr">
        <is>
          <t>RoleId</t>
        </is>
      </c>
      <c r="C13" s="76" t="n"/>
      <c r="D13" s="77" t="n"/>
      <c r="E13" s="80" t="n"/>
      <c r="F13" s="148" t="n"/>
      <c r="G13" s="148" t="n"/>
      <c r="H13" s="148" t="n"/>
      <c r="I13" s="148" t="n"/>
      <c r="J13" s="148" t="n"/>
      <c r="K13" s="148" t="n"/>
      <c r="L13" s="148" t="n"/>
      <c r="M13" s="148" t="n"/>
      <c r="N13" s="148" t="n"/>
      <c r="O13" s="148" t="n"/>
      <c r="P13" s="148" t="n"/>
      <c r="Q13" s="148" t="n"/>
      <c r="R13" s="148" t="n"/>
      <c r="S13" s="148" t="n"/>
      <c r="T13" s="170" t="n"/>
    </row>
    <row r="14" ht="13.5" customHeight="1" s="426">
      <c r="A14" s="171" t="n"/>
      <c r="B14" s="75" t="n"/>
      <c r="C14" s="76" t="n"/>
      <c r="D14" s="77" t="n">
        <v>1</v>
      </c>
      <c r="E14" s="80" t="n"/>
      <c r="F14" s="148" t="inlineStr">
        <is>
          <t>O</t>
        </is>
      </c>
      <c r="G14" s="148" t="n"/>
      <c r="H14" s="148" t="n"/>
      <c r="I14" s="148" t="n"/>
      <c r="J14" s="148" t="n"/>
      <c r="K14" s="148" t="n"/>
      <c r="L14" s="148" t="inlineStr">
        <is>
          <t>O</t>
        </is>
      </c>
      <c r="M14" s="148" t="inlineStr">
        <is>
          <t>O</t>
        </is>
      </c>
      <c r="N14" s="148" t="inlineStr">
        <is>
          <t>O</t>
        </is>
      </c>
      <c r="O14" s="148" t="inlineStr">
        <is>
          <t>O</t>
        </is>
      </c>
      <c r="P14" s="148" t="n"/>
      <c r="Q14" s="148" t="n"/>
      <c r="R14" s="148" t="n"/>
      <c r="S14" s="148" t="n"/>
      <c r="T14" s="170" t="n"/>
    </row>
    <row r="15" ht="13.5" customHeight="1" s="426">
      <c r="A15" s="171" t="n"/>
      <c r="B15" s="75" t="n"/>
      <c r="C15" s="76" t="n"/>
      <c r="D15" s="77" t="n">
        <v>2</v>
      </c>
      <c r="E15" s="80" t="n"/>
      <c r="F15" s="148" t="n"/>
      <c r="G15" s="148" t="n"/>
      <c r="H15" s="148" t="inlineStr">
        <is>
          <t>O</t>
        </is>
      </c>
      <c r="I15" s="148" t="n"/>
      <c r="J15" s="148" t="inlineStr">
        <is>
          <t>O</t>
        </is>
      </c>
      <c r="K15" s="148" t="n"/>
      <c r="L15" s="148" t="n"/>
      <c r="M15" s="148" t="n"/>
      <c r="N15" s="148" t="n"/>
      <c r="O15" s="148" t="n"/>
      <c r="P15" s="148" t="n"/>
      <c r="Q15" s="148" t="n"/>
      <c r="R15" s="148" t="n"/>
      <c r="S15" s="148" t="n"/>
      <c r="T15" s="170" t="n"/>
    </row>
    <row r="16" ht="13.5" customHeight="1" s="426">
      <c r="A16" s="171" t="n"/>
      <c r="B16" s="75" t="n"/>
      <c r="C16" s="76" t="n"/>
      <c r="D16" s="77" t="n">
        <v>99999</v>
      </c>
      <c r="E16" s="80" t="n"/>
      <c r="F16" s="148" t="n"/>
      <c r="G16" s="148" t="n"/>
      <c r="H16" s="148" t="n"/>
      <c r="I16" s="148" t="inlineStr">
        <is>
          <t>O</t>
        </is>
      </c>
      <c r="J16" s="148" t="n"/>
      <c r="K16" s="148" t="n"/>
      <c r="L16" s="148" t="n"/>
      <c r="M16" s="148" t="n"/>
      <c r="N16" s="148" t="n"/>
      <c r="O16" s="148" t="n"/>
      <c r="P16" s="148" t="n"/>
      <c r="Q16" s="148" t="n"/>
      <c r="R16" s="148" t="n"/>
      <c r="S16" s="148" t="n"/>
      <c r="T16" s="170" t="n"/>
    </row>
    <row r="17" ht="13.5" customHeight="1" s="426">
      <c r="A17" s="171" t="n"/>
      <c r="B17" s="75" t="n"/>
      <c r="C17" s="76" t="n"/>
      <c r="D17" s="77" t="n">
        <v>99</v>
      </c>
      <c r="E17" s="80" t="n"/>
      <c r="F17" s="148" t="n"/>
      <c r="G17" s="148" t="n"/>
      <c r="H17" s="148" t="n"/>
      <c r="I17" s="148" t="n"/>
      <c r="J17" s="148" t="n"/>
      <c r="K17" s="148" t="inlineStr">
        <is>
          <t>O</t>
        </is>
      </c>
      <c r="L17" s="148" t="n"/>
      <c r="M17" s="148" t="n"/>
      <c r="N17" s="148" t="n"/>
      <c r="O17" s="148" t="n"/>
      <c r="P17" s="148" t="n"/>
      <c r="Q17" s="148" t="n"/>
      <c r="R17" s="148" t="n"/>
      <c r="S17" s="148" t="n"/>
      <c r="T17" s="170" t="n"/>
    </row>
    <row r="18" ht="13.5" customHeight="1" s="426">
      <c r="A18" s="171" t="n"/>
      <c r="B18" s="75" t="n"/>
      <c r="C18" s="76" t="n"/>
      <c r="D18" s="77" t="inlineStr">
        <is>
          <t>null</t>
        </is>
      </c>
      <c r="E18" s="80" t="n"/>
      <c r="F18" s="148" t="n"/>
      <c r="G18" s="148" t="inlineStr">
        <is>
          <t>O</t>
        </is>
      </c>
      <c r="H18" s="148" t="n"/>
      <c r="I18" s="148" t="n"/>
      <c r="J18" s="148" t="n"/>
      <c r="K18" s="148" t="n"/>
      <c r="L18" s="148" t="n"/>
      <c r="M18" s="148" t="n"/>
      <c r="N18" s="148" t="n"/>
      <c r="O18" s="148" t="n"/>
      <c r="P18" s="148" t="n"/>
      <c r="Q18" s="148" t="n"/>
      <c r="R18" s="148" t="n"/>
      <c r="S18" s="148" t="n"/>
      <c r="T18" s="170" t="n"/>
    </row>
    <row r="19" ht="13.5" customHeight="1" s="426">
      <c r="A19" s="171" t="n"/>
      <c r="B19" s="75" t="inlineStr">
        <is>
          <t>RoleName</t>
        </is>
      </c>
      <c r="C19" s="76" t="n"/>
      <c r="D19" s="77" t="n"/>
      <c r="E19" s="80" t="n"/>
      <c r="F19" s="148" t="n"/>
      <c r="G19" s="148" t="n"/>
      <c r="H19" s="148" t="n"/>
      <c r="I19" s="148" t="n"/>
      <c r="J19" s="148" t="n"/>
      <c r="K19" s="148" t="n"/>
      <c r="L19" s="148" t="n"/>
      <c r="M19" s="148" t="n"/>
      <c r="N19" s="148" t="n"/>
      <c r="O19" s="148" t="n"/>
      <c r="P19" s="148" t="n"/>
      <c r="Q19" s="148" t="n"/>
      <c r="R19" s="148" t="n"/>
      <c r="S19" s="148" t="n"/>
      <c r="T19" s="170" t="n"/>
    </row>
    <row r="20" ht="13.5" customHeight="1" s="426">
      <c r="A20" s="171" t="n"/>
      <c r="B20" s="75" t="n"/>
      <c r="C20" s="76" t="n"/>
      <c r="D20" s="77" t="inlineStr">
        <is>
          <t>"Moderator"</t>
        </is>
      </c>
      <c r="E20" s="80" t="n"/>
      <c r="F20" s="148" t="inlineStr">
        <is>
          <t>O</t>
        </is>
      </c>
      <c r="G20" s="148" t="n"/>
      <c r="H20" s="148" t="n"/>
      <c r="I20" s="148" t="n"/>
      <c r="J20" s="148" t="inlineStr">
        <is>
          <t>O</t>
        </is>
      </c>
      <c r="K20" s="148" t="n"/>
      <c r="L20" s="148" t="n"/>
      <c r="M20" s="148" t="n"/>
      <c r="N20" s="148" t="inlineStr">
        <is>
          <t>O</t>
        </is>
      </c>
      <c r="O20" s="148" t="inlineStr">
        <is>
          <t>O</t>
        </is>
      </c>
      <c r="P20" s="148" t="n"/>
      <c r="Q20" s="148" t="n"/>
      <c r="R20" s="148" t="n"/>
      <c r="S20" s="148" t="n"/>
      <c r="T20" s="170" t="n"/>
    </row>
    <row r="21" ht="13.5" customHeight="1" s="426">
      <c r="A21" s="171" t="n"/>
      <c r="B21" s="75" t="n"/>
      <c r="C21" s="76" t="n"/>
      <c r="D21" s="77" t="inlineStr">
        <is>
          <t>null</t>
        </is>
      </c>
      <c r="E21" s="80" t="n"/>
      <c r="F21" s="148" t="n"/>
      <c r="G21" s="148" t="inlineStr">
        <is>
          <t>O</t>
        </is>
      </c>
      <c r="H21" s="148" t="inlineStr">
        <is>
          <t>O</t>
        </is>
      </c>
      <c r="I21" s="148" t="n"/>
      <c r="J21" s="148" t="n"/>
      <c r="K21" s="148" t="n"/>
      <c r="L21" s="148" t="n"/>
      <c r="M21" s="148" t="n"/>
      <c r="N21" s="148" t="n"/>
      <c r="O21" s="148" t="n"/>
      <c r="P21" s="148" t="n"/>
      <c r="Q21" s="148" t="n"/>
      <c r="R21" s="148" t="n"/>
      <c r="S21" s="148" t="n"/>
      <c r="T21" s="170" t="n"/>
    </row>
    <row r="22" ht="13.5" customHeight="1" s="426">
      <c r="A22" s="171" t="n"/>
      <c r="B22" s="75" t="n"/>
      <c r="C22" s="76" t="n"/>
      <c r="D22" s="77" t="inlineStr">
        <is>
          <t>"NonExistentRole"</t>
        </is>
      </c>
      <c r="E22" s="80" t="n"/>
      <c r="F22" s="148" t="n"/>
      <c r="G22" s="148" t="n"/>
      <c r="H22" s="148" t="n"/>
      <c r="I22" s="148" t="inlineStr">
        <is>
          <t>O</t>
        </is>
      </c>
      <c r="J22" s="148" t="n"/>
      <c r="K22" s="148" t="n"/>
      <c r="L22" s="148" t="n"/>
      <c r="M22" s="148" t="n"/>
      <c r="N22" s="148" t="n"/>
      <c r="O22" s="148" t="n"/>
      <c r="P22" s="148" t="n"/>
      <c r="Q22" s="148" t="n"/>
      <c r="R22" s="148" t="n"/>
      <c r="S22" s="148" t="n"/>
      <c r="T22" s="170" t="n"/>
    </row>
    <row r="23" ht="13.5" customHeight="1" s="426">
      <c r="A23" s="171" t="n"/>
      <c r="B23" s="75" t="n"/>
      <c r="C23" s="76" t="n"/>
      <c r="D23" s="77" t="inlineStr">
        <is>
          <t>"NewName"</t>
        </is>
      </c>
      <c r="E23" s="80" t="n"/>
      <c r="F23" s="148" t="n"/>
      <c r="G23" s="148" t="n"/>
      <c r="H23" s="148" t="n"/>
      <c r="I23" s="148" t="n"/>
      <c r="J23" s="148" t="n"/>
      <c r="K23" s="148" t="inlineStr">
        <is>
          <t>O</t>
        </is>
      </c>
      <c r="L23" s="148" t="n"/>
      <c r="M23" s="148" t="n"/>
      <c r="N23" s="148" t="n"/>
      <c r="O23" s="148" t="n"/>
      <c r="P23" s="148" t="n"/>
      <c r="Q23" s="148" t="n"/>
      <c r="R23" s="148" t="n"/>
      <c r="S23" s="148" t="n"/>
      <c r="T23" s="170" t="n"/>
    </row>
    <row r="24" ht="13.5" customHeight="1" s="426">
      <c r="A24" s="171" t="n"/>
      <c r="B24" s="75" t="n"/>
      <c r="C24" s="76" t="n"/>
      <c r="D24" s="77" t="inlineStr">
        <is>
          <t>25 characters string</t>
        </is>
      </c>
      <c r="E24" s="80" t="n"/>
      <c r="F24" s="148" t="n"/>
      <c r="G24" s="148" t="n"/>
      <c r="H24" s="148" t="n"/>
      <c r="I24" s="148" t="n"/>
      <c r="J24" s="148" t="n"/>
      <c r="K24" s="148" t="n"/>
      <c r="L24" s="148" t="inlineStr">
        <is>
          <t>O</t>
        </is>
      </c>
      <c r="M24" s="148" t="n"/>
      <c r="N24" s="148" t="n"/>
      <c r="O24" s="148" t="n"/>
      <c r="P24" s="148" t="n"/>
      <c r="Q24" s="148" t="n"/>
      <c r="R24" s="148" t="n"/>
      <c r="S24" s="148" t="n"/>
      <c r="T24" s="170" t="n"/>
    </row>
    <row r="25" ht="13.5" customHeight="1" s="426">
      <c r="A25" s="171" t="n"/>
      <c r="B25" s="75" t="n"/>
      <c r="C25" s="76" t="n"/>
      <c r="D25" s="77" t="inlineStr">
        <is>
          <t>26 characters string</t>
        </is>
      </c>
      <c r="E25" s="80" t="n"/>
      <c r="F25" s="148" t="n"/>
      <c r="G25" s="148" t="n"/>
      <c r="H25" s="148" t="n"/>
      <c r="I25" s="148" t="n"/>
      <c r="J25" s="148" t="n"/>
      <c r="K25" s="148" t="n"/>
      <c r="L25" s="148" t="n"/>
      <c r="M25" s="148" t="inlineStr">
        <is>
          <t>O</t>
        </is>
      </c>
      <c r="N25" s="148" t="n"/>
      <c r="O25" s="148" t="n"/>
      <c r="P25" s="148" t="n"/>
      <c r="Q25" s="148" t="n"/>
      <c r="R25" s="148" t="n"/>
      <c r="S25" s="148" t="n"/>
      <c r="T25" s="170" t="n"/>
    </row>
    <row r="26" ht="13.5" customHeight="1" s="426">
      <c r="A26" s="171" t="n"/>
      <c r="B26" s="75" t="inlineStr">
        <is>
          <t>RoleDescription</t>
        </is>
      </c>
      <c r="C26" s="76" t="n"/>
      <c r="D26" s="77" t="n"/>
      <c r="E26" s="80" t="n"/>
      <c r="F26" s="148" t="n"/>
      <c r="G26" s="148" t="n"/>
      <c r="H26" s="148" t="n"/>
      <c r="I26" s="148" t="n"/>
      <c r="J26" s="148" t="n"/>
      <c r="K26" s="148" t="n"/>
      <c r="L26" s="148" t="n"/>
      <c r="M26" s="148" t="n"/>
      <c r="N26" s="148" t="n"/>
      <c r="O26" s="148" t="n"/>
      <c r="P26" s="148" t="n"/>
      <c r="Q26" s="148" t="n"/>
      <c r="R26" s="148" t="n"/>
      <c r="S26" s="148" t="n"/>
      <c r="T26" s="170" t="n"/>
    </row>
    <row r="27" ht="13.5" customHeight="1" s="426">
      <c r="A27" s="171" t="n"/>
      <c r="B27" s="75" t="n"/>
      <c r="C27" s="76" t="n"/>
      <c r="D27" s="77" t="inlineStr">
        <is>
          <t>"Updated Description"</t>
        </is>
      </c>
      <c r="E27" s="80" t="n"/>
      <c r="F27" s="148" t="inlineStr">
        <is>
          <t>O</t>
        </is>
      </c>
      <c r="G27" s="148" t="n"/>
      <c r="H27" s="148" t="n"/>
      <c r="I27" s="148" t="n"/>
      <c r="J27" s="148" t="n"/>
      <c r="K27" s="148" t="n"/>
      <c r="L27" s="148" t="inlineStr">
        <is>
          <t>O</t>
        </is>
      </c>
      <c r="M27" s="148" t="inlineStr">
        <is>
          <t>O</t>
        </is>
      </c>
      <c r="N27" s="148" t="n"/>
      <c r="O27" s="148" t="n"/>
      <c r="P27" s="148" t="n"/>
      <c r="Q27" s="148" t="n"/>
      <c r="R27" s="148" t="n"/>
      <c r="S27" s="148" t="n"/>
      <c r="T27" s="170" t="n"/>
    </row>
    <row r="28" ht="13.5" customHeight="1" s="426">
      <c r="A28" s="171" t="n"/>
      <c r="B28" s="75" t="n"/>
      <c r="C28" s="76" t="n"/>
      <c r="D28" s="77" t="inlineStr">
        <is>
          <t>null</t>
        </is>
      </c>
      <c r="E28" s="80" t="n"/>
      <c r="F28" s="148" t="n"/>
      <c r="G28" s="148" t="inlineStr">
        <is>
          <t>O</t>
        </is>
      </c>
      <c r="H28" s="148" t="n"/>
      <c r="I28" s="148" t="n"/>
      <c r="J28" s="148" t="inlineStr">
        <is>
          <t>O</t>
        </is>
      </c>
      <c r="K28" s="148" t="n"/>
      <c r="L28" s="148" t="n"/>
      <c r="M28" s="148" t="n"/>
      <c r="N28" s="148" t="n"/>
      <c r="O28" s="148" t="n"/>
      <c r="P28" s="148" t="n"/>
      <c r="Q28" s="148" t="n"/>
      <c r="R28" s="148" t="n"/>
      <c r="S28" s="148" t="n"/>
      <c r="T28" s="170" t="n"/>
    </row>
    <row r="29" ht="13.5" customHeight="1" s="426">
      <c r="A29" s="171" t="n"/>
      <c r="B29" s="75" t="n"/>
      <c r="C29" s="76" t="n"/>
      <c r="D29" s="77" t="inlineStr">
        <is>
          <t>"No name provided"</t>
        </is>
      </c>
      <c r="E29" s="80" t="n"/>
      <c r="F29" s="148" t="n"/>
      <c r="G29" s="148" t="n"/>
      <c r="H29" s="148" t="inlineStr">
        <is>
          <t>O</t>
        </is>
      </c>
      <c r="I29" s="148" t="n"/>
      <c r="J29" s="148" t="n"/>
      <c r="K29" s="148" t="n"/>
      <c r="L29" s="148" t="n"/>
      <c r="M29" s="148" t="n"/>
      <c r="N29" s="148" t="n"/>
      <c r="O29" s="148" t="n"/>
      <c r="P29" s="148" t="n"/>
      <c r="Q29" s="148" t="n"/>
      <c r="R29" s="148" t="n"/>
      <c r="S29" s="148" t="n"/>
      <c r="T29" s="170" t="n"/>
    </row>
    <row r="30" ht="13.5" customHeight="1" s="426">
      <c r="A30" s="171" t="n"/>
      <c r="B30" s="75" t="n"/>
      <c r="C30" s="76" t="n"/>
      <c r="D30" s="77" t="inlineStr">
        <is>
          <t>"Attempt to update a role that doesn't exist",</t>
        </is>
      </c>
      <c r="E30" s="80" t="n"/>
      <c r="F30" s="148" t="n"/>
      <c r="G30" s="148" t="n"/>
      <c r="H30" s="148" t="n"/>
      <c r="I30" s="148" t="inlineStr">
        <is>
          <t>O</t>
        </is>
      </c>
      <c r="J30" s="148" t="n"/>
      <c r="K30" s="148" t="n"/>
      <c r="L30" s="148" t="n"/>
      <c r="M30" s="148" t="n"/>
      <c r="N30" s="148" t="n"/>
      <c r="O30" s="148" t="n"/>
      <c r="P30" s="148" t="n"/>
      <c r="Q30" s="148" t="n"/>
      <c r="R30" s="148" t="n"/>
      <c r="S30" s="148" t="n"/>
      <c r="T30" s="170" t="n"/>
    </row>
    <row r="31" ht="13.5" customHeight="1" s="426">
      <c r="A31" s="171" t="n"/>
      <c r="B31" s="75" t="n"/>
      <c r="C31" s="76" t="n"/>
      <c r="D31" s="77" t="inlineStr">
        <is>
          <t>"Desc"</t>
        </is>
      </c>
      <c r="E31" s="80" t="n"/>
      <c r="F31" s="148" t="n"/>
      <c r="G31" s="148" t="n"/>
      <c r="H31" s="148" t="n"/>
      <c r="I31" s="148" t="n"/>
      <c r="J31" s="148" t="n"/>
      <c r="K31" s="148" t="inlineStr">
        <is>
          <t>O</t>
        </is>
      </c>
      <c r="L31" s="148" t="n"/>
      <c r="M31" s="148" t="n"/>
      <c r="N31" s="148" t="n"/>
      <c r="O31" s="148" t="n"/>
      <c r="P31" s="148" t="n"/>
      <c r="Q31" s="148" t="n"/>
      <c r="R31" s="148" t="n"/>
      <c r="S31" s="148" t="n"/>
      <c r="T31" s="170" t="n"/>
    </row>
    <row r="32" ht="13.5" customHeight="1" s="426">
      <c r="A32" s="171" t="n"/>
      <c r="B32" s="75" t="n"/>
      <c r="C32" s="76" t="n"/>
      <c r="D32" s="77" t="inlineStr">
        <is>
          <t>50 characters string</t>
        </is>
      </c>
      <c r="E32" s="80" t="n"/>
      <c r="F32" s="148" t="n"/>
      <c r="G32" s="148" t="n"/>
      <c r="H32" s="148" t="n"/>
      <c r="I32" s="148" t="n"/>
      <c r="J32" s="148" t="n"/>
      <c r="K32" s="148" t="n"/>
      <c r="L32" s="148" t="n"/>
      <c r="M32" s="148" t="n"/>
      <c r="N32" s="148" t="inlineStr">
        <is>
          <t>O</t>
        </is>
      </c>
      <c r="O32" s="148" t="n"/>
      <c r="P32" s="148" t="n"/>
      <c r="Q32" s="148" t="n"/>
      <c r="R32" s="148" t="n"/>
      <c r="S32" s="148" t="n"/>
      <c r="T32" s="170" t="n"/>
    </row>
    <row r="33" ht="13.5" customHeight="1" s="426">
      <c r="A33" s="171" t="n"/>
      <c r="B33" s="75" t="n"/>
      <c r="C33" s="76" t="n"/>
      <c r="D33" s="77" t="inlineStr">
        <is>
          <t>51 characters string</t>
        </is>
      </c>
      <c r="E33" s="80" t="n"/>
      <c r="F33" s="148" t="n"/>
      <c r="G33" s="148" t="n"/>
      <c r="H33" s="148" t="n"/>
      <c r="I33" s="148" t="n"/>
      <c r="J33" s="148" t="n"/>
      <c r="K33" s="148" t="n"/>
      <c r="L33" s="148" t="n"/>
      <c r="M33" s="148" t="n"/>
      <c r="N33" s="148" t="n"/>
      <c r="O33" s="148" t="inlineStr">
        <is>
          <t>O</t>
        </is>
      </c>
      <c r="P33" s="148" t="n"/>
      <c r="Q33" s="148" t="n"/>
      <c r="R33" s="148" t="n"/>
      <c r="S33" s="148" t="n"/>
      <c r="T33" s="170" t="n"/>
    </row>
    <row r="34" ht="13.5" customHeight="1" s="426">
      <c r="A34" s="171" t="n"/>
      <c r="B34" s="75" t="inlineStr">
        <is>
          <t>Permissions</t>
        </is>
      </c>
      <c r="C34" s="76" t="n"/>
      <c r="D34" s="77" t="n"/>
      <c r="E34" s="80" t="n"/>
      <c r="F34" s="148" t="n"/>
      <c r="G34" s="148" t="n"/>
      <c r="H34" s="148" t="n"/>
      <c r="I34" s="148" t="n"/>
      <c r="J34" s="148" t="n"/>
      <c r="K34" s="148" t="n"/>
      <c r="L34" s="148" t="n"/>
      <c r="M34" s="148" t="n"/>
      <c r="N34" s="148" t="n"/>
      <c r="O34" s="148" t="n"/>
      <c r="P34" s="148" t="n"/>
      <c r="Q34" s="148" t="n"/>
      <c r="R34" s="148" t="n"/>
      <c r="S34" s="148" t="n"/>
      <c r="T34" s="170" t="n"/>
    </row>
    <row r="35" ht="13.5" customHeight="1" s="426">
      <c r="A35" s="171" t="n"/>
      <c r="B35" s="75" t="n"/>
      <c r="C35" s="76" t="n"/>
      <c r="D35" s="77" t="inlineStr">
        <is>
          <t>{ 101, 102 }</t>
        </is>
      </c>
      <c r="E35" s="80" t="n"/>
      <c r="F35" s="148" t="inlineStr">
        <is>
          <t>O</t>
        </is>
      </c>
      <c r="G35" s="148" t="n"/>
      <c r="H35" s="148" t="n"/>
      <c r="I35" s="148" t="n"/>
      <c r="J35" s="148" t="n"/>
      <c r="K35" s="148" t="inlineStr">
        <is>
          <t>O</t>
        </is>
      </c>
      <c r="L35" s="148" t="inlineStr">
        <is>
          <t>O</t>
        </is>
      </c>
      <c r="M35" s="148" t="inlineStr">
        <is>
          <t>O</t>
        </is>
      </c>
      <c r="N35" s="148" t="inlineStr">
        <is>
          <t>O</t>
        </is>
      </c>
      <c r="O35" s="148" t="inlineStr">
        <is>
          <t>O</t>
        </is>
      </c>
      <c r="P35" s="148" t="n"/>
      <c r="Q35" s="148" t="n"/>
      <c r="R35" s="148" t="n"/>
      <c r="S35" s="148" t="n"/>
      <c r="T35" s="170" t="n"/>
    </row>
    <row r="36" ht="13.5" customHeight="1" s="426">
      <c r="A36" s="171" t="n"/>
      <c r="B36" s="75" t="n"/>
      <c r="C36" s="76" t="n"/>
      <c r="D36" s="77" t="inlineStr">
        <is>
          <t>null</t>
        </is>
      </c>
      <c r="E36" s="80" t="n"/>
      <c r="F36" s="148" t="n"/>
      <c r="G36" s="148" t="inlineStr">
        <is>
          <t>O</t>
        </is>
      </c>
      <c r="H36" s="148" t="n"/>
      <c r="I36" s="148" t="n"/>
      <c r="J36" s="148" t="n"/>
      <c r="K36" s="148" t="n"/>
      <c r="L36" s="148" t="n"/>
      <c r="M36" s="148" t="n"/>
      <c r="N36" s="148" t="n"/>
      <c r="O36" s="148" t="n"/>
      <c r="P36" s="148" t="n"/>
      <c r="Q36" s="148" t="n"/>
      <c r="R36" s="148" t="n"/>
      <c r="S36" s="148" t="n"/>
      <c r="T36" s="170" t="n"/>
    </row>
    <row r="37" ht="13.5" customHeight="1" s="426">
      <c r="A37" s="171" t="n"/>
      <c r="B37" s="75" t="n"/>
      <c r="C37" s="76" t="n"/>
      <c r="D37" s="77" t="inlineStr">
        <is>
          <t>{ 101 }</t>
        </is>
      </c>
      <c r="E37" s="80" t="n"/>
      <c r="F37" s="148" t="n"/>
      <c r="G37" s="148" t="n"/>
      <c r="H37" s="148" t="inlineStr">
        <is>
          <t>O</t>
        </is>
      </c>
      <c r="I37" s="148" t="inlineStr">
        <is>
          <t>O</t>
        </is>
      </c>
      <c r="J37" s="148" t="inlineStr">
        <is>
          <t>O</t>
        </is>
      </c>
      <c r="K37" s="148" t="n"/>
      <c r="L37" s="148" t="n"/>
      <c r="M37" s="148" t="n"/>
      <c r="N37" s="148" t="n"/>
      <c r="O37" s="148" t="n"/>
      <c r="P37" s="148" t="n"/>
      <c r="Q37" s="148" t="n"/>
      <c r="R37" s="148" t="n"/>
      <c r="S37" s="148" t="n"/>
      <c r="T37" s="170" t="n"/>
    </row>
    <row r="38" ht="13.5" customHeight="1" s="426" thickBot="1">
      <c r="A38" s="171" t="n"/>
      <c r="B38" s="75" t="n"/>
      <c r="C38" s="76" t="n"/>
      <c r="D38" s="77" t="inlineStr">
        <is>
          <t>{ 103 }</t>
        </is>
      </c>
      <c r="E38" s="80" t="n"/>
      <c r="F38" s="148" t="n"/>
      <c r="G38" s="148" t="n"/>
      <c r="H38" s="148" t="n"/>
      <c r="I38" s="148" t="n"/>
      <c r="J38" s="148" t="n"/>
      <c r="K38" s="148" t="n"/>
      <c r="L38" s="148" t="n"/>
      <c r="M38" s="148" t="n"/>
      <c r="N38" s="148" t="n"/>
      <c r="O38" s="148" t="n"/>
      <c r="P38" s="148" t="n"/>
      <c r="Q38" s="148" t="n"/>
      <c r="R38" s="148" t="n"/>
      <c r="S38" s="148" t="n"/>
      <c r="T38" s="170" t="n"/>
    </row>
    <row r="39" ht="13.5" customHeight="1" s="426">
      <c r="A39" s="182" t="inlineStr">
        <is>
          <t>Confirm</t>
        </is>
      </c>
      <c r="B39" s="208" t="inlineStr">
        <is>
          <t>Return</t>
        </is>
      </c>
      <c r="C39" s="239" t="n"/>
      <c r="D39" s="210" t="n"/>
      <c r="E39" s="86" t="n"/>
      <c r="F39" s="87" t="n"/>
      <c r="G39" s="87" t="n"/>
      <c r="H39" s="87" t="n"/>
      <c r="I39" s="87" t="n"/>
      <c r="J39" s="87" t="n"/>
      <c r="K39" s="87" t="n"/>
      <c r="L39" s="87" t="n"/>
      <c r="M39" s="87" t="n"/>
      <c r="N39" s="87" t="n"/>
      <c r="O39" s="87" t="n"/>
      <c r="P39" s="87" t="n"/>
      <c r="Q39" s="87" t="n"/>
      <c r="R39" s="87" t="n"/>
      <c r="S39" s="87" t="n"/>
      <c r="T39" s="196" t="n"/>
    </row>
    <row r="40" ht="13.5" customHeight="1" s="426">
      <c r="A40" s="181" t="n"/>
      <c r="B40" s="208" t="n"/>
      <c r="C40" s="209" t="n"/>
      <c r="D40" s="210" t="inlineStr">
        <is>
          <t>T</t>
        </is>
      </c>
      <c r="E40" s="91" t="n"/>
      <c r="F40" s="148" t="inlineStr">
        <is>
          <t>O</t>
        </is>
      </c>
      <c r="G40" s="79" t="n"/>
      <c r="H40" s="79" t="n"/>
      <c r="I40" s="79" t="n"/>
      <c r="J40" s="79" t="n"/>
      <c r="K40" s="79" t="n"/>
      <c r="L40" s="148" t="inlineStr">
        <is>
          <t>O</t>
        </is>
      </c>
      <c r="M40" s="79" t="n"/>
      <c r="N40" s="148" t="inlineStr">
        <is>
          <t>O</t>
        </is>
      </c>
      <c r="O40" s="79" t="n"/>
      <c r="P40" s="79" t="n"/>
      <c r="Q40" s="79" t="n"/>
      <c r="R40" s="79" t="n"/>
      <c r="S40" s="79" t="n"/>
      <c r="T40" s="195" t="n"/>
    </row>
    <row r="41" ht="13.5" customHeight="1" s="426">
      <c r="A41" s="181" t="n"/>
      <c r="B41" s="126" t="n"/>
      <c r="C41" s="89" t="n"/>
      <c r="D41" s="90" t="inlineStr">
        <is>
          <t>F</t>
        </is>
      </c>
      <c r="E41" s="91" t="n"/>
      <c r="F41" s="79" t="n"/>
      <c r="G41" s="148" t="inlineStr">
        <is>
          <t>O</t>
        </is>
      </c>
      <c r="H41" s="148" t="inlineStr">
        <is>
          <t>O</t>
        </is>
      </c>
      <c r="I41" s="148" t="inlineStr">
        <is>
          <t>O</t>
        </is>
      </c>
      <c r="J41" s="148" t="inlineStr">
        <is>
          <t>O</t>
        </is>
      </c>
      <c r="K41" s="79" t="n"/>
      <c r="L41" s="79" t="n"/>
      <c r="M41" s="148" t="inlineStr">
        <is>
          <t>O</t>
        </is>
      </c>
      <c r="N41" s="79" t="n"/>
      <c r="O41" s="148" t="inlineStr">
        <is>
          <t>O</t>
        </is>
      </c>
      <c r="P41" s="79" t="n"/>
      <c r="Q41" s="79" t="n"/>
      <c r="R41" s="79" t="n"/>
      <c r="S41" s="79" t="n"/>
      <c r="T41" s="195" t="n"/>
    </row>
    <row r="42" ht="13.5" customHeight="1" s="426">
      <c r="A42" s="181" t="n"/>
      <c r="B42" s="116" t="inlineStr">
        <is>
          <t>Exception</t>
        </is>
      </c>
      <c r="C42" s="120" t="n"/>
      <c r="D42" s="118" t="n"/>
      <c r="E42" s="91" t="n"/>
      <c r="F42" s="79" t="n"/>
      <c r="G42" s="79" t="n"/>
      <c r="H42" s="79" t="n"/>
      <c r="I42" s="79" t="n"/>
      <c r="J42" s="79" t="n"/>
      <c r="K42" s="79" t="n"/>
      <c r="L42" s="79" t="n"/>
      <c r="M42" s="79" t="n"/>
      <c r="N42" s="79" t="n"/>
      <c r="O42" s="79" t="n"/>
      <c r="P42" s="79" t="n"/>
      <c r="Q42" s="79" t="n"/>
      <c r="R42" s="79" t="n"/>
      <c r="S42" s="79" t="n"/>
      <c r="T42" s="195" t="n"/>
    </row>
    <row r="43" ht="13.5" customHeight="1" s="426">
      <c r="A43" s="181" t="n"/>
      <c r="B43" s="116" t="n"/>
      <c r="C43" s="120" t="n"/>
      <c r="D43" s="118" t="inlineStr">
        <is>
          <t>InvalidOperationException</t>
        </is>
      </c>
      <c r="E43" s="91" t="n"/>
      <c r="F43" s="79" t="n"/>
      <c r="G43" s="79" t="n"/>
      <c r="H43" s="79" t="n"/>
      <c r="I43" s="148" t="n"/>
      <c r="J43" s="79" t="n"/>
      <c r="K43" s="148" t="inlineStr">
        <is>
          <t>O</t>
        </is>
      </c>
      <c r="L43" s="79" t="n"/>
      <c r="M43" s="79" t="n"/>
      <c r="N43" s="79" t="n"/>
      <c r="O43" s="79" t="n"/>
      <c r="P43" s="79" t="n"/>
      <c r="Q43" s="79" t="n"/>
      <c r="R43" s="79" t="n"/>
      <c r="S43" s="79" t="n"/>
      <c r="T43" s="195" t="n"/>
    </row>
    <row r="44" ht="13.5" customHeight="1" s="426">
      <c r="A44" s="181" t="n"/>
      <c r="B44" s="88" t="inlineStr">
        <is>
          <t>Log message</t>
        </is>
      </c>
      <c r="C44" s="89" t="n"/>
      <c r="D44" s="90" t="n"/>
      <c r="E44" s="91" t="n"/>
      <c r="F44" s="79" t="n"/>
      <c r="G44" s="79" t="n"/>
      <c r="H44" s="79" t="n"/>
      <c r="I44" s="79" t="n"/>
      <c r="J44" s="79" t="n"/>
      <c r="K44" s="79" t="n"/>
      <c r="L44" s="79" t="n"/>
      <c r="M44" s="79" t="n"/>
      <c r="N44" s="79" t="n"/>
      <c r="O44" s="79" t="n"/>
      <c r="P44" s="79" t="n"/>
      <c r="Q44" s="79" t="n"/>
      <c r="R44" s="79" t="n"/>
      <c r="S44" s="79" t="n"/>
      <c r="T44" s="195" t="n"/>
    </row>
    <row r="45" ht="13.5" customHeight="1" s="426">
      <c r="A45" s="181" t="n"/>
      <c r="B45" s="88" t="n"/>
      <c r="C45" s="89" t="n"/>
      <c r="D45" s="90" t="inlineStr">
        <is>
          <t>"Expected true when updating a valid role."</t>
        </is>
      </c>
      <c r="E45" s="91" t="n"/>
      <c r="F45" s="148" t="inlineStr">
        <is>
          <t>O</t>
        </is>
      </c>
      <c r="G45" s="79" t="n"/>
      <c r="H45" s="79" t="n"/>
      <c r="I45" s="79" t="n"/>
      <c r="J45" s="79" t="n"/>
      <c r="K45" s="79" t="n"/>
      <c r="L45" s="79" t="n"/>
      <c r="M45" s="79" t="n"/>
      <c r="N45" s="79" t="n"/>
      <c r="O45" s="79" t="n"/>
      <c r="P45" s="79" t="n"/>
      <c r="Q45" s="79" t="n"/>
      <c r="R45" s="79" t="n"/>
      <c r="S45" s="79" t="n"/>
      <c r="T45" s="195" t="n"/>
    </row>
    <row r="46" ht="13.5" customHeight="1" s="426">
      <c r="A46" s="181" t="n"/>
      <c r="B46" s="88" t="n"/>
      <c r="C46" s="89" t="n"/>
      <c r="D46" s="90" t="inlineStr">
        <is>
          <t>"Expected false when trying to update a null role."</t>
        </is>
      </c>
      <c r="E46" s="91" t="n"/>
      <c r="F46" s="79" t="n"/>
      <c r="G46" s="148" t="inlineStr">
        <is>
          <t>O</t>
        </is>
      </c>
      <c r="H46" s="79" t="n"/>
      <c r="I46" s="79" t="n"/>
      <c r="J46" s="79" t="n"/>
      <c r="K46" s="79" t="n"/>
      <c r="L46" s="79" t="n"/>
      <c r="M46" s="79" t="n"/>
      <c r="N46" s="79" t="n"/>
      <c r="O46" s="79" t="n"/>
      <c r="P46" s="79" t="n"/>
      <c r="Q46" s="79" t="n"/>
      <c r="R46" s="79" t="n"/>
      <c r="S46" s="79" t="n"/>
      <c r="T46" s="195" t="n"/>
    </row>
    <row r="47" ht="13.5" customHeight="1" s="426">
      <c r="A47" s="181" t="n"/>
      <c r="B47" s="88" t="n"/>
      <c r="C47" s="89" t="n"/>
      <c r="D47" s="90" t="inlineStr">
        <is>
          <t>"Expected false for an invalid (empty) role name."</t>
        </is>
      </c>
      <c r="E47" s="91" t="n"/>
      <c r="F47" s="79" t="n"/>
      <c r="G47" s="79" t="n"/>
      <c r="H47" s="148" t="inlineStr">
        <is>
          <t>O</t>
        </is>
      </c>
      <c r="I47" s="79" t="n"/>
      <c r="J47" s="79" t="n"/>
      <c r="K47" s="79" t="n"/>
      <c r="L47" s="79" t="n"/>
      <c r="M47" s="79" t="n"/>
      <c r="N47" s="79" t="n"/>
      <c r="O47" s="79" t="n"/>
      <c r="P47" s="79" t="n"/>
      <c r="Q47" s="79" t="n"/>
      <c r="R47" s="79" t="n"/>
      <c r="S47" s="79" t="n"/>
      <c r="T47" s="195" t="n"/>
    </row>
    <row r="48" ht="13.5" customHeight="1" s="426">
      <c r="A48" s="181" t="n"/>
      <c r="B48" s="88" t="n"/>
      <c r="C48" s="89" t="n"/>
      <c r="D48" s="90" t="inlineStr">
        <is>
          <t>"Attempt to update a role that doesn't exist"</t>
        </is>
      </c>
      <c r="E48" s="91" t="n"/>
      <c r="F48" s="79" t="n"/>
      <c r="G48" s="79" t="n"/>
      <c r="H48" s="79" t="n"/>
      <c r="I48" s="148" t="inlineStr">
        <is>
          <t>O</t>
        </is>
      </c>
      <c r="J48" s="79" t="n"/>
      <c r="K48" s="79" t="n"/>
      <c r="L48" s="79" t="n"/>
      <c r="M48" s="79" t="n"/>
      <c r="N48" s="79" t="n"/>
      <c r="O48" s="79" t="n"/>
      <c r="P48" s="79" t="n"/>
      <c r="Q48" s="79" t="n"/>
      <c r="R48" s="79" t="n"/>
      <c r="S48" s="79" t="n"/>
      <c r="T48" s="195" t="n"/>
    </row>
    <row r="49" ht="13.5" customHeight="1" s="426">
      <c r="A49" s="181" t="n"/>
      <c r="B49" s="88" t="n"/>
      <c r="C49" s="92" t="n"/>
      <c r="D49" s="90" t="inlineStr">
        <is>
          <t>"Expected false for an invalid (empty) role description."</t>
        </is>
      </c>
      <c r="E49" s="93" t="n"/>
      <c r="F49" s="148" t="n"/>
      <c r="G49" s="79" t="n"/>
      <c r="H49" s="79" t="n"/>
      <c r="I49" s="79" t="n"/>
      <c r="J49" s="148" t="inlineStr">
        <is>
          <t>O</t>
        </is>
      </c>
      <c r="K49" s="79" t="n"/>
      <c r="L49" s="79" t="n"/>
      <c r="M49" s="79" t="n"/>
      <c r="N49" s="79" t="n"/>
      <c r="O49" s="79" t="n"/>
      <c r="P49" s="79" t="n"/>
      <c r="Q49" s="79" t="n"/>
      <c r="R49" s="79" t="n"/>
      <c r="S49" s="79" t="n"/>
      <c r="T49" s="195" t="n"/>
    </row>
    <row r="50" ht="13.5" customHeight="1" s="426" thickBot="1">
      <c r="A50" s="181" t="n"/>
      <c r="B50" s="88" t="n"/>
      <c r="C50" s="92" t="n"/>
      <c r="D50" s="90" t="inlineStr">
        <is>
          <t>"Database update error"</t>
        </is>
      </c>
      <c r="E50" s="93" t="n"/>
      <c r="F50" s="79" t="n"/>
      <c r="G50" s="148" t="n"/>
      <c r="H50" s="79" t="n"/>
      <c r="I50" s="79" t="n"/>
      <c r="J50" s="79" t="n"/>
      <c r="K50" s="148" t="inlineStr">
        <is>
          <t>O</t>
        </is>
      </c>
      <c r="L50" s="79" t="n"/>
      <c r="M50" s="79" t="n"/>
      <c r="N50" s="79" t="n"/>
      <c r="O50" s="79" t="n"/>
      <c r="P50" s="79" t="n"/>
      <c r="Q50" s="79" t="n"/>
      <c r="R50" s="79" t="n"/>
      <c r="S50" s="79" t="n"/>
      <c r="T50" s="195" t="n"/>
    </row>
    <row r="51" ht="13.5" customHeight="1" s="426" thickTop="1">
      <c r="A51" s="182" t="inlineStr">
        <is>
          <t>Result</t>
        </is>
      </c>
      <c r="B51" s="331" t="inlineStr">
        <is>
          <t>Type(N : Normal, A : Abnormal, B : Boundary)</t>
        </is>
      </c>
      <c r="C51" s="472" t="n"/>
      <c r="D51" s="473" t="n"/>
      <c r="E51" s="331" t="n"/>
      <c r="F51" s="188" t="inlineStr">
        <is>
          <t>N</t>
        </is>
      </c>
      <c r="G51" s="188" t="inlineStr">
        <is>
          <t>A</t>
        </is>
      </c>
      <c r="H51" s="188" t="inlineStr">
        <is>
          <t>A</t>
        </is>
      </c>
      <c r="I51" s="188" t="inlineStr">
        <is>
          <t>A</t>
        </is>
      </c>
      <c r="J51" s="188" t="inlineStr">
        <is>
          <t>A</t>
        </is>
      </c>
      <c r="K51" s="188" t="inlineStr">
        <is>
          <t>A</t>
        </is>
      </c>
      <c r="L51" s="188" t="inlineStr">
        <is>
          <t>B</t>
        </is>
      </c>
      <c r="M51" s="188" t="inlineStr">
        <is>
          <t>B</t>
        </is>
      </c>
      <c r="N51" s="188" t="inlineStr">
        <is>
          <t>B</t>
        </is>
      </c>
      <c r="O51" s="188" t="inlineStr">
        <is>
          <t>B</t>
        </is>
      </c>
      <c r="P51" s="188" t="n"/>
      <c r="Q51" s="188" t="n"/>
      <c r="R51" s="188" t="n"/>
      <c r="S51" s="188" t="n"/>
      <c r="T51" s="198" t="n"/>
    </row>
    <row r="52" ht="13.5" customHeight="1" s="426">
      <c r="A52" s="174" t="n"/>
      <c r="B52" s="320" t="inlineStr">
        <is>
          <t>Passed/Failed</t>
        </is>
      </c>
      <c r="C52" s="449" t="n"/>
      <c r="D52" s="450" t="n"/>
      <c r="E52" s="95" t="n"/>
      <c r="F52" s="94" t="inlineStr">
        <is>
          <t>P</t>
        </is>
      </c>
      <c r="G52" s="94" t="inlineStr">
        <is>
          <t>P</t>
        </is>
      </c>
      <c r="H52" s="94" t="inlineStr">
        <is>
          <t>P</t>
        </is>
      </c>
      <c r="I52" s="94" t="inlineStr">
        <is>
          <t>P</t>
        </is>
      </c>
      <c r="J52" s="94" t="inlineStr">
        <is>
          <t>P</t>
        </is>
      </c>
      <c r="K52" s="94" t="inlineStr">
        <is>
          <t>P</t>
        </is>
      </c>
      <c r="L52" s="94" t="inlineStr">
        <is>
          <t>P</t>
        </is>
      </c>
      <c r="M52" s="94" t="inlineStr">
        <is>
          <t>P</t>
        </is>
      </c>
      <c r="N52" s="94" t="inlineStr">
        <is>
          <t>P</t>
        </is>
      </c>
      <c r="O52" s="94" t="inlineStr">
        <is>
          <t>P</t>
        </is>
      </c>
      <c r="P52" s="94" t="n"/>
      <c r="Q52" s="94" t="n"/>
      <c r="R52" s="94" t="n"/>
      <c r="S52" s="94" t="n"/>
      <c r="T52" s="199" t="n"/>
    </row>
    <row r="53" ht="71.5" customHeight="1" s="426">
      <c r="A53" s="174" t="n"/>
      <c r="B53" s="329" t="inlineStr">
        <is>
          <t>Executed Date</t>
        </is>
      </c>
      <c r="C53" s="449" t="n"/>
      <c r="D53" s="450" t="n"/>
      <c r="E53" s="96" t="n"/>
      <c r="F53" s="97" t="n">
        <v>45695</v>
      </c>
      <c r="G53" s="97" t="n">
        <v>45695</v>
      </c>
      <c r="H53" s="97" t="n">
        <v>45695</v>
      </c>
      <c r="I53" s="97" t="n">
        <v>45695</v>
      </c>
      <c r="J53" s="97" t="n">
        <v>45695</v>
      </c>
      <c r="K53" s="97" t="n">
        <v>45695</v>
      </c>
      <c r="L53" s="97" t="n">
        <v>45695</v>
      </c>
      <c r="M53" s="97" t="n">
        <v>45695</v>
      </c>
      <c r="N53" s="97" t="n">
        <v>45695</v>
      </c>
      <c r="O53" s="97" t="n">
        <v>45695</v>
      </c>
      <c r="P53" s="97" t="n"/>
      <c r="Q53" s="97" t="n"/>
      <c r="R53" s="97" t="n"/>
      <c r="S53" s="97" t="n"/>
      <c r="T53" s="176" t="n"/>
    </row>
    <row r="54" ht="10.5" customHeight="1" s="426" thickBot="1">
      <c r="A54" s="177" t="n"/>
      <c r="B54" s="330" t="inlineStr">
        <is>
          <t>Defect ID</t>
        </is>
      </c>
      <c r="C54" s="474" t="n"/>
      <c r="D54" s="475" t="n"/>
      <c r="E54" s="178" t="n"/>
      <c r="F54" s="179" t="n"/>
      <c r="G54" s="179" t="n"/>
      <c r="H54" s="179" t="n"/>
      <c r="I54" s="179" t="n"/>
      <c r="J54" s="179" t="n"/>
      <c r="K54" s="179" t="n"/>
      <c r="L54" s="179" t="n"/>
      <c r="M54" s="179" t="n"/>
      <c r="N54" s="179" t="n"/>
      <c r="O54" s="179" t="n"/>
      <c r="P54" s="179" t="n"/>
      <c r="Q54" s="179" t="n"/>
      <c r="R54" s="179" t="n"/>
      <c r="S54" s="179" t="n"/>
      <c r="T54" s="180" t="n"/>
    </row>
    <row r="55" ht="10.5" customHeight="1" s="426" thickTop="1">
      <c r="A55" s="73" t="n"/>
      <c r="B55" s="69" t="n"/>
      <c r="C55" s="413" t="n"/>
      <c r="D55" s="69" t="n"/>
    </row>
  </sheetData>
  <mergeCells count="27">
    <mergeCell ref="B53:D53"/>
    <mergeCell ref="F2:K2"/>
    <mergeCell ref="A6:B6"/>
    <mergeCell ref="C4:D4"/>
    <mergeCell ref="L4:T4"/>
    <mergeCell ref="C2:E2"/>
    <mergeCell ref="A7:B7"/>
    <mergeCell ref="C7:E7"/>
    <mergeCell ref="L6:N6"/>
    <mergeCell ref="A3:B3"/>
    <mergeCell ref="B51:D51"/>
    <mergeCell ref="A2:B2"/>
    <mergeCell ref="A5:B5"/>
    <mergeCell ref="C3:E3"/>
    <mergeCell ref="O7:T7"/>
    <mergeCell ref="F4:K4"/>
    <mergeCell ref="B54:D54"/>
    <mergeCell ref="C6:E6"/>
    <mergeCell ref="A4:B4"/>
    <mergeCell ref="L2:T2"/>
    <mergeCell ref="O6:T6"/>
    <mergeCell ref="F6:K6"/>
    <mergeCell ref="B52:D52"/>
    <mergeCell ref="F7:K7"/>
    <mergeCell ref="C5:T5"/>
    <mergeCell ref="L3:T3"/>
    <mergeCell ref="F3:K3"/>
  </mergeCells>
  <dataValidations count="3">
    <dataValidation sqref="F52:T52" showDropDown="0" showInputMessage="1" showErrorMessage="1" allowBlank="1" type="list">
      <formula1>"P,F, "</formula1>
    </dataValidation>
    <dataValidation sqref="F51:T51" showDropDown="0" showInputMessage="1" showErrorMessage="1" allowBlank="1" type="list">
      <formula1>"N,A,B, "</formula1>
    </dataValidation>
    <dataValidation sqref="F10:T50"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V29"/>
  <sheetViews>
    <sheetView zoomScale="130" zoomScaleNormal="130" workbookViewId="0">
      <selection activeCell="Y27" sqref="Y27"/>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Facility - 1</t>
        </is>
      </c>
      <c r="D2" s="439" t="n"/>
      <c r="E2" s="441" t="n"/>
      <c r="F2" s="410" t="inlineStr">
        <is>
          <t>Function Name</t>
        </is>
      </c>
      <c r="G2" s="496" t="n"/>
      <c r="H2" s="496" t="n"/>
      <c r="I2" s="496" t="n"/>
      <c r="J2" s="496" t="n"/>
      <c r="K2" s="496" t="n"/>
      <c r="L2" s="443" t="inlineStr">
        <is>
          <t>Get Facilities</t>
        </is>
      </c>
      <c r="M2" s="439" t="n"/>
      <c r="N2" s="439" t="n"/>
      <c r="O2" s="439" t="n"/>
      <c r="P2" s="439" t="n"/>
      <c r="Q2" s="439" t="n"/>
      <c r="R2" s="439" t="n"/>
      <c r="S2" s="439" t="n"/>
      <c r="T2" s="444" t="n"/>
      <c r="V2" s="71" t="n"/>
    </row>
    <row r="3" ht="13.5" customHeight="1" s="426">
      <c r="A3" s="445" t="inlineStr">
        <is>
          <t>Created By</t>
        </is>
      </c>
      <c r="B3" s="428" t="n"/>
      <c r="C3" s="446" t="inlineStr">
        <is>
          <t>Nguyễn Thanh Tuấn</t>
        </is>
      </c>
      <c r="D3" s="433" t="n"/>
      <c r="E3" s="447" t="n"/>
      <c r="F3" s="448" t="inlineStr">
        <is>
          <t>Executed By</t>
        </is>
      </c>
      <c r="G3" s="449" t="n"/>
      <c r="H3" s="449" t="n"/>
      <c r="I3" s="449" t="n"/>
      <c r="J3" s="449" t="n"/>
      <c r="K3" s="450" t="n"/>
      <c r="L3" s="453" t="inlineStr">
        <is>
          <t>Nguyễn Thanh Tuấn</t>
        </is>
      </c>
      <c r="M3" s="454" t="n"/>
      <c r="N3" s="454" t="n"/>
      <c r="O3" s="454" t="n"/>
      <c r="P3" s="454" t="n"/>
      <c r="Q3" s="454" t="n"/>
      <c r="R3" s="454" t="n"/>
      <c r="S3" s="454" t="n"/>
      <c r="T3" s="455" t="n"/>
    </row>
    <row r="4" ht="13.5" customHeight="1" s="426">
      <c r="A4" s="445" t="inlineStr">
        <is>
          <t>Lines  of code</t>
        </is>
      </c>
      <c r="B4" s="428" t="n"/>
      <c r="C4" s="327" t="n">
        <v>102</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COUNTIF(F26:HQ26,"P")</f>
        <v/>
      </c>
      <c r="B7" s="465" t="n"/>
      <c r="C7" s="466">
        <f>COUNTIF(F27:HQ27,"F")</f>
        <v/>
      </c>
      <c r="D7" s="467" t="n"/>
      <c r="E7" s="465" t="n"/>
      <c r="F7" s="468">
        <f>SUM(O7,- A7,- C7)</f>
        <v/>
      </c>
      <c r="G7" s="467" t="n"/>
      <c r="H7" s="467" t="n"/>
      <c r="I7" s="467" t="n"/>
      <c r="J7" s="467" t="n"/>
      <c r="K7" s="469" t="n"/>
      <c r="L7" s="342">
        <f>COUNTIF(E25:HQ25,"N")</f>
        <v/>
      </c>
      <c r="M7" s="342">
        <f>COUNTIF(E25:HQ25,"A")</f>
        <v/>
      </c>
      <c r="N7" s="342">
        <f>COUNTIF(E25:HQ25,"B")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n"/>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n"/>
      <c r="I13" s="148" t="n"/>
      <c r="J13" s="148" t="n"/>
      <c r="K13" s="148" t="n"/>
      <c r="L13" s="148" t="n"/>
      <c r="M13" s="148" t="n"/>
      <c r="N13" s="148" t="n"/>
      <c r="O13" s="148" t="n"/>
      <c r="P13" s="148" t="n"/>
      <c r="Q13" s="148" t="n"/>
      <c r="R13" s="148" t="n"/>
      <c r="S13" s="148" t="n"/>
      <c r="T13" s="170" t="n"/>
    </row>
    <row r="14" ht="13.5" customHeight="1" s="426">
      <c r="A14" s="171" t="n"/>
      <c r="B14" s="75" t="n"/>
      <c r="C14" s="76" t="n"/>
      <c r="D14" s="77" t="inlineStr">
        <is>
          <t>No Entry in Database</t>
        </is>
      </c>
      <c r="E14" s="80" t="n"/>
      <c r="F14" s="148" t="n"/>
      <c r="G14" s="148" t="inlineStr">
        <is>
          <t>O</t>
        </is>
      </c>
      <c r="H14" s="148" t="inlineStr">
        <is>
          <t>O</t>
        </is>
      </c>
      <c r="I14" s="148" t="inlineStr">
        <is>
          <t>O</t>
        </is>
      </c>
      <c r="J14" s="148" t="n"/>
      <c r="K14" s="148" t="n"/>
      <c r="L14" s="148" t="n"/>
      <c r="M14" s="148" t="n"/>
      <c r="N14" s="148" t="n"/>
      <c r="O14" s="148" t="n"/>
      <c r="P14" s="148" t="n"/>
      <c r="Q14" s="148" t="n"/>
      <c r="R14" s="148" t="n"/>
      <c r="S14" s="148" t="n"/>
      <c r="T14" s="170" t="n"/>
    </row>
    <row r="15" ht="13.5" customHeight="1" s="426">
      <c r="A15" s="171" t="n"/>
      <c r="B15" s="75" t="inlineStr">
        <is>
          <t>roleId</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c r="A16" s="171" t="n"/>
      <c r="B16" s="75" t="n"/>
      <c r="C16" s="76" t="n"/>
      <c r="D16" s="77" t="n">
        <v>1</v>
      </c>
      <c r="E16" s="80" t="n"/>
      <c r="F16" s="148" t="inlineStr">
        <is>
          <t>O</t>
        </is>
      </c>
      <c r="G16" s="148" t="inlineStr">
        <is>
          <t>O</t>
        </is>
      </c>
      <c r="H16" s="148" t="n"/>
      <c r="I16" s="148" t="inlineStr">
        <is>
          <t>O</t>
        </is>
      </c>
      <c r="J16" s="148" t="n"/>
      <c r="K16" s="148" t="n"/>
      <c r="L16" s="148" t="n"/>
      <c r="M16" s="148" t="n"/>
      <c r="N16" s="148" t="n"/>
      <c r="O16" s="148" t="n"/>
      <c r="P16" s="148" t="n"/>
      <c r="Q16" s="148" t="n"/>
      <c r="R16" s="148" t="n"/>
      <c r="S16" s="148" t="n"/>
      <c r="T16" s="170" t="n"/>
    </row>
    <row r="17" ht="13.5" customHeight="1" s="426" thickBot="1">
      <c r="A17" s="171" t="n"/>
      <c r="B17" s="75" t="n"/>
      <c r="C17" s="76" t="n"/>
      <c r="D17" s="77" t="n">
        <v>9999</v>
      </c>
      <c r="E17" s="80" t="n"/>
      <c r="F17" s="148" t="n"/>
      <c r="G17" s="148" t="n"/>
      <c r="H17" s="148" t="inlineStr">
        <is>
          <t>O</t>
        </is>
      </c>
      <c r="I17" s="148" t="n"/>
      <c r="J17" s="148" t="n"/>
      <c r="K17" s="148" t="n"/>
      <c r="L17" s="148" t="n"/>
      <c r="M17" s="148" t="n"/>
      <c r="N17" s="148" t="n"/>
      <c r="O17" s="148" t="n"/>
      <c r="P17" s="148" t="n"/>
      <c r="Q17" s="148" t="n"/>
      <c r="R17" s="148" t="n"/>
      <c r="S17" s="148" t="n"/>
      <c r="T17" s="170" t="n"/>
    </row>
    <row r="18" ht="13.5" customHeight="1" s="426">
      <c r="A18" s="182" t="inlineStr">
        <is>
          <t>Confirm</t>
        </is>
      </c>
      <c r="B18" s="208" t="inlineStr">
        <is>
          <t>Return</t>
        </is>
      </c>
      <c r="C18" s="239" t="n"/>
      <c r="D18" s="210" t="n"/>
      <c r="E18" s="86" t="n"/>
      <c r="F18" s="87" t="n"/>
      <c r="G18" s="87" t="n"/>
      <c r="H18" s="87" t="n"/>
      <c r="I18" s="87" t="n"/>
      <c r="J18" s="87" t="n"/>
      <c r="K18" s="87" t="n"/>
      <c r="L18" s="87" t="n"/>
      <c r="M18" s="87" t="n"/>
      <c r="N18" s="87" t="n"/>
      <c r="O18" s="87" t="n"/>
      <c r="P18" s="87" t="n"/>
      <c r="Q18" s="87" t="n"/>
      <c r="R18" s="87" t="n"/>
      <c r="S18" s="87" t="n"/>
      <c r="T18" s="196" t="n"/>
    </row>
    <row r="19" ht="13.5" customHeight="1" s="426">
      <c r="A19" s="181" t="n"/>
      <c r="B19" s="208" t="n"/>
      <c r="C19" s="209" t="n"/>
      <c r="D19" s="210" t="inlineStr">
        <is>
          <t>Facility List</t>
        </is>
      </c>
      <c r="E19" s="91" t="n"/>
      <c r="F19" s="148" t="inlineStr">
        <is>
          <t>O</t>
        </is>
      </c>
      <c r="G19" s="79" t="n"/>
      <c r="H19" s="79" t="n"/>
      <c r="I19" s="79" t="n"/>
      <c r="J19" s="79" t="n"/>
      <c r="K19" s="79" t="n"/>
      <c r="L19" s="148" t="n"/>
      <c r="M19" s="79" t="n"/>
      <c r="N19" s="148" t="n"/>
      <c r="O19" s="79" t="n"/>
      <c r="P19" s="79" t="n"/>
      <c r="Q19" s="79" t="n"/>
      <c r="R19" s="79" t="n"/>
      <c r="S19" s="79" t="n"/>
      <c r="T19" s="195" t="n"/>
    </row>
    <row r="20" ht="13.5" customHeight="1" s="426">
      <c r="A20" s="181" t="n"/>
      <c r="B20" s="126" t="n"/>
      <c r="C20" s="89" t="n"/>
      <c r="D20" s="90" t="inlineStr">
        <is>
          <t>Null</t>
        </is>
      </c>
      <c r="E20" s="91" t="n"/>
      <c r="F20" s="79" t="n"/>
      <c r="G20" s="148" t="inlineStr">
        <is>
          <t>O</t>
        </is>
      </c>
      <c r="H20" s="148" t="inlineStr">
        <is>
          <t>O</t>
        </is>
      </c>
      <c r="I20" s="148" t="n"/>
      <c r="J20" s="148" t="n"/>
      <c r="K20" s="79" t="n"/>
      <c r="L20" s="79" t="n"/>
      <c r="M20" s="148" t="n"/>
      <c r="N20" s="79" t="n"/>
      <c r="O20" s="148" t="n"/>
      <c r="P20" s="79" t="n"/>
      <c r="Q20" s="79" t="n"/>
      <c r="R20" s="79" t="n"/>
      <c r="S20" s="79" t="n"/>
      <c r="T20" s="195" t="n"/>
    </row>
    <row r="21" ht="13.5" customHeight="1" s="426">
      <c r="A21" s="181" t="n"/>
      <c r="B21" s="116" t="inlineStr">
        <is>
          <t>Exception</t>
        </is>
      </c>
      <c r="C21" s="120" t="n"/>
      <c r="D21" s="118" t="n"/>
      <c r="E21" s="91" t="n"/>
      <c r="F21" s="79" t="n"/>
      <c r="G21" s="79" t="n"/>
      <c r="H21" s="79" t="n"/>
      <c r="I21" s="79" t="n"/>
      <c r="J21" s="79" t="n"/>
      <c r="K21" s="79" t="n"/>
      <c r="L21" s="79" t="n"/>
      <c r="M21" s="79" t="n"/>
      <c r="N21" s="79" t="n"/>
      <c r="O21" s="79" t="n"/>
      <c r="P21" s="79" t="n"/>
      <c r="Q21" s="79" t="n"/>
      <c r="R21" s="79" t="n"/>
      <c r="S21" s="79" t="n"/>
      <c r="T21" s="195" t="n"/>
    </row>
    <row r="22" ht="13.5" customHeight="1" s="426">
      <c r="A22" s="181" t="n"/>
      <c r="B22" s="116" t="n"/>
      <c r="C22" s="120" t="n"/>
      <c r="D22" s="118" t="inlineStr">
        <is>
          <t>InvalidOperationException</t>
        </is>
      </c>
      <c r="E22" s="91" t="n"/>
      <c r="F22" s="79" t="n"/>
      <c r="G22" s="79" t="n"/>
      <c r="H22" s="79" t="n"/>
      <c r="I22" s="148" t="inlineStr">
        <is>
          <t>O</t>
        </is>
      </c>
      <c r="J22" s="79" t="n"/>
      <c r="K22" s="148" t="n"/>
      <c r="L22" s="79" t="n"/>
      <c r="M22" s="79" t="n"/>
      <c r="N22" s="79" t="n"/>
      <c r="O22" s="79" t="n"/>
      <c r="P22" s="79" t="n"/>
      <c r="Q22" s="79" t="n"/>
      <c r="R22" s="79" t="n"/>
      <c r="S22" s="79" t="n"/>
      <c r="T22" s="195" t="n"/>
    </row>
    <row r="23" ht="13.5" customHeight="1" s="426">
      <c r="A23" s="181" t="n"/>
      <c r="B23" s="88" t="inlineStr">
        <is>
          <t>Log message</t>
        </is>
      </c>
      <c r="C23" s="89" t="n"/>
      <c r="D23" s="90" t="n"/>
      <c r="E23" s="91" t="n"/>
      <c r="F23" s="79" t="n"/>
      <c r="G23" s="79" t="n"/>
      <c r="H23" s="79" t="n"/>
      <c r="I23" s="79" t="n"/>
      <c r="J23" s="79" t="n"/>
      <c r="K23" s="79" t="n"/>
      <c r="L23" s="79" t="n"/>
      <c r="M23" s="79" t="n"/>
      <c r="N23" s="79" t="n"/>
      <c r="O23" s="79" t="n"/>
      <c r="P23" s="79" t="n"/>
      <c r="Q23" s="79" t="n"/>
      <c r="R23" s="79" t="n"/>
      <c r="S23" s="79" t="n"/>
      <c r="T23" s="195" t="n"/>
    </row>
    <row r="24" ht="13.5" customHeight="1" s="426" thickBot="1">
      <c r="A24" s="181" t="n"/>
      <c r="B24" s="88" t="n"/>
      <c r="C24" s="89" t="n"/>
      <c r="D24" s="90" t="inlineStr">
        <is>
          <t>"Database query error"</t>
        </is>
      </c>
      <c r="E24" s="91" t="n"/>
      <c r="F24" s="148" t="n"/>
      <c r="G24" s="79" t="n"/>
      <c r="H24" s="79" t="n"/>
      <c r="I24" s="148" t="inlineStr">
        <is>
          <t>O</t>
        </is>
      </c>
      <c r="J24" s="79" t="n"/>
      <c r="K24" s="79" t="n"/>
      <c r="L24" s="79" t="n"/>
      <c r="M24" s="79" t="n"/>
      <c r="N24" s="79" t="n"/>
      <c r="O24" s="79" t="n"/>
      <c r="P24" s="79" t="n"/>
      <c r="Q24" s="79" t="n"/>
      <c r="R24" s="79" t="n"/>
      <c r="S24" s="79" t="n"/>
      <c r="T24" s="195" t="n"/>
    </row>
    <row r="25" ht="13.5" customHeight="1" s="426" thickTop="1">
      <c r="A25" s="182" t="inlineStr">
        <is>
          <t>Result</t>
        </is>
      </c>
      <c r="B25" s="331" t="inlineStr">
        <is>
          <t>Type(N : Normal, A : Abnormal, B : Boundary)</t>
        </is>
      </c>
      <c r="C25" s="472" t="n"/>
      <c r="D25" s="473" t="n"/>
      <c r="E25" s="331" t="n"/>
      <c r="F25" s="188" t="inlineStr">
        <is>
          <t>N</t>
        </is>
      </c>
      <c r="G25" s="188" t="inlineStr">
        <is>
          <t>N</t>
        </is>
      </c>
      <c r="H25" s="188" t="inlineStr">
        <is>
          <t>N</t>
        </is>
      </c>
      <c r="I25" s="188" t="inlineStr">
        <is>
          <t>A</t>
        </is>
      </c>
      <c r="J25" s="188" t="n"/>
      <c r="K25" s="188" t="n"/>
      <c r="L25" s="188" t="n"/>
      <c r="M25" s="188" t="n"/>
      <c r="N25" s="188" t="n"/>
      <c r="O25" s="188" t="n"/>
      <c r="P25" s="188" t="n"/>
      <c r="Q25" s="188" t="n"/>
      <c r="R25" s="188" t="n"/>
      <c r="S25" s="188" t="n"/>
      <c r="T25" s="198" t="n"/>
    </row>
    <row r="26" ht="13.5" customHeight="1" s="426">
      <c r="A26" s="174" t="n"/>
      <c r="B26" s="320" t="inlineStr">
        <is>
          <t>Passed/Failed</t>
        </is>
      </c>
      <c r="C26" s="449" t="n"/>
      <c r="D26" s="450" t="n"/>
      <c r="E26" s="95" t="n"/>
      <c r="F26" s="94" t="inlineStr">
        <is>
          <t>P</t>
        </is>
      </c>
      <c r="G26" s="94" t="inlineStr">
        <is>
          <t>P</t>
        </is>
      </c>
      <c r="H26" s="94" t="inlineStr">
        <is>
          <t>P</t>
        </is>
      </c>
      <c r="I26" s="94" t="inlineStr">
        <is>
          <t>P</t>
        </is>
      </c>
      <c r="J26" s="94" t="n"/>
      <c r="K26" s="94" t="n"/>
      <c r="L26" s="94" t="n"/>
      <c r="M26" s="94" t="n"/>
      <c r="N26" s="94" t="n"/>
      <c r="O26" s="94" t="n"/>
      <c r="P26" s="94" t="n"/>
      <c r="Q26" s="94" t="n"/>
      <c r="R26" s="94" t="n"/>
      <c r="S26" s="94" t="n"/>
      <c r="T26" s="199" t="n"/>
    </row>
    <row r="27" ht="71.5" customHeight="1" s="426">
      <c r="A27" s="174" t="n"/>
      <c r="B27" s="329" t="inlineStr">
        <is>
          <t>Executed Date</t>
        </is>
      </c>
      <c r="C27" s="449" t="n"/>
      <c r="D27" s="450" t="n"/>
      <c r="E27" s="96" t="n"/>
      <c r="F27" s="97" t="n">
        <v>45700</v>
      </c>
      <c r="G27" s="97" t="n">
        <v>45700</v>
      </c>
      <c r="H27" s="97" t="n">
        <v>45700</v>
      </c>
      <c r="I27" s="97" t="n">
        <v>45700</v>
      </c>
      <c r="J27" s="97" t="n"/>
      <c r="K27" s="97" t="n"/>
      <c r="L27" s="97" t="n"/>
      <c r="M27" s="97" t="n"/>
      <c r="N27" s="97" t="n"/>
      <c r="O27" s="97" t="n"/>
      <c r="P27" s="97" t="n"/>
      <c r="Q27" s="97" t="n"/>
      <c r="R27" s="97" t="n"/>
      <c r="S27" s="97" t="n"/>
      <c r="T27" s="176" t="n"/>
    </row>
    <row r="28" ht="10.5" customHeight="1" s="426" thickBot="1">
      <c r="A28" s="177" t="n"/>
      <c r="B28" s="330" t="inlineStr">
        <is>
          <t>Defect ID</t>
        </is>
      </c>
      <c r="C28" s="474" t="n"/>
      <c r="D28" s="475" t="n"/>
      <c r="E28" s="178" t="n"/>
      <c r="F28" s="179" t="n"/>
      <c r="G28" s="179" t="n"/>
      <c r="H28" s="179" t="n"/>
      <c r="I28" s="179" t="n"/>
      <c r="J28" s="179" t="n"/>
      <c r="K28" s="179" t="n"/>
      <c r="L28" s="179" t="n"/>
      <c r="M28" s="179" t="n"/>
      <c r="N28" s="179" t="n"/>
      <c r="O28" s="179" t="n"/>
      <c r="P28" s="179" t="n"/>
      <c r="Q28" s="179" t="n"/>
      <c r="R28" s="179" t="n"/>
      <c r="S28" s="179" t="n"/>
      <c r="T28" s="180" t="n"/>
    </row>
    <row r="29" ht="10.5" customHeight="1" s="426" thickTop="1">
      <c r="A29" s="73" t="n"/>
      <c r="B29" s="69" t="n"/>
      <c r="C29" s="413" t="n"/>
      <c r="D29" s="69" t="n"/>
    </row>
  </sheetData>
  <mergeCells count="27">
    <mergeCell ref="F2:K2"/>
    <mergeCell ref="A6:B6"/>
    <mergeCell ref="C4:D4"/>
    <mergeCell ref="L4:T4"/>
    <mergeCell ref="B28:D28"/>
    <mergeCell ref="C2:E2"/>
    <mergeCell ref="A7:B7"/>
    <mergeCell ref="C7:E7"/>
    <mergeCell ref="L6:N6"/>
    <mergeCell ref="A3:B3"/>
    <mergeCell ref="A2:B2"/>
    <mergeCell ref="A5:B5"/>
    <mergeCell ref="B26:D26"/>
    <mergeCell ref="C3:E3"/>
    <mergeCell ref="O7:T7"/>
    <mergeCell ref="F4:K4"/>
    <mergeCell ref="B25:D25"/>
    <mergeCell ref="C6:E6"/>
    <mergeCell ref="A4:B4"/>
    <mergeCell ref="L2:T2"/>
    <mergeCell ref="O6:T6"/>
    <mergeCell ref="F6:K6"/>
    <mergeCell ref="B27:D27"/>
    <mergeCell ref="F7:K7"/>
    <mergeCell ref="C5:T5"/>
    <mergeCell ref="L3:T3"/>
    <mergeCell ref="F3:K3"/>
  </mergeCells>
  <dataValidations count="3">
    <dataValidation sqref="F25:T25" showDropDown="0" showInputMessage="1" showErrorMessage="1" allowBlank="1" type="list">
      <formula1>"N,A,B, "</formula1>
    </dataValidation>
    <dataValidation sqref="F26:T26" showDropDown="0" showInputMessage="1" showErrorMessage="1" allowBlank="1" type="list">
      <formula1>"P,F, "</formula1>
    </dataValidation>
    <dataValidation sqref="F10:T24"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V29"/>
  <sheetViews>
    <sheetView topLeftCell="A25" zoomScale="130" zoomScaleNormal="130" workbookViewId="0">
      <selection activeCell="O36" sqref="O36:O37"/>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RoomFacility - 1</t>
        </is>
      </c>
      <c r="D2" s="439" t="n"/>
      <c r="E2" s="441" t="n"/>
      <c r="F2" s="410" t="inlineStr">
        <is>
          <t>Function Name</t>
        </is>
      </c>
      <c r="G2" s="496" t="n"/>
      <c r="H2" s="496" t="n"/>
      <c r="I2" s="496" t="n"/>
      <c r="J2" s="496" t="n"/>
      <c r="K2" s="496" t="n"/>
      <c r="L2" s="443" t="inlineStr">
        <is>
          <t>Get Room Facilities By Room Id</t>
        </is>
      </c>
      <c r="M2" s="439" t="n"/>
      <c r="N2" s="439" t="n"/>
      <c r="O2" s="439" t="n"/>
      <c r="P2" s="439" t="n"/>
      <c r="Q2" s="439" t="n"/>
      <c r="R2" s="439" t="n"/>
      <c r="S2" s="439" t="n"/>
      <c r="T2" s="444" t="n"/>
      <c r="V2" s="71" t="n"/>
    </row>
    <row r="3" ht="13.5" customHeight="1" s="426">
      <c r="A3" s="445" t="inlineStr">
        <is>
          <t>Created By</t>
        </is>
      </c>
      <c r="B3" s="428" t="n"/>
      <c r="C3" s="446" t="inlineStr">
        <is>
          <t>Nguyễn Thanh Tuấn</t>
        </is>
      </c>
      <c r="D3" s="433" t="n"/>
      <c r="E3" s="447" t="n"/>
      <c r="F3" s="448" t="inlineStr">
        <is>
          <t>Executed By</t>
        </is>
      </c>
      <c r="G3" s="449" t="n"/>
      <c r="H3" s="449" t="n"/>
      <c r="I3" s="449" t="n"/>
      <c r="J3" s="449" t="n"/>
      <c r="K3" s="450" t="n"/>
      <c r="L3" s="453" t="inlineStr">
        <is>
          <t>Nguyễn Thanh Tuấn</t>
        </is>
      </c>
      <c r="M3" s="454" t="n"/>
      <c r="N3" s="454" t="n"/>
      <c r="O3" s="454" t="n"/>
      <c r="P3" s="454" t="n"/>
      <c r="Q3" s="454" t="n"/>
      <c r="R3" s="454" t="n"/>
      <c r="S3" s="454" t="n"/>
      <c r="T3" s="455" t="n"/>
    </row>
    <row r="4" ht="13.5" customHeight="1" s="426">
      <c r="A4" s="445" t="inlineStr">
        <is>
          <t>Lines  of code</t>
        </is>
      </c>
      <c r="B4" s="428" t="n"/>
      <c r="C4" s="327" t="n">
        <v>102</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COUNTIF(F26:HQ26,"P")</f>
        <v/>
      </c>
      <c r="B7" s="465" t="n"/>
      <c r="C7" s="466">
        <f>COUNTIF(F27:HQ27,"F")</f>
        <v/>
      </c>
      <c r="D7" s="467" t="n"/>
      <c r="E7" s="465" t="n"/>
      <c r="F7" s="468">
        <f>SUM(O7,- A7,- C7)</f>
        <v/>
      </c>
      <c r="G7" s="467" t="n"/>
      <c r="H7" s="467" t="n"/>
      <c r="I7" s="467" t="n"/>
      <c r="J7" s="467" t="n"/>
      <c r="K7" s="469" t="n"/>
      <c r="L7" s="342">
        <f>COUNTIF(E25:HQ25,"N")</f>
        <v/>
      </c>
      <c r="M7" s="342">
        <f>COUNTIF(E25:HQ25,"A")</f>
        <v/>
      </c>
      <c r="N7" s="342">
        <f>COUNTIF(E25:HQ25,"B")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n"/>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n"/>
      <c r="I13" s="148" t="n"/>
      <c r="J13" s="148" t="n"/>
      <c r="K13" s="148" t="n"/>
      <c r="L13" s="148" t="n"/>
      <c r="M13" s="148" t="n"/>
      <c r="N13" s="148" t="n"/>
      <c r="O13" s="148" t="n"/>
      <c r="P13" s="148" t="n"/>
      <c r="Q13" s="148" t="n"/>
      <c r="R13" s="148" t="n"/>
      <c r="S13" s="148" t="n"/>
      <c r="T13" s="170" t="n"/>
    </row>
    <row r="14" ht="13.5" customHeight="1" s="426">
      <c r="A14" s="171" t="n"/>
      <c r="B14" s="75" t="n"/>
      <c r="C14" s="76" t="n"/>
      <c r="D14" s="77" t="inlineStr">
        <is>
          <t>No Entry in Database</t>
        </is>
      </c>
      <c r="E14" s="80" t="n"/>
      <c r="F14" s="148" t="n"/>
      <c r="G14" s="148" t="inlineStr">
        <is>
          <t>O</t>
        </is>
      </c>
      <c r="H14" s="148" t="inlineStr">
        <is>
          <t>O</t>
        </is>
      </c>
      <c r="I14" s="148" t="inlineStr">
        <is>
          <t>O</t>
        </is>
      </c>
      <c r="J14" s="148" t="n"/>
      <c r="K14" s="148" t="n"/>
      <c r="L14" s="148" t="n"/>
      <c r="M14" s="148" t="n"/>
      <c r="N14" s="148" t="n"/>
      <c r="O14" s="148" t="n"/>
      <c r="P14" s="148" t="n"/>
      <c r="Q14" s="148" t="n"/>
      <c r="R14" s="148" t="n"/>
      <c r="S14" s="148" t="n"/>
      <c r="T14" s="170" t="n"/>
    </row>
    <row r="15" ht="13.5" customHeight="1" s="426">
      <c r="A15" s="171" t="n"/>
      <c r="B15" s="75" t="inlineStr">
        <is>
          <t>RoomId</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c r="A16" s="171" t="n"/>
      <c r="B16" s="75" t="n"/>
      <c r="C16" s="76" t="n"/>
      <c r="D16" s="77" t="inlineStr">
        <is>
          <t>Guid</t>
        </is>
      </c>
      <c r="E16" s="80" t="n"/>
      <c r="F16" s="148" t="inlineStr">
        <is>
          <t>O</t>
        </is>
      </c>
      <c r="G16" s="148" t="inlineStr">
        <is>
          <t>O</t>
        </is>
      </c>
      <c r="H16" s="148" t="n"/>
      <c r="I16" s="148" t="inlineStr">
        <is>
          <t>O</t>
        </is>
      </c>
      <c r="J16" s="148" t="n"/>
      <c r="K16" s="148" t="n"/>
      <c r="L16" s="148" t="n"/>
      <c r="M16" s="148" t="n"/>
      <c r="N16" s="148" t="n"/>
      <c r="O16" s="148" t="n"/>
      <c r="P16" s="148" t="n"/>
      <c r="Q16" s="148" t="n"/>
      <c r="R16" s="148" t="n"/>
      <c r="S16" s="148" t="n"/>
      <c r="T16" s="170" t="n"/>
    </row>
    <row r="17" ht="13.5" customHeight="1" s="426" thickBot="1">
      <c r="A17" s="171" t="n"/>
      <c r="B17" s="75" t="n"/>
      <c r="C17" s="76" t="n"/>
      <c r="D17" s="77" t="inlineStr">
        <is>
          <t>null</t>
        </is>
      </c>
      <c r="E17" s="80" t="n"/>
      <c r="F17" s="148" t="n"/>
      <c r="G17" s="148" t="n"/>
      <c r="H17" s="148" t="inlineStr">
        <is>
          <t>O</t>
        </is>
      </c>
      <c r="I17" s="148" t="n"/>
      <c r="J17" s="148" t="n"/>
      <c r="K17" s="148" t="n"/>
      <c r="L17" s="148" t="n"/>
      <c r="M17" s="148" t="n"/>
      <c r="N17" s="148" t="n"/>
      <c r="O17" s="148" t="n"/>
      <c r="P17" s="148" t="n"/>
      <c r="Q17" s="148" t="n"/>
      <c r="R17" s="148" t="n"/>
      <c r="S17" s="148" t="n"/>
      <c r="T17" s="170" t="n"/>
    </row>
    <row r="18" ht="13.5" customHeight="1" s="426">
      <c r="A18" s="182" t="inlineStr">
        <is>
          <t>Confirm</t>
        </is>
      </c>
      <c r="B18" s="208" t="inlineStr">
        <is>
          <t>Return</t>
        </is>
      </c>
      <c r="C18" s="239" t="n"/>
      <c r="D18" s="210" t="n"/>
      <c r="E18" s="86" t="n"/>
      <c r="F18" s="87" t="n"/>
      <c r="G18" s="87" t="n"/>
      <c r="H18" s="87" t="n"/>
      <c r="I18" s="87" t="n"/>
      <c r="J18" s="87" t="n"/>
      <c r="K18" s="87" t="n"/>
      <c r="L18" s="87" t="n"/>
      <c r="M18" s="87" t="n"/>
      <c r="N18" s="87" t="n"/>
      <c r="O18" s="87" t="n"/>
      <c r="P18" s="87" t="n"/>
      <c r="Q18" s="87" t="n"/>
      <c r="R18" s="87" t="n"/>
      <c r="S18" s="87" t="n"/>
      <c r="T18" s="196" t="n"/>
    </row>
    <row r="19" ht="13.5" customHeight="1" s="426">
      <c r="A19" s="181" t="n"/>
      <c r="B19" s="208" t="n"/>
      <c r="C19" s="209" t="n"/>
      <c r="D19" s="210" t="inlineStr">
        <is>
          <t>Room Facilities List</t>
        </is>
      </c>
      <c r="E19" s="91" t="n"/>
      <c r="F19" s="148" t="inlineStr">
        <is>
          <t>O</t>
        </is>
      </c>
      <c r="G19" s="79" t="n"/>
      <c r="H19" s="79" t="n"/>
      <c r="I19" s="79" t="n"/>
      <c r="J19" s="79" t="n"/>
      <c r="K19" s="79" t="n"/>
      <c r="L19" s="148" t="n"/>
      <c r="M19" s="79" t="n"/>
      <c r="N19" s="148" t="n"/>
      <c r="O19" s="79" t="n"/>
      <c r="P19" s="79" t="n"/>
      <c r="Q19" s="79" t="n"/>
      <c r="R19" s="79" t="n"/>
      <c r="S19" s="79" t="n"/>
      <c r="T19" s="195" t="n"/>
    </row>
    <row r="20" ht="13.5" customHeight="1" s="426">
      <c r="A20" s="181" t="n"/>
      <c r="B20" s="126" t="n"/>
      <c r="C20" s="89" t="n"/>
      <c r="D20" s="90" t="inlineStr">
        <is>
          <t>Null</t>
        </is>
      </c>
      <c r="E20" s="91" t="n"/>
      <c r="F20" s="79" t="n"/>
      <c r="G20" s="148" t="inlineStr">
        <is>
          <t>O</t>
        </is>
      </c>
      <c r="H20" s="148" t="inlineStr">
        <is>
          <t>O</t>
        </is>
      </c>
      <c r="I20" s="148" t="n"/>
      <c r="J20" s="148" t="n"/>
      <c r="K20" s="79" t="n"/>
      <c r="L20" s="79" t="n"/>
      <c r="M20" s="148" t="n"/>
      <c r="N20" s="79" t="n"/>
      <c r="O20" s="148" t="n"/>
      <c r="P20" s="79" t="n"/>
      <c r="Q20" s="79" t="n"/>
      <c r="R20" s="79" t="n"/>
      <c r="S20" s="79" t="n"/>
      <c r="T20" s="195" t="n"/>
    </row>
    <row r="21" ht="13.5" customHeight="1" s="426">
      <c r="A21" s="181" t="n"/>
      <c r="B21" s="116" t="inlineStr">
        <is>
          <t>Exception</t>
        </is>
      </c>
      <c r="C21" s="120" t="n"/>
      <c r="D21" s="118" t="n"/>
      <c r="E21" s="91" t="n"/>
      <c r="F21" s="79" t="n"/>
      <c r="G21" s="79" t="n"/>
      <c r="H21" s="79" t="n"/>
      <c r="I21" s="79" t="n"/>
      <c r="J21" s="79" t="n"/>
      <c r="K21" s="79" t="n"/>
      <c r="L21" s="79" t="n"/>
      <c r="M21" s="79" t="n"/>
      <c r="N21" s="79" t="n"/>
      <c r="O21" s="79" t="n"/>
      <c r="P21" s="79" t="n"/>
      <c r="Q21" s="79" t="n"/>
      <c r="R21" s="79" t="n"/>
      <c r="S21" s="79" t="n"/>
      <c r="T21" s="195" t="n"/>
    </row>
    <row r="22" ht="13.5" customHeight="1" s="426">
      <c r="A22" s="181" t="n"/>
      <c r="B22" s="116" t="n"/>
      <c r="C22" s="120" t="n"/>
      <c r="D22" s="118" t="inlineStr">
        <is>
          <t>InvalidOperationException</t>
        </is>
      </c>
      <c r="E22" s="91" t="n"/>
      <c r="F22" s="79" t="n"/>
      <c r="G22" s="79" t="n"/>
      <c r="H22" s="79" t="n"/>
      <c r="I22" s="148" t="inlineStr">
        <is>
          <t>O</t>
        </is>
      </c>
      <c r="J22" s="79" t="n"/>
      <c r="K22" s="148" t="n"/>
      <c r="L22" s="79" t="n"/>
      <c r="M22" s="79" t="n"/>
      <c r="N22" s="79" t="n"/>
      <c r="O22" s="79" t="n"/>
      <c r="P22" s="79" t="n"/>
      <c r="Q22" s="79" t="n"/>
      <c r="R22" s="79" t="n"/>
      <c r="S22" s="79" t="n"/>
      <c r="T22" s="195" t="n"/>
    </row>
    <row r="23" ht="13.5" customHeight="1" s="426">
      <c r="A23" s="181" t="n"/>
      <c r="B23" s="88" t="inlineStr">
        <is>
          <t>Log message</t>
        </is>
      </c>
      <c r="C23" s="89" t="n"/>
      <c r="D23" s="90" t="n"/>
      <c r="E23" s="91" t="n"/>
      <c r="F23" s="79" t="n"/>
      <c r="G23" s="79" t="n"/>
      <c r="H23" s="79" t="n"/>
      <c r="I23" s="79" t="n"/>
      <c r="J23" s="79" t="n"/>
      <c r="K23" s="79" t="n"/>
      <c r="L23" s="79" t="n"/>
      <c r="M23" s="79" t="n"/>
      <c r="N23" s="79" t="n"/>
      <c r="O23" s="79" t="n"/>
      <c r="P23" s="79" t="n"/>
      <c r="Q23" s="79" t="n"/>
      <c r="R23" s="79" t="n"/>
      <c r="S23" s="79" t="n"/>
      <c r="T23" s="195" t="n"/>
    </row>
    <row r="24" ht="13.5" customHeight="1" s="426" thickBot="1">
      <c r="A24" s="181" t="n"/>
      <c r="B24" s="88" t="n"/>
      <c r="C24" s="89" t="n"/>
      <c r="D24" s="90" t="inlineStr">
        <is>
          <t>"Simulated DB error"</t>
        </is>
      </c>
      <c r="E24" s="91" t="n"/>
      <c r="F24" s="148" t="n"/>
      <c r="G24" s="79" t="n"/>
      <c r="H24" s="79" t="n"/>
      <c r="I24" s="148" t="inlineStr">
        <is>
          <t>O</t>
        </is>
      </c>
      <c r="J24" s="79" t="n"/>
      <c r="K24" s="79" t="n"/>
      <c r="L24" s="79" t="n"/>
      <c r="M24" s="79" t="n"/>
      <c r="N24" s="79" t="n"/>
      <c r="O24" s="79" t="n"/>
      <c r="P24" s="79" t="n"/>
      <c r="Q24" s="79" t="n"/>
      <c r="R24" s="79" t="n"/>
      <c r="S24" s="79" t="n"/>
      <c r="T24" s="195" t="n"/>
    </row>
    <row r="25" ht="13.5" customHeight="1" s="426" thickTop="1">
      <c r="A25" s="182" t="inlineStr">
        <is>
          <t>Result</t>
        </is>
      </c>
      <c r="B25" s="331" t="inlineStr">
        <is>
          <t>Type(N : Normal, A : Abnormal, B : Boundary)</t>
        </is>
      </c>
      <c r="C25" s="472" t="n"/>
      <c r="D25" s="473" t="n"/>
      <c r="E25" s="331" t="n"/>
      <c r="F25" s="188" t="inlineStr">
        <is>
          <t>N</t>
        </is>
      </c>
      <c r="G25" s="188" t="inlineStr">
        <is>
          <t>N</t>
        </is>
      </c>
      <c r="H25" s="188" t="inlineStr">
        <is>
          <t>N</t>
        </is>
      </c>
      <c r="I25" s="188" t="inlineStr">
        <is>
          <t>A</t>
        </is>
      </c>
      <c r="J25" s="188" t="n"/>
      <c r="K25" s="188" t="n"/>
      <c r="L25" s="188" t="n"/>
      <c r="M25" s="188" t="n"/>
      <c r="N25" s="188" t="n"/>
      <c r="O25" s="188" t="n"/>
      <c r="P25" s="188" t="n"/>
      <c r="Q25" s="188" t="n"/>
      <c r="R25" s="188" t="n"/>
      <c r="S25" s="188" t="n"/>
      <c r="T25" s="198" t="n"/>
    </row>
    <row r="26" ht="13.5" customHeight="1" s="426">
      <c r="A26" s="174" t="n"/>
      <c r="B26" s="320" t="inlineStr">
        <is>
          <t>Passed/Failed</t>
        </is>
      </c>
      <c r="C26" s="449" t="n"/>
      <c r="D26" s="450" t="n"/>
      <c r="E26" s="95" t="n"/>
      <c r="F26" s="94" t="inlineStr">
        <is>
          <t>P</t>
        </is>
      </c>
      <c r="G26" s="94" t="inlineStr">
        <is>
          <t>P</t>
        </is>
      </c>
      <c r="H26" s="94" t="inlineStr">
        <is>
          <t>P</t>
        </is>
      </c>
      <c r="I26" s="94" t="inlineStr">
        <is>
          <t>P</t>
        </is>
      </c>
      <c r="J26" s="94" t="n"/>
      <c r="K26" s="94" t="n"/>
      <c r="L26" s="94" t="n"/>
      <c r="M26" s="94" t="n"/>
      <c r="N26" s="94" t="n"/>
      <c r="O26" s="94" t="n"/>
      <c r="P26" s="94" t="n"/>
      <c r="Q26" s="94" t="n"/>
      <c r="R26" s="94" t="n"/>
      <c r="S26" s="94" t="n"/>
      <c r="T26" s="199" t="n"/>
    </row>
    <row r="27" ht="71.5" customHeight="1" s="426">
      <c r="A27" s="174" t="n"/>
      <c r="B27" s="329" t="inlineStr">
        <is>
          <t>Executed Date</t>
        </is>
      </c>
      <c r="C27" s="449" t="n"/>
      <c r="D27" s="450" t="n"/>
      <c r="E27" s="96" t="n"/>
      <c r="F27" s="97" t="n">
        <v>45702</v>
      </c>
      <c r="G27" s="97" t="n">
        <v>45702</v>
      </c>
      <c r="H27" s="97" t="n">
        <v>45702</v>
      </c>
      <c r="I27" s="97" t="n">
        <v>45702</v>
      </c>
      <c r="J27" s="97" t="n"/>
      <c r="K27" s="97" t="n"/>
      <c r="L27" s="97" t="n"/>
      <c r="M27" s="97" t="n"/>
      <c r="N27" s="97" t="n"/>
      <c r="O27" s="97" t="n"/>
      <c r="P27" s="97" t="n"/>
      <c r="Q27" s="97" t="n"/>
      <c r="R27" s="97" t="n"/>
      <c r="S27" s="97" t="n"/>
      <c r="T27" s="176" t="n"/>
    </row>
    <row r="28" ht="10.5" customHeight="1" s="426" thickBot="1">
      <c r="A28" s="177" t="n"/>
      <c r="B28" s="330" t="inlineStr">
        <is>
          <t>Defect ID</t>
        </is>
      </c>
      <c r="C28" s="474" t="n"/>
      <c r="D28" s="475" t="n"/>
      <c r="E28" s="178" t="n"/>
      <c r="F28" s="179" t="n"/>
      <c r="G28" s="179" t="n"/>
      <c r="H28" s="179" t="n"/>
      <c r="I28" s="179" t="n"/>
      <c r="J28" s="179" t="n"/>
      <c r="K28" s="179" t="n"/>
      <c r="L28" s="179" t="n"/>
      <c r="M28" s="179" t="n"/>
      <c r="N28" s="179" t="n"/>
      <c r="O28" s="179" t="n"/>
      <c r="P28" s="179" t="n"/>
      <c r="Q28" s="179" t="n"/>
      <c r="R28" s="179" t="n"/>
      <c r="S28" s="179" t="n"/>
      <c r="T28" s="180" t="n"/>
    </row>
    <row r="29" ht="10.5" customHeight="1" s="426" thickTop="1">
      <c r="A29" s="73" t="n"/>
      <c r="B29" s="69" t="n"/>
      <c r="C29" s="413" t="n"/>
      <c r="D29" s="69" t="n"/>
    </row>
  </sheetData>
  <mergeCells count="27">
    <mergeCell ref="F2:K2"/>
    <mergeCell ref="A6:B6"/>
    <mergeCell ref="C4:D4"/>
    <mergeCell ref="C2:E2"/>
    <mergeCell ref="L4:T4"/>
    <mergeCell ref="B28:D28"/>
    <mergeCell ref="A7:B7"/>
    <mergeCell ref="C7:E7"/>
    <mergeCell ref="L6:N6"/>
    <mergeCell ref="A3:B3"/>
    <mergeCell ref="A2:B2"/>
    <mergeCell ref="A5:B5"/>
    <mergeCell ref="B26:D26"/>
    <mergeCell ref="C3:E3"/>
    <mergeCell ref="O7:T7"/>
    <mergeCell ref="F4:K4"/>
    <mergeCell ref="B25:D25"/>
    <mergeCell ref="C6:E6"/>
    <mergeCell ref="A4:B4"/>
    <mergeCell ref="L2:T2"/>
    <mergeCell ref="O6:T6"/>
    <mergeCell ref="F6:K6"/>
    <mergeCell ref="B27:D27"/>
    <mergeCell ref="C5:T5"/>
    <mergeCell ref="F7:K7"/>
    <mergeCell ref="L3:T3"/>
    <mergeCell ref="F3:K3"/>
  </mergeCells>
  <dataValidations count="3">
    <dataValidation sqref="F26:T26" showDropDown="0" showInputMessage="1" showErrorMessage="1" allowBlank="1" type="list">
      <formula1>"P,F, "</formula1>
    </dataValidation>
    <dataValidation sqref="F25:T25" showDropDown="0" showInputMessage="1" showErrorMessage="1" allowBlank="1" type="list">
      <formula1>"N,A,B, "</formula1>
    </dataValidation>
    <dataValidation sqref="F10:T24"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V32"/>
  <sheetViews>
    <sheetView zoomScale="130" zoomScaleNormal="130" workbookViewId="0">
      <selection activeCell="L7" sqref="L7"/>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Borrowing - 2</t>
        </is>
      </c>
      <c r="D2" s="439" t="n"/>
      <c r="E2" s="441" t="n"/>
      <c r="F2" s="410" t="inlineStr">
        <is>
          <t>Function Name</t>
        </is>
      </c>
      <c r="G2" s="496" t="n"/>
      <c r="H2" s="496" t="n"/>
      <c r="I2" s="496" t="n"/>
      <c r="J2" s="496" t="n"/>
      <c r="K2" s="496" t="n"/>
      <c r="L2" s="443" t="inlineStr">
        <is>
          <t>Get Personal Borrowing</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111</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COUNTIF(F29:HQ29,"P")</f>
        <v/>
      </c>
      <c r="B7" s="465" t="n"/>
      <c r="C7" s="466">
        <f>COUNTIF(F30:HQ30,"F")</f>
        <v/>
      </c>
      <c r="D7" s="467" t="n"/>
      <c r="E7" s="465" t="n"/>
      <c r="F7" s="468">
        <f>SUM(O7,- A7,- C7)</f>
        <v/>
      </c>
      <c r="G7" s="467" t="n"/>
      <c r="H7" s="467" t="n"/>
      <c r="I7" s="467" t="n"/>
      <c r="J7" s="467" t="n"/>
      <c r="K7" s="469" t="n"/>
      <c r="L7" s="342">
        <f>COUNTIF(E28:HQ28,"N")</f>
        <v/>
      </c>
      <c r="M7" s="342">
        <f>COUNTIF(E28:HQ28,"A")</f>
        <v/>
      </c>
      <c r="N7" s="342">
        <f>COUNTIF(E28:HQ28,"B")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n"/>
      <c r="I13" s="148" t="n"/>
      <c r="J13" s="148" t="inlineStr">
        <is>
          <t>O</t>
        </is>
      </c>
      <c r="K13" s="148" t="n"/>
      <c r="L13" s="148" t="n"/>
      <c r="M13" s="148" t="n"/>
      <c r="N13" s="148" t="n"/>
      <c r="O13" s="148" t="n"/>
      <c r="P13" s="148" t="n"/>
      <c r="Q13" s="148" t="n"/>
      <c r="R13" s="148" t="n"/>
      <c r="S13" s="148" t="n"/>
      <c r="T13" s="170" t="n"/>
    </row>
    <row r="14" ht="13.5" customHeight="1" s="426">
      <c r="A14" s="171" t="n"/>
      <c r="B14" s="75" t="n"/>
      <c r="C14" s="76" t="n"/>
      <c r="D14" s="77" t="inlineStr">
        <is>
          <t>No Entry in Database</t>
        </is>
      </c>
      <c r="E14" s="80" t="n"/>
      <c r="F14" s="148" t="n"/>
      <c r="G14" s="148" t="inlineStr">
        <is>
          <t>O</t>
        </is>
      </c>
      <c r="H14" s="148" t="inlineStr">
        <is>
          <t>O</t>
        </is>
      </c>
      <c r="I14" s="148" t="inlineStr">
        <is>
          <t>O</t>
        </is>
      </c>
      <c r="J14" s="148" t="n"/>
      <c r="K14" s="148" t="n"/>
      <c r="L14" s="148" t="n"/>
      <c r="M14" s="148" t="n"/>
      <c r="N14" s="148" t="n"/>
      <c r="O14" s="148" t="n"/>
      <c r="P14" s="148" t="n"/>
      <c r="Q14" s="148" t="n"/>
      <c r="R14" s="148" t="n"/>
      <c r="S14" s="148" t="n"/>
      <c r="T14" s="170" t="n"/>
    </row>
    <row r="15" ht="13.5" customHeight="1" s="426">
      <c r="A15" s="171" t="n"/>
      <c r="B15" s="75" t="n"/>
      <c r="C15" s="76" t="n"/>
      <c r="D15" s="77" t="inlineStr">
        <is>
          <t>BorrowerId Exist</t>
        </is>
      </c>
      <c r="E15" s="80" t="n"/>
      <c r="F15" s="148" t="inlineStr">
        <is>
          <t>O</t>
        </is>
      </c>
      <c r="G15" s="148" t="inlineStr">
        <is>
          <t>O</t>
        </is>
      </c>
      <c r="H15" s="148" t="n"/>
      <c r="I15" s="148" t="n"/>
      <c r="J15" s="148" t="inlineStr">
        <is>
          <t>O</t>
        </is>
      </c>
      <c r="K15" s="148" t="n"/>
      <c r="L15" s="148" t="n"/>
      <c r="M15" s="148" t="n"/>
      <c r="N15" s="148" t="n"/>
      <c r="O15" s="148" t="n"/>
      <c r="P15" s="148" t="n"/>
      <c r="Q15" s="148" t="n"/>
      <c r="R15" s="148" t="n"/>
      <c r="S15" s="148" t="n"/>
      <c r="T15" s="170" t="n"/>
    </row>
    <row r="16" ht="13.5" customHeight="1" s="426">
      <c r="A16" s="171" t="n"/>
      <c r="B16" s="75" t="n"/>
      <c r="C16" s="76" t="n"/>
      <c r="D16" s="77" t="inlineStr">
        <is>
          <t>BorrowerId doesn't Exist</t>
        </is>
      </c>
      <c r="E16" s="80" t="n"/>
      <c r="F16" s="148" t="n"/>
      <c r="G16" s="148" t="n"/>
      <c r="H16" s="148" t="inlineStr">
        <is>
          <t>O</t>
        </is>
      </c>
      <c r="I16" s="148" t="inlineStr">
        <is>
          <t>O</t>
        </is>
      </c>
      <c r="J16" s="148" t="n"/>
      <c r="K16" s="148" t="n"/>
      <c r="L16" s="148" t="n"/>
      <c r="M16" s="148" t="n"/>
      <c r="N16" s="148" t="n"/>
      <c r="O16" s="148" t="n"/>
      <c r="P16" s="148" t="n"/>
      <c r="Q16" s="148" t="n"/>
      <c r="R16" s="148" t="n"/>
      <c r="S16" s="148" t="n"/>
      <c r="T16" s="170" t="n"/>
    </row>
    <row r="17" ht="13.5" customHeight="1" s="426">
      <c r="A17" s="171" t="n"/>
      <c r="B17" s="75" t="inlineStr">
        <is>
          <t>BorrowerId</t>
        </is>
      </c>
      <c r="C17" s="76" t="n"/>
      <c r="D17" s="77" t="n"/>
      <c r="E17" s="80" t="n"/>
      <c r="F17" s="148" t="n"/>
      <c r="G17" s="148" t="n"/>
      <c r="H17" s="148" t="n"/>
      <c r="I17" s="148" t="n"/>
      <c r="J17" s="148" t="n"/>
      <c r="K17" s="148" t="n"/>
      <c r="L17" s="148" t="n"/>
      <c r="M17" s="148" t="n"/>
      <c r="N17" s="148" t="n"/>
      <c r="O17" s="148" t="n"/>
      <c r="P17" s="148" t="n"/>
      <c r="Q17" s="148" t="n"/>
      <c r="R17" s="148" t="n"/>
      <c r="S17" s="148" t="n"/>
      <c r="T17" s="170" t="n"/>
    </row>
    <row r="18" ht="13.5" customHeight="1" s="426">
      <c r="A18" s="171" t="n"/>
      <c r="B18" s="75" t="n"/>
      <c r="C18" s="76" t="n"/>
      <c r="D18" s="77" t="inlineStr">
        <is>
          <t>Guid</t>
        </is>
      </c>
      <c r="E18" s="80" t="n"/>
      <c r="F18" s="148" t="inlineStr">
        <is>
          <t>O</t>
        </is>
      </c>
      <c r="G18" s="148" t="inlineStr">
        <is>
          <t>O</t>
        </is>
      </c>
      <c r="H18" s="148" t="n"/>
      <c r="I18" s="148" t="n"/>
      <c r="J18" s="148" t="inlineStr">
        <is>
          <t>O</t>
        </is>
      </c>
      <c r="K18" s="148" t="n"/>
      <c r="L18" s="148" t="n"/>
      <c r="M18" s="148" t="n"/>
      <c r="N18" s="148" t="n"/>
      <c r="O18" s="148" t="n"/>
      <c r="P18" s="148" t="n"/>
      <c r="Q18" s="148" t="n"/>
      <c r="R18" s="148" t="n"/>
      <c r="S18" s="148" t="n"/>
      <c r="T18" s="170" t="n"/>
    </row>
    <row r="19" ht="13.5" customHeight="1" s="426">
      <c r="A19" s="171" t="n"/>
      <c r="B19" s="75" t="n"/>
      <c r="C19" s="76" t="n"/>
      <c r="D19" s="77" t="inlineStr">
        <is>
          <t>"invalid-guid"</t>
        </is>
      </c>
      <c r="E19" s="80" t="n"/>
      <c r="F19" s="148" t="n"/>
      <c r="G19" s="148" t="n"/>
      <c r="H19" s="148" t="inlineStr">
        <is>
          <t>O</t>
        </is>
      </c>
      <c r="I19" s="148" t="n"/>
      <c r="J19" s="148" t="n"/>
      <c r="K19" s="148" t="n"/>
      <c r="L19" s="148" t="n"/>
      <c r="M19" s="148" t="n"/>
      <c r="N19" s="148" t="n"/>
      <c r="O19" s="148" t="n"/>
      <c r="P19" s="148" t="n"/>
      <c r="Q19" s="148" t="n"/>
      <c r="R19" s="148" t="n"/>
      <c r="S19" s="148" t="n"/>
      <c r="T19" s="170" t="n"/>
    </row>
    <row r="20" ht="13.5" customHeight="1" s="426" thickBot="1">
      <c r="A20" s="171" t="n"/>
      <c r="B20" s="75" t="n"/>
      <c r="C20" s="76" t="n"/>
      <c r="D20" s="77" t="inlineStr">
        <is>
          <t>null</t>
        </is>
      </c>
      <c r="E20" s="80" t="n"/>
      <c r="F20" s="148" t="n"/>
      <c r="G20" s="148" t="n"/>
      <c r="H20" s="148" t="n"/>
      <c r="I20" s="148" t="inlineStr">
        <is>
          <t>O</t>
        </is>
      </c>
      <c r="J20" s="148" t="n"/>
      <c r="K20" s="148" t="n"/>
      <c r="L20" s="148" t="n"/>
      <c r="M20" s="148" t="n"/>
      <c r="N20" s="148" t="n"/>
      <c r="O20" s="148" t="n"/>
      <c r="P20" s="148" t="n"/>
      <c r="Q20" s="148" t="n"/>
      <c r="R20" s="148" t="n"/>
      <c r="S20" s="148" t="n"/>
      <c r="T20" s="170" t="n"/>
    </row>
    <row r="21" ht="13.5" customHeight="1" s="426">
      <c r="A21" s="182" t="inlineStr">
        <is>
          <t>Confirm</t>
        </is>
      </c>
      <c r="B21" s="208" t="inlineStr">
        <is>
          <t>Return</t>
        </is>
      </c>
      <c r="C21" s="239" t="n"/>
      <c r="D21" s="210" t="n"/>
      <c r="E21" s="86" t="n"/>
      <c r="F21" s="87" t="n"/>
      <c r="G21" s="87" t="n"/>
      <c r="H21" s="87" t="n"/>
      <c r="I21" s="87" t="n"/>
      <c r="J21" s="87" t="n"/>
      <c r="K21" s="87" t="n"/>
      <c r="L21" s="87" t="n"/>
      <c r="M21" s="87" t="n"/>
      <c r="N21" s="87" t="n"/>
      <c r="O21" s="87" t="n"/>
      <c r="P21" s="87" t="n"/>
      <c r="Q21" s="87" t="n"/>
      <c r="R21" s="87" t="n"/>
      <c r="S21" s="87" t="n"/>
      <c r="T21" s="196" t="n"/>
    </row>
    <row r="22" ht="13.5" customHeight="1" s="426">
      <c r="A22" s="181" t="n"/>
      <c r="B22" s="208" t="n"/>
      <c r="C22" s="209" t="n"/>
      <c r="D22" s="210" t="inlineStr">
        <is>
          <t>Personal Borrowing List</t>
        </is>
      </c>
      <c r="E22" s="91" t="n"/>
      <c r="F22" s="148" t="inlineStr">
        <is>
          <t>O</t>
        </is>
      </c>
      <c r="G22" s="79" t="n"/>
      <c r="H22" s="79" t="n"/>
      <c r="I22" s="79" t="n"/>
      <c r="J22" s="79" t="n"/>
      <c r="K22" s="79" t="n"/>
      <c r="L22" s="148" t="n"/>
      <c r="M22" s="79" t="n"/>
      <c r="N22" s="148" t="n"/>
      <c r="O22" s="79" t="n"/>
      <c r="P22" s="79" t="n"/>
      <c r="Q22" s="79" t="n"/>
      <c r="R22" s="79" t="n"/>
      <c r="S22" s="79" t="n"/>
      <c r="T22" s="195" t="n"/>
    </row>
    <row r="23" ht="13.5" customHeight="1" s="426">
      <c r="A23" s="181" t="n"/>
      <c r="B23" s="126" t="n"/>
      <c r="C23" s="89" t="n"/>
      <c r="D23" s="90" t="inlineStr">
        <is>
          <t>Null</t>
        </is>
      </c>
      <c r="E23" s="91" t="n"/>
      <c r="F23" s="79" t="n"/>
      <c r="G23" s="148" t="inlineStr">
        <is>
          <t>O</t>
        </is>
      </c>
      <c r="H23" s="148" t="inlineStr">
        <is>
          <t>O</t>
        </is>
      </c>
      <c r="I23" s="148" t="inlineStr">
        <is>
          <t>O</t>
        </is>
      </c>
      <c r="J23" s="148" t="n"/>
      <c r="K23" s="79" t="n"/>
      <c r="L23" s="79" t="n"/>
      <c r="M23" s="148" t="n"/>
      <c r="N23" s="79" t="n"/>
      <c r="O23" s="148" t="n"/>
      <c r="P23" s="79" t="n"/>
      <c r="Q23" s="79" t="n"/>
      <c r="R23" s="79" t="n"/>
      <c r="S23" s="79" t="n"/>
      <c r="T23" s="195" t="n"/>
    </row>
    <row r="24" ht="13.5" customHeight="1" s="426">
      <c r="A24" s="181" t="n"/>
      <c r="B24" s="116" t="inlineStr">
        <is>
          <t>Exception</t>
        </is>
      </c>
      <c r="C24" s="120" t="n"/>
      <c r="D24" s="118" t="n"/>
      <c r="E24" s="91" t="n"/>
      <c r="F24" s="79" t="n"/>
      <c r="G24" s="79" t="n"/>
      <c r="H24" s="79" t="n"/>
      <c r="I24" s="79" t="n"/>
      <c r="J24" s="79" t="n"/>
      <c r="K24" s="79" t="n"/>
      <c r="L24" s="79" t="n"/>
      <c r="M24" s="79" t="n"/>
      <c r="N24" s="79" t="n"/>
      <c r="O24" s="79" t="n"/>
      <c r="P24" s="79" t="n"/>
      <c r="Q24" s="79" t="n"/>
      <c r="R24" s="79" t="n"/>
      <c r="S24" s="79" t="n"/>
      <c r="T24" s="195" t="n"/>
    </row>
    <row r="25" ht="13.5" customHeight="1" s="426">
      <c r="A25" s="181" t="n"/>
      <c r="B25" s="116" t="n"/>
      <c r="C25" s="120" t="n"/>
      <c r="D25" s="118" t="inlineStr">
        <is>
          <t>InvalidOperationException</t>
        </is>
      </c>
      <c r="E25" s="91" t="n"/>
      <c r="F25" s="79" t="n"/>
      <c r="G25" s="79" t="n"/>
      <c r="H25" s="79" t="n"/>
      <c r="I25" s="148" t="n"/>
      <c r="J25" s="148" t="inlineStr">
        <is>
          <t>O</t>
        </is>
      </c>
      <c r="K25" s="148" t="n"/>
      <c r="L25" s="79" t="n"/>
      <c r="M25" s="79" t="n"/>
      <c r="N25" s="79" t="n"/>
      <c r="O25" s="79" t="n"/>
      <c r="P25" s="79" t="n"/>
      <c r="Q25" s="79" t="n"/>
      <c r="R25" s="79" t="n"/>
      <c r="S25" s="79" t="n"/>
      <c r="T25" s="195" t="n"/>
    </row>
    <row r="26" ht="13.5" customHeight="1" s="426">
      <c r="A26" s="181" t="n"/>
      <c r="B26" s="88" t="inlineStr">
        <is>
          <t>Log message</t>
        </is>
      </c>
      <c r="C26" s="89" t="n"/>
      <c r="D26" s="90" t="n"/>
      <c r="E26" s="91" t="n"/>
      <c r="F26" s="79" t="n"/>
      <c r="G26" s="79" t="n"/>
      <c r="H26" s="79" t="n"/>
      <c r="I26" s="79" t="n"/>
      <c r="J26" s="79" t="n"/>
      <c r="K26" s="79" t="n"/>
      <c r="L26" s="79" t="n"/>
      <c r="M26" s="79" t="n"/>
      <c r="N26" s="79" t="n"/>
      <c r="O26" s="79" t="n"/>
      <c r="P26" s="79" t="n"/>
      <c r="Q26" s="79" t="n"/>
      <c r="R26" s="79" t="n"/>
      <c r="S26" s="79" t="n"/>
      <c r="T26" s="195" t="n"/>
    </row>
    <row r="27" ht="13.5" customHeight="1" s="426" thickBot="1">
      <c r="A27" s="181" t="n"/>
      <c r="B27" s="88" t="n"/>
      <c r="C27" s="89" t="n"/>
      <c r="D27" s="90" t="inlineStr">
        <is>
          <t>"Database connection failed"</t>
        </is>
      </c>
      <c r="E27" s="91" t="n"/>
      <c r="F27" s="148" t="n"/>
      <c r="G27" s="79" t="n"/>
      <c r="H27" s="79" t="n"/>
      <c r="I27" s="148" t="n"/>
      <c r="J27" s="148" t="inlineStr">
        <is>
          <t>O</t>
        </is>
      </c>
      <c r="K27" s="79" t="n"/>
      <c r="L27" s="79" t="n"/>
      <c r="M27" s="79" t="n"/>
      <c r="N27" s="79" t="n"/>
      <c r="O27" s="79" t="n"/>
      <c r="P27" s="79" t="n"/>
      <c r="Q27" s="79" t="n"/>
      <c r="R27" s="79" t="n"/>
      <c r="S27" s="79" t="n"/>
      <c r="T27" s="195" t="n"/>
    </row>
    <row r="28" ht="13.5" customHeight="1" s="426" thickTop="1">
      <c r="A28" s="182" t="inlineStr">
        <is>
          <t>Result</t>
        </is>
      </c>
      <c r="B28" s="331" t="inlineStr">
        <is>
          <t>Type(N : Normal, A : Abnormal, B : Boundary)</t>
        </is>
      </c>
      <c r="C28" s="472" t="n"/>
      <c r="D28" s="473" t="n"/>
      <c r="E28" s="331" t="n"/>
      <c r="F28" s="188" t="inlineStr">
        <is>
          <t>N</t>
        </is>
      </c>
      <c r="G28" s="188" t="inlineStr">
        <is>
          <t>N</t>
        </is>
      </c>
      <c r="H28" s="188" t="inlineStr">
        <is>
          <t>N</t>
        </is>
      </c>
      <c r="I28" s="188" t="inlineStr">
        <is>
          <t>N</t>
        </is>
      </c>
      <c r="J28" s="188" t="inlineStr">
        <is>
          <t>A</t>
        </is>
      </c>
      <c r="K28" s="188" t="n"/>
      <c r="L28" s="188" t="n"/>
      <c r="M28" s="188" t="n"/>
      <c r="N28" s="188" t="n"/>
      <c r="O28" s="188" t="n"/>
      <c r="P28" s="188" t="n"/>
      <c r="Q28" s="188" t="n"/>
      <c r="R28" s="188" t="n"/>
      <c r="S28" s="188" t="n"/>
      <c r="T28" s="198" t="n"/>
    </row>
    <row r="29" ht="13.5" customHeight="1" s="426">
      <c r="A29" s="174" t="n"/>
      <c r="B29" s="320" t="inlineStr">
        <is>
          <t>Passed/Failed</t>
        </is>
      </c>
      <c r="C29" s="449" t="n"/>
      <c r="D29" s="450" t="n"/>
      <c r="E29" s="95" t="n"/>
      <c r="F29" s="94" t="inlineStr">
        <is>
          <t>P</t>
        </is>
      </c>
      <c r="G29" s="94" t="inlineStr">
        <is>
          <t>P</t>
        </is>
      </c>
      <c r="H29" s="94" t="inlineStr">
        <is>
          <t>P</t>
        </is>
      </c>
      <c r="I29" s="94" t="inlineStr">
        <is>
          <t>P</t>
        </is>
      </c>
      <c r="J29" s="94" t="inlineStr">
        <is>
          <t>P</t>
        </is>
      </c>
      <c r="K29" s="94" t="n"/>
      <c r="L29" s="94" t="n"/>
      <c r="M29" s="94" t="n"/>
      <c r="N29" s="94" t="n"/>
      <c r="O29" s="94" t="n"/>
      <c r="P29" s="94" t="n"/>
      <c r="Q29" s="94" t="n"/>
      <c r="R29" s="94" t="n"/>
      <c r="S29" s="94" t="n"/>
      <c r="T29" s="199" t="n"/>
    </row>
    <row r="30" ht="71.5" customHeight="1" s="426">
      <c r="A30" s="174" t="n"/>
      <c r="B30" s="329" t="inlineStr">
        <is>
          <t>Executed Date</t>
        </is>
      </c>
      <c r="C30" s="449" t="n"/>
      <c r="D30" s="450" t="n"/>
      <c r="E30" s="96" t="n"/>
      <c r="F30" s="97" t="n">
        <v>45708</v>
      </c>
      <c r="G30" s="97" t="n">
        <v>45708</v>
      </c>
      <c r="H30" s="97" t="n">
        <v>45708</v>
      </c>
      <c r="I30" s="97" t="n">
        <v>45708</v>
      </c>
      <c r="J30" s="97" t="n">
        <v>45708</v>
      </c>
      <c r="K30" s="97" t="n"/>
      <c r="L30" s="97" t="n"/>
      <c r="M30" s="97" t="n"/>
      <c r="N30" s="97" t="n"/>
      <c r="O30" s="97" t="n"/>
      <c r="P30" s="97" t="n"/>
      <c r="Q30" s="97" t="n"/>
      <c r="R30" s="97" t="n"/>
      <c r="S30" s="97" t="n"/>
      <c r="T30" s="176" t="n"/>
    </row>
    <row r="31" ht="10.5" customHeight="1" s="426" thickBot="1">
      <c r="A31" s="177" t="n"/>
      <c r="B31" s="330" t="inlineStr">
        <is>
          <t>Defect ID</t>
        </is>
      </c>
      <c r="C31" s="474" t="n"/>
      <c r="D31" s="475" t="n"/>
      <c r="E31" s="178" t="n"/>
      <c r="F31" s="179" t="n"/>
      <c r="G31" s="179" t="n"/>
      <c r="H31" s="179" t="n"/>
      <c r="I31" s="179" t="n"/>
      <c r="J31" s="179" t="n"/>
      <c r="K31" s="179" t="n"/>
      <c r="L31" s="179" t="n"/>
      <c r="M31" s="179" t="n"/>
      <c r="N31" s="179" t="n"/>
      <c r="O31" s="179" t="n"/>
      <c r="P31" s="179" t="n"/>
      <c r="Q31" s="179" t="n"/>
      <c r="R31" s="179" t="n"/>
      <c r="S31" s="179" t="n"/>
      <c r="T31" s="180" t="n"/>
    </row>
    <row r="32" ht="10.5" customHeight="1" s="426" thickTop="1">
      <c r="A32" s="73" t="n"/>
      <c r="B32" s="69" t="n"/>
      <c r="C32" s="413" t="n"/>
      <c r="D32" s="69" t="n"/>
    </row>
  </sheetData>
  <mergeCells count="27">
    <mergeCell ref="F2:K2"/>
    <mergeCell ref="B29:D29"/>
    <mergeCell ref="A6:B6"/>
    <mergeCell ref="C4:D4"/>
    <mergeCell ref="L4:T4"/>
    <mergeCell ref="B28:D28"/>
    <mergeCell ref="C2:E2"/>
    <mergeCell ref="A7:B7"/>
    <mergeCell ref="B30:D30"/>
    <mergeCell ref="C7:E7"/>
    <mergeCell ref="L6:N6"/>
    <mergeCell ref="A3:B3"/>
    <mergeCell ref="A2:B2"/>
    <mergeCell ref="A5:B5"/>
    <mergeCell ref="C3:E3"/>
    <mergeCell ref="F4:K4"/>
    <mergeCell ref="O7:T7"/>
    <mergeCell ref="C6:E6"/>
    <mergeCell ref="A4:B4"/>
    <mergeCell ref="L2:T2"/>
    <mergeCell ref="O6:T6"/>
    <mergeCell ref="B31:D31"/>
    <mergeCell ref="F6:K6"/>
    <mergeCell ref="F7:K7"/>
    <mergeCell ref="C5:T5"/>
    <mergeCell ref="L3:T3"/>
    <mergeCell ref="F3:K3"/>
  </mergeCells>
  <dataValidations count="3">
    <dataValidation sqref="F10:T27" showDropDown="0" showInputMessage="1" showErrorMessage="1" allowBlank="1" type="list">
      <formula1>"O, "</formula1>
    </dataValidation>
    <dataValidation sqref="F28:T28" showDropDown="0" showInputMessage="1" showErrorMessage="1" allowBlank="1" type="list">
      <formula1>"N,A,B, "</formula1>
    </dataValidation>
    <dataValidation sqref="F29:T29" showDropDown="0" showInputMessage="1" showErrorMessage="1" allowBlank="1" type="list">
      <formula1>"P,F,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V36"/>
  <sheetViews>
    <sheetView topLeftCell="A25" zoomScale="130" zoomScaleNormal="130" workbookViewId="0">
      <selection activeCell="V31" sqref="V31"/>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Borrowing - 3</t>
        </is>
      </c>
      <c r="D2" s="439" t="n"/>
      <c r="E2" s="441" t="n"/>
      <c r="F2" s="410" t="inlineStr">
        <is>
          <t>Function Name</t>
        </is>
      </c>
      <c r="G2" s="496" t="n"/>
      <c r="H2" s="496" t="n"/>
      <c r="I2" s="496" t="n"/>
      <c r="J2" s="496" t="n"/>
      <c r="K2" s="496" t="n"/>
      <c r="L2" s="443" t="inlineStr">
        <is>
          <t>Get Borrow List For Department</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125</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COUNTIF(F33:HQ33,"P")</f>
        <v/>
      </c>
      <c r="B7" s="465" t="n"/>
      <c r="C7" s="466">
        <f>COUNTIF(F34:HQ34,"F")</f>
        <v/>
      </c>
      <c r="D7" s="467" t="n"/>
      <c r="E7" s="465" t="n"/>
      <c r="F7" s="468">
        <f>SUM(O7,- A7,- C7)</f>
        <v/>
      </c>
      <c r="G7" s="467" t="n"/>
      <c r="H7" s="467" t="n"/>
      <c r="I7" s="467" t="n"/>
      <c r="J7" s="467" t="n"/>
      <c r="K7" s="469" t="n"/>
      <c r="L7" s="342">
        <f>COUNTIF(E32:HQ32,"N")</f>
        <v/>
      </c>
      <c r="M7" s="342">
        <f>COUNTIF(E32:HQ32,"A")</f>
        <v/>
      </c>
      <c r="N7" s="342">
        <f>COUNTIF(E32:HQ32,"B")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n"/>
      <c r="J11" s="148" t="inlineStr">
        <is>
          <t>O</t>
        </is>
      </c>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n"/>
      <c r="I13" s="148" t="n"/>
      <c r="J13" s="148" t="inlineStr">
        <is>
          <t>O</t>
        </is>
      </c>
      <c r="K13" s="148" t="n"/>
      <c r="L13" s="148" t="n"/>
      <c r="M13" s="148" t="n"/>
      <c r="N13" s="148" t="n"/>
      <c r="O13" s="148" t="n"/>
      <c r="P13" s="148" t="n"/>
      <c r="Q13" s="148" t="n"/>
      <c r="R13" s="148" t="n"/>
      <c r="S13" s="148" t="n"/>
      <c r="T13" s="170" t="n"/>
    </row>
    <row r="14" ht="13.5" customHeight="1" s="426">
      <c r="A14" s="171" t="n"/>
      <c r="B14" s="75" t="n"/>
      <c r="C14" s="76" t="n"/>
      <c r="D14" s="77" t="inlineStr">
        <is>
          <t>No Entry in Database</t>
        </is>
      </c>
      <c r="E14" s="80" t="n"/>
      <c r="F14" s="148" t="n"/>
      <c r="G14" s="148" t="inlineStr">
        <is>
          <t>O</t>
        </is>
      </c>
      <c r="H14" s="148" t="inlineStr">
        <is>
          <t>O</t>
        </is>
      </c>
      <c r="I14" s="148" t="inlineStr">
        <is>
          <t>O</t>
        </is>
      </c>
      <c r="J14" s="148" t="n"/>
      <c r="K14" s="148" t="n"/>
      <c r="L14" s="148" t="n"/>
      <c r="M14" s="148" t="n"/>
      <c r="N14" s="148" t="n"/>
      <c r="O14" s="148" t="n"/>
      <c r="P14" s="148" t="n"/>
      <c r="Q14" s="148" t="n"/>
      <c r="R14" s="148" t="n"/>
      <c r="S14" s="148" t="n"/>
      <c r="T14" s="170" t="n"/>
    </row>
    <row r="15" ht="13.5" customHeight="1" s="426">
      <c r="A15" s="171" t="n"/>
      <c r="B15" s="75" t="n"/>
      <c r="C15" s="76" t="n"/>
      <c r="D15" s="77" t="inlineStr">
        <is>
          <t>Department Exist</t>
        </is>
      </c>
      <c r="E15" s="80" t="n"/>
      <c r="F15" s="148" t="inlineStr">
        <is>
          <t>O</t>
        </is>
      </c>
      <c r="G15" s="148" t="inlineStr">
        <is>
          <t>O</t>
        </is>
      </c>
      <c r="H15" s="148" t="n"/>
      <c r="I15" s="148" t="n"/>
      <c r="J15" s="148" t="inlineStr">
        <is>
          <t>O</t>
        </is>
      </c>
      <c r="K15" s="148" t="n"/>
      <c r="L15" s="148" t="n"/>
      <c r="M15" s="148" t="n"/>
      <c r="N15" s="148" t="n"/>
      <c r="O15" s="148" t="n"/>
      <c r="P15" s="148" t="n"/>
      <c r="Q15" s="148" t="n"/>
      <c r="R15" s="148" t="n"/>
      <c r="S15" s="148" t="n"/>
      <c r="T15" s="170" t="n"/>
    </row>
    <row r="16" ht="13.5" customHeight="1" s="426">
      <c r="A16" s="171" t="n"/>
      <c r="B16" s="75" t="n"/>
      <c r="C16" s="76" t="n"/>
      <c r="D16" s="77" t="inlineStr">
        <is>
          <t>Department doesn't Exist</t>
        </is>
      </c>
      <c r="E16" s="80" t="n"/>
      <c r="F16" s="148" t="n"/>
      <c r="G16" s="148" t="n"/>
      <c r="H16" s="148" t="inlineStr">
        <is>
          <t>O</t>
        </is>
      </c>
      <c r="I16" s="148" t="inlineStr">
        <is>
          <t>O</t>
        </is>
      </c>
      <c r="J16" s="148" t="n"/>
      <c r="K16" s="148" t="n"/>
      <c r="L16" s="148" t="n"/>
      <c r="M16" s="148" t="n"/>
      <c r="N16" s="148" t="n"/>
      <c r="O16" s="148" t="n"/>
      <c r="P16" s="148" t="n"/>
      <c r="Q16" s="148" t="n"/>
      <c r="R16" s="148" t="n"/>
      <c r="S16" s="148" t="n"/>
      <c r="T16" s="170" t="n"/>
    </row>
    <row r="17" ht="13.5" customHeight="1" s="426">
      <c r="A17" s="171" t="n"/>
      <c r="B17" s="75" t="inlineStr">
        <is>
          <t>Department</t>
        </is>
      </c>
      <c r="C17" s="76" t="n"/>
      <c r="D17" s="77" t="n"/>
      <c r="E17" s="80" t="n"/>
      <c r="F17" s="148" t="n"/>
      <c r="G17" s="148" t="n"/>
      <c r="H17" s="148" t="n"/>
      <c r="I17" s="148" t="n"/>
      <c r="J17" s="148" t="n"/>
      <c r="K17" s="148" t="n"/>
      <c r="L17" s="148" t="n"/>
      <c r="M17" s="148" t="n"/>
      <c r="N17" s="148" t="n"/>
      <c r="O17" s="148" t="n"/>
      <c r="P17" s="148" t="n"/>
      <c r="Q17" s="148" t="n"/>
      <c r="R17" s="148" t="n"/>
      <c r="S17" s="148" t="n"/>
      <c r="T17" s="170" t="n"/>
    </row>
    <row r="18" ht="13.5" customHeight="1" s="426">
      <c r="A18" s="171" t="n"/>
      <c r="B18" s="75" t="n"/>
      <c r="C18" s="76" t="n"/>
      <c r="D18" s="77" t="n">
        <v>1</v>
      </c>
      <c r="E18" s="80" t="n"/>
      <c r="F18" s="148" t="inlineStr">
        <is>
          <t>O</t>
        </is>
      </c>
      <c r="G18" s="148" t="inlineStr">
        <is>
          <t>O</t>
        </is>
      </c>
      <c r="H18" s="148" t="n"/>
      <c r="I18" s="148" t="inlineStr">
        <is>
          <t>O</t>
        </is>
      </c>
      <c r="J18" s="148" t="inlineStr">
        <is>
          <t>O</t>
        </is>
      </c>
      <c r="K18" s="148" t="n"/>
      <c r="L18" s="148" t="n"/>
      <c r="M18" s="148" t="n"/>
      <c r="N18" s="148" t="n"/>
      <c r="O18" s="148" t="n"/>
      <c r="P18" s="148" t="n"/>
      <c r="Q18" s="148" t="n"/>
      <c r="R18" s="148" t="n"/>
      <c r="S18" s="148" t="n"/>
      <c r="T18" s="170" t="n"/>
    </row>
    <row r="19" ht="13.5" customHeight="1" s="426">
      <c r="A19" s="171" t="n"/>
      <c r="B19" s="75" t="n"/>
      <c r="C19" s="76" t="n"/>
      <c r="D19" s="77" t="n">
        <v>9999</v>
      </c>
      <c r="E19" s="80" t="n"/>
      <c r="F19" s="148" t="n"/>
      <c r="G19" s="148" t="n"/>
      <c r="H19" s="148" t="inlineStr">
        <is>
          <t>O</t>
        </is>
      </c>
      <c r="I19" s="148" t="n"/>
      <c r="J19" s="148" t="n"/>
      <c r="K19" s="148" t="n"/>
      <c r="L19" s="148" t="n"/>
      <c r="M19" s="148" t="n"/>
      <c r="N19" s="148" t="n"/>
      <c r="O19" s="148" t="n"/>
      <c r="P19" s="148" t="n"/>
      <c r="Q19" s="148" t="n"/>
      <c r="R19" s="148" t="n"/>
      <c r="S19" s="148" t="n"/>
      <c r="T19" s="170" t="n"/>
    </row>
    <row r="20" ht="13.5" customHeight="1" s="426">
      <c r="A20" s="171" t="n"/>
      <c r="B20" s="75" t="n"/>
      <c r="C20" s="76" t="n"/>
      <c r="D20" s="77" t="inlineStr">
        <is>
          <t>null</t>
        </is>
      </c>
      <c r="E20" s="80" t="n"/>
      <c r="F20" s="148" t="n"/>
      <c r="G20" s="148" t="n"/>
      <c r="H20" s="148" t="n"/>
      <c r="I20" s="148" t="n"/>
      <c r="J20" s="148" t="n"/>
      <c r="K20" s="148" t="n"/>
      <c r="L20" s="148" t="n"/>
      <c r="M20" s="148" t="n"/>
      <c r="N20" s="148" t="n"/>
      <c r="O20" s="148" t="n"/>
      <c r="P20" s="148" t="n"/>
      <c r="Q20" s="148" t="n"/>
      <c r="R20" s="148" t="n"/>
      <c r="S20" s="148" t="n"/>
      <c r="T20" s="170" t="n"/>
    </row>
    <row r="21" ht="13.5" customHeight="1" s="426">
      <c r="A21" s="171" t="n"/>
      <c r="B21" s="273" t="inlineStr">
        <is>
          <t>Type</t>
        </is>
      </c>
      <c r="C21" s="274" t="n"/>
      <c r="D21" s="275" t="n"/>
      <c r="E21" s="80" t="n"/>
      <c r="F21" s="149" t="n"/>
      <c r="G21" s="149" t="n"/>
      <c r="H21" s="149" t="n"/>
      <c r="I21" s="149" t="n"/>
      <c r="J21" s="149" t="n"/>
      <c r="K21" s="149" t="n"/>
      <c r="L21" s="149" t="n"/>
      <c r="M21" s="149" t="n"/>
      <c r="N21" s="149" t="n"/>
      <c r="O21" s="149" t="n"/>
      <c r="P21" s="149" t="n"/>
      <c r="Q21" s="149" t="n"/>
      <c r="R21" s="149" t="n"/>
      <c r="S21" s="149" t="n"/>
      <c r="T21" s="172" t="n"/>
    </row>
    <row r="22" ht="13.5" customHeight="1" s="426">
      <c r="A22" s="171" t="n"/>
      <c r="B22" s="273" t="n"/>
      <c r="C22" s="274" t="n"/>
      <c r="D22" s="275" t="b">
        <v>1</v>
      </c>
      <c r="E22" s="80" t="n"/>
      <c r="F22" s="148" t="inlineStr">
        <is>
          <t>O</t>
        </is>
      </c>
      <c r="G22" s="148" t="inlineStr">
        <is>
          <t>O</t>
        </is>
      </c>
      <c r="H22" s="148" t="inlineStr">
        <is>
          <t>O</t>
        </is>
      </c>
      <c r="I22" s="149" t="n"/>
      <c r="J22" s="149" t="n"/>
      <c r="K22" s="149" t="n"/>
      <c r="L22" s="149" t="n"/>
      <c r="M22" s="149" t="n"/>
      <c r="N22" s="149" t="n"/>
      <c r="O22" s="149" t="n"/>
      <c r="P22" s="149" t="n"/>
      <c r="Q22" s="149" t="n"/>
      <c r="R22" s="149" t="n"/>
      <c r="S22" s="149" t="n"/>
      <c r="T22" s="172" t="n"/>
    </row>
    <row r="23" ht="13.5" customHeight="1" s="426" thickBot="1">
      <c r="A23" s="171" t="n"/>
      <c r="B23" s="273" t="n"/>
      <c r="C23" s="274" t="n"/>
      <c r="D23" s="275" t="b">
        <v>0</v>
      </c>
      <c r="E23" s="80" t="n"/>
      <c r="F23" s="149" t="n"/>
      <c r="G23" s="149" t="n"/>
      <c r="H23" s="149" t="n"/>
      <c r="I23" s="149" t="n"/>
      <c r="J23" s="148" t="inlineStr">
        <is>
          <t>O</t>
        </is>
      </c>
      <c r="K23" s="149" t="n"/>
      <c r="L23" s="149" t="n"/>
      <c r="M23" s="149" t="n"/>
      <c r="N23" s="149" t="n"/>
      <c r="O23" s="149" t="n"/>
      <c r="P23" s="149" t="n"/>
      <c r="Q23" s="149" t="n"/>
      <c r="R23" s="149" t="n"/>
      <c r="S23" s="149" t="n"/>
      <c r="T23" s="172" t="n"/>
    </row>
    <row r="24" ht="13.5" customHeight="1" s="426">
      <c r="A24" s="182" t="inlineStr">
        <is>
          <t>Confirm</t>
        </is>
      </c>
      <c r="B24" s="208" t="inlineStr">
        <is>
          <t>Return</t>
        </is>
      </c>
      <c r="C24" s="239" t="n"/>
      <c r="D24" s="210" t="n"/>
      <c r="E24" s="86" t="n"/>
      <c r="F24" s="87" t="n"/>
      <c r="G24" s="87" t="n"/>
      <c r="H24" s="87" t="n"/>
      <c r="I24" s="87" t="n"/>
      <c r="J24" s="87" t="n"/>
      <c r="K24" s="87" t="n"/>
      <c r="L24" s="87" t="n"/>
      <c r="M24" s="87" t="n"/>
      <c r="N24" s="87" t="n"/>
      <c r="O24" s="87" t="n"/>
      <c r="P24" s="87" t="n"/>
      <c r="Q24" s="87" t="n"/>
      <c r="R24" s="87" t="n"/>
      <c r="S24" s="87" t="n"/>
      <c r="T24" s="196" t="n"/>
    </row>
    <row r="25" ht="13.5" customHeight="1" s="426">
      <c r="A25" s="181" t="n"/>
      <c r="B25" s="208" t="n"/>
      <c r="C25" s="209" t="n"/>
      <c r="D25" s="210" t="inlineStr">
        <is>
          <t xml:space="preserve">Borrow List for Department with type = True </t>
        </is>
      </c>
      <c r="E25" s="91" t="n"/>
      <c r="F25" s="148" t="inlineStr">
        <is>
          <t>O</t>
        </is>
      </c>
      <c r="G25" s="79" t="n"/>
      <c r="H25" s="79" t="n"/>
      <c r="I25" s="79" t="n"/>
      <c r="J25" s="79" t="n"/>
      <c r="K25" s="79" t="n"/>
      <c r="L25" s="148" t="n"/>
      <c r="M25" s="79" t="n"/>
      <c r="N25" s="148" t="n"/>
      <c r="O25" s="79" t="n"/>
      <c r="P25" s="79" t="n"/>
      <c r="Q25" s="79" t="n"/>
      <c r="R25" s="79" t="n"/>
      <c r="S25" s="79" t="n"/>
      <c r="T25" s="195" t="n"/>
    </row>
    <row r="26" ht="13.5" customHeight="1" s="426">
      <c r="A26" s="181" t="n"/>
      <c r="B26" s="208" t="n"/>
      <c r="C26" s="209" t="n"/>
      <c r="D26" s="210" t="inlineStr">
        <is>
          <t xml:space="preserve">Borrow List for Department with type = False </t>
        </is>
      </c>
      <c r="E26" s="91" t="n"/>
      <c r="F26" s="148" t="n"/>
      <c r="G26" s="79" t="n"/>
      <c r="H26" s="79" t="n"/>
      <c r="I26" s="79" t="n"/>
      <c r="J26" s="148" t="inlineStr">
        <is>
          <t>O</t>
        </is>
      </c>
      <c r="K26" s="79" t="n"/>
      <c r="L26" s="148" t="n"/>
      <c r="M26" s="79" t="n"/>
      <c r="N26" s="148" t="n"/>
      <c r="O26" s="79" t="n"/>
      <c r="P26" s="79" t="n"/>
      <c r="Q26" s="79" t="n"/>
      <c r="R26" s="79" t="n"/>
      <c r="S26" s="79" t="n"/>
      <c r="T26" s="195" t="n"/>
    </row>
    <row r="27" ht="13.5" customHeight="1" s="426">
      <c r="A27" s="181" t="n"/>
      <c r="B27" s="126" t="n"/>
      <c r="C27" s="89" t="n"/>
      <c r="D27" s="90" t="inlineStr">
        <is>
          <t>Null</t>
        </is>
      </c>
      <c r="E27" s="91" t="n"/>
      <c r="F27" s="79" t="n"/>
      <c r="G27" s="148" t="inlineStr">
        <is>
          <t>O</t>
        </is>
      </c>
      <c r="H27" s="148" t="inlineStr">
        <is>
          <t>O</t>
        </is>
      </c>
      <c r="I27" s="148" t="n"/>
      <c r="J27" s="148" t="n"/>
      <c r="K27" s="79" t="n"/>
      <c r="L27" s="79" t="n"/>
      <c r="M27" s="148" t="n"/>
      <c r="N27" s="79" t="n"/>
      <c r="O27" s="148" t="n"/>
      <c r="P27" s="79" t="n"/>
      <c r="Q27" s="79" t="n"/>
      <c r="R27" s="79" t="n"/>
      <c r="S27" s="79" t="n"/>
      <c r="T27" s="195" t="n"/>
    </row>
    <row r="28" ht="13.5" customHeight="1" s="426">
      <c r="A28" s="181" t="n"/>
      <c r="B28" s="116" t="inlineStr">
        <is>
          <t>Exception</t>
        </is>
      </c>
      <c r="C28" s="120" t="n"/>
      <c r="D28" s="118" t="n"/>
      <c r="E28" s="91" t="n"/>
      <c r="F28" s="79" t="n"/>
      <c r="G28" s="79" t="n"/>
      <c r="H28" s="79" t="n"/>
      <c r="I28" s="79" t="n"/>
      <c r="J28" s="79" t="n"/>
      <c r="K28" s="79" t="n"/>
      <c r="L28" s="79" t="n"/>
      <c r="M28" s="79" t="n"/>
      <c r="N28" s="79" t="n"/>
      <c r="O28" s="79" t="n"/>
      <c r="P28" s="79" t="n"/>
      <c r="Q28" s="79" t="n"/>
      <c r="R28" s="79" t="n"/>
      <c r="S28" s="79" t="n"/>
      <c r="T28" s="195" t="n"/>
    </row>
    <row r="29" ht="13.5" customHeight="1" s="426">
      <c r="A29" s="181" t="n"/>
      <c r="B29" s="116" t="n"/>
      <c r="C29" s="120" t="n"/>
      <c r="D29" s="118" t="inlineStr">
        <is>
          <t>InvalidOperationException</t>
        </is>
      </c>
      <c r="E29" s="91" t="n"/>
      <c r="F29" s="79" t="n"/>
      <c r="G29" s="79" t="n"/>
      <c r="H29" s="79" t="n"/>
      <c r="I29" s="148" t="inlineStr">
        <is>
          <t>O</t>
        </is>
      </c>
      <c r="J29" s="148" t="n"/>
      <c r="K29" s="148" t="n"/>
      <c r="L29" s="79" t="n"/>
      <c r="M29" s="79" t="n"/>
      <c r="N29" s="79" t="n"/>
      <c r="O29" s="79" t="n"/>
      <c r="P29" s="79" t="n"/>
      <c r="Q29" s="79" t="n"/>
      <c r="R29" s="79" t="n"/>
      <c r="S29" s="79" t="n"/>
      <c r="T29" s="195" t="n"/>
    </row>
    <row r="30" ht="13.5" customHeight="1" s="426">
      <c r="A30" s="181" t="n"/>
      <c r="B30" s="88" t="inlineStr">
        <is>
          <t>Log message</t>
        </is>
      </c>
      <c r="C30" s="89" t="n"/>
      <c r="D30" s="90" t="n"/>
      <c r="E30" s="91" t="n"/>
      <c r="F30" s="79" t="n"/>
      <c r="G30" s="79" t="n"/>
      <c r="H30" s="79" t="n"/>
      <c r="I30" s="79" t="n"/>
      <c r="J30" s="79" t="n"/>
      <c r="K30" s="79" t="n"/>
      <c r="L30" s="79" t="n"/>
      <c r="M30" s="79" t="n"/>
      <c r="N30" s="79" t="n"/>
      <c r="O30" s="79" t="n"/>
      <c r="P30" s="79" t="n"/>
      <c r="Q30" s="79" t="n"/>
      <c r="R30" s="79" t="n"/>
      <c r="S30" s="79" t="n"/>
      <c r="T30" s="195" t="n"/>
    </row>
    <row r="31" ht="13.5" customHeight="1" s="426" thickBot="1">
      <c r="A31" s="181" t="n"/>
      <c r="B31" s="88" t="n"/>
      <c r="C31" s="89" t="n"/>
      <c r="D31" s="90" t="inlineStr">
        <is>
          <t>"Database connection failed"</t>
        </is>
      </c>
      <c r="E31" s="91" t="n"/>
      <c r="F31" s="148" t="n"/>
      <c r="G31" s="79" t="n"/>
      <c r="H31" s="79" t="n"/>
      <c r="I31" s="148" t="inlineStr">
        <is>
          <t>O</t>
        </is>
      </c>
      <c r="J31" s="148" t="n"/>
      <c r="K31" s="79" t="n"/>
      <c r="L31" s="79" t="n"/>
      <c r="M31" s="79" t="n"/>
      <c r="N31" s="79" t="n"/>
      <c r="O31" s="79" t="n"/>
      <c r="P31" s="79" t="n"/>
      <c r="Q31" s="79" t="n"/>
      <c r="R31" s="79" t="n"/>
      <c r="S31" s="79" t="n"/>
      <c r="T31" s="195" t="n"/>
    </row>
    <row r="32" ht="13.5" customHeight="1" s="426" thickTop="1">
      <c r="A32" s="182" t="inlineStr">
        <is>
          <t>Result</t>
        </is>
      </c>
      <c r="B32" s="331" t="inlineStr">
        <is>
          <t>Type(N : Normal, A : Abnormal, B : Boundary)</t>
        </is>
      </c>
      <c r="C32" s="472" t="n"/>
      <c r="D32" s="473" t="n"/>
      <c r="E32" s="331" t="n"/>
      <c r="F32" s="188" t="inlineStr">
        <is>
          <t>N</t>
        </is>
      </c>
      <c r="G32" s="188" t="inlineStr">
        <is>
          <t>N</t>
        </is>
      </c>
      <c r="H32" s="188" t="inlineStr">
        <is>
          <t>N</t>
        </is>
      </c>
      <c r="I32" s="188" t="inlineStr">
        <is>
          <t>A</t>
        </is>
      </c>
      <c r="J32" s="188" t="inlineStr">
        <is>
          <t>N</t>
        </is>
      </c>
      <c r="K32" s="188" t="n"/>
      <c r="L32" s="188" t="n"/>
      <c r="M32" s="188" t="n"/>
      <c r="N32" s="188" t="n"/>
      <c r="O32" s="188" t="n"/>
      <c r="P32" s="188" t="n"/>
      <c r="Q32" s="188" t="n"/>
      <c r="R32" s="188" t="n"/>
      <c r="S32" s="188" t="n"/>
      <c r="T32" s="198" t="n"/>
    </row>
    <row r="33" ht="13.5" customHeight="1" s="426">
      <c r="A33" s="174" t="n"/>
      <c r="B33" s="320" t="inlineStr">
        <is>
          <t>Passed/Failed</t>
        </is>
      </c>
      <c r="C33" s="449" t="n"/>
      <c r="D33" s="450" t="n"/>
      <c r="E33" s="95" t="n"/>
      <c r="F33" s="94" t="inlineStr">
        <is>
          <t>P</t>
        </is>
      </c>
      <c r="G33" s="94" t="inlineStr">
        <is>
          <t>P</t>
        </is>
      </c>
      <c r="H33" s="94" t="inlineStr">
        <is>
          <t>P</t>
        </is>
      </c>
      <c r="I33" s="94" t="inlineStr">
        <is>
          <t>P</t>
        </is>
      </c>
      <c r="J33" s="94" t="inlineStr">
        <is>
          <t>P</t>
        </is>
      </c>
      <c r="K33" s="94" t="n"/>
      <c r="L33" s="94" t="n"/>
      <c r="M33" s="94" t="n"/>
      <c r="N33" s="94" t="n"/>
      <c r="O33" s="94" t="n"/>
      <c r="P33" s="94" t="n"/>
      <c r="Q33" s="94" t="n"/>
      <c r="R33" s="94" t="n"/>
      <c r="S33" s="94" t="n"/>
      <c r="T33" s="199" t="n"/>
    </row>
    <row r="34" ht="71.5" customHeight="1" s="426">
      <c r="A34" s="174" t="n"/>
      <c r="B34" s="329" t="inlineStr">
        <is>
          <t>Executed Date</t>
        </is>
      </c>
      <c r="C34" s="449" t="n"/>
      <c r="D34" s="450" t="n"/>
      <c r="E34" s="96" t="n"/>
      <c r="F34" s="97" t="n">
        <v>45708</v>
      </c>
      <c r="G34" s="97" t="n">
        <v>45708</v>
      </c>
      <c r="H34" s="97" t="n">
        <v>45708</v>
      </c>
      <c r="I34" s="97" t="n">
        <v>45708</v>
      </c>
      <c r="J34" s="97" t="n">
        <v>45708</v>
      </c>
      <c r="K34" s="97" t="n"/>
      <c r="L34" s="97" t="n"/>
      <c r="M34" s="97" t="n"/>
      <c r="N34" s="97" t="n"/>
      <c r="O34" s="97" t="n"/>
      <c r="P34" s="97" t="n"/>
      <c r="Q34" s="97" t="n"/>
      <c r="R34" s="97" t="n"/>
      <c r="S34" s="97" t="n"/>
      <c r="T34" s="176" t="n"/>
    </row>
    <row r="35" ht="10.5" customHeight="1" s="426" thickBot="1">
      <c r="A35" s="177" t="n"/>
      <c r="B35" s="330" t="inlineStr">
        <is>
          <t>Defect ID</t>
        </is>
      </c>
      <c r="C35" s="474" t="n"/>
      <c r="D35" s="475" t="n"/>
      <c r="E35" s="178" t="n"/>
      <c r="F35" s="179" t="n"/>
      <c r="G35" s="179" t="n"/>
      <c r="H35" s="179" t="n"/>
      <c r="I35" s="179" t="n"/>
      <c r="J35" s="179" t="n"/>
      <c r="K35" s="179" t="n"/>
      <c r="L35" s="179" t="n"/>
      <c r="M35" s="179" t="n"/>
      <c r="N35" s="179" t="n"/>
      <c r="O35" s="179" t="n"/>
      <c r="P35" s="179" t="n"/>
      <c r="Q35" s="179" t="n"/>
      <c r="R35" s="179" t="n"/>
      <c r="S35" s="179" t="n"/>
      <c r="T35" s="180" t="n"/>
    </row>
    <row r="36" ht="10.5" customHeight="1" s="426" thickTop="1">
      <c r="A36" s="73" t="n"/>
      <c r="B36" s="69" t="n"/>
      <c r="C36" s="413" t="n"/>
      <c r="D36" s="69" t="n"/>
    </row>
  </sheetData>
  <mergeCells count="27">
    <mergeCell ref="F2:K2"/>
    <mergeCell ref="A6:B6"/>
    <mergeCell ref="B34:D34"/>
    <mergeCell ref="C4:D4"/>
    <mergeCell ref="L4:T4"/>
    <mergeCell ref="C2:E2"/>
    <mergeCell ref="A7:B7"/>
    <mergeCell ref="C7:E7"/>
    <mergeCell ref="L6:N6"/>
    <mergeCell ref="A3:B3"/>
    <mergeCell ref="B33:D33"/>
    <mergeCell ref="A2:B2"/>
    <mergeCell ref="B35:D35"/>
    <mergeCell ref="B32:D32"/>
    <mergeCell ref="A5:B5"/>
    <mergeCell ref="C3:E3"/>
    <mergeCell ref="O7:T7"/>
    <mergeCell ref="F4:K4"/>
    <mergeCell ref="C6:E6"/>
    <mergeCell ref="A4:B4"/>
    <mergeCell ref="L2:T2"/>
    <mergeCell ref="O6:T6"/>
    <mergeCell ref="F6:K6"/>
    <mergeCell ref="F7:K7"/>
    <mergeCell ref="C5:T5"/>
    <mergeCell ref="L3:T3"/>
    <mergeCell ref="F3:K3"/>
  </mergeCells>
  <dataValidations count="3">
    <dataValidation sqref="F33:T33" showDropDown="0" showInputMessage="1" showErrorMessage="1" allowBlank="1" type="list">
      <formula1>"P,F, "</formula1>
    </dataValidation>
    <dataValidation sqref="F32:T32" showDropDown="0" showInputMessage="1" showErrorMessage="1" allowBlank="1" type="list">
      <formula1>"N,A,B, "</formula1>
    </dataValidation>
    <dataValidation sqref="F10:T31"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V26"/>
  <sheetViews>
    <sheetView topLeftCell="A24" zoomScale="130" zoomScaleNormal="130" workbookViewId="0">
      <selection activeCell="W32" sqref="W32"/>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Borrowing - 4</t>
        </is>
      </c>
      <c r="D2" s="439" t="n"/>
      <c r="E2" s="441" t="n"/>
      <c r="F2" s="410" t="inlineStr">
        <is>
          <t>Function Name</t>
        </is>
      </c>
      <c r="G2" s="496" t="n"/>
      <c r="H2" s="496" t="n"/>
      <c r="I2" s="496" t="n"/>
      <c r="J2" s="496" t="n"/>
      <c r="K2" s="496" t="n"/>
      <c r="L2" s="443" t="inlineStr">
        <is>
          <t>Get Important Borrowing</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73</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COUNTIF(F23:HQ23,"P")</f>
        <v/>
      </c>
      <c r="B7" s="465" t="n"/>
      <c r="C7" s="466">
        <f>COUNTIF(F24:HQ24,"F")</f>
        <v/>
      </c>
      <c r="D7" s="467" t="n"/>
      <c r="E7" s="465" t="n"/>
      <c r="F7" s="468">
        <f>SUM(O7,- A7,- C7)</f>
        <v/>
      </c>
      <c r="G7" s="467" t="n"/>
      <c r="H7" s="467" t="n"/>
      <c r="I7" s="467" t="n"/>
      <c r="J7" s="467" t="n"/>
      <c r="K7" s="469" t="n"/>
      <c r="L7" s="342">
        <f>COUNTIF(E22:HQ22,"N")</f>
        <v/>
      </c>
      <c r="M7" s="342">
        <f>COUNTIF(E22:HQ22,"A")</f>
        <v/>
      </c>
      <c r="N7" s="342">
        <f>COUNTIF(E22:HQ22,"B")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n"/>
      <c r="I13" s="148" t="n"/>
      <c r="J13" s="148" t="n"/>
      <c r="K13" s="148" t="n"/>
      <c r="L13" s="148" t="n"/>
      <c r="M13" s="148" t="n"/>
      <c r="N13" s="148" t="n"/>
      <c r="O13" s="148" t="n"/>
      <c r="P13" s="148" t="n"/>
      <c r="Q13" s="148" t="n"/>
      <c r="R13" s="148" t="n"/>
      <c r="S13" s="148" t="n"/>
      <c r="T13" s="170" t="n"/>
    </row>
    <row r="14" ht="13.5" customHeight="1" s="426" thickBot="1">
      <c r="A14" s="171" t="n"/>
      <c r="B14" s="75" t="n"/>
      <c r="C14" s="76" t="n"/>
      <c r="D14" s="77" t="inlineStr">
        <is>
          <t>No Entry in Database</t>
        </is>
      </c>
      <c r="E14" s="80" t="n"/>
      <c r="F14" s="148" t="n"/>
      <c r="G14" s="148" t="inlineStr">
        <is>
          <t>O</t>
        </is>
      </c>
      <c r="H14" s="148" t="inlineStr">
        <is>
          <t>O</t>
        </is>
      </c>
      <c r="I14" s="148" t="n"/>
      <c r="J14" s="148" t="n"/>
      <c r="K14" s="148" t="n"/>
      <c r="L14" s="148" t="n"/>
      <c r="M14" s="148" t="n"/>
      <c r="N14" s="148" t="n"/>
      <c r="O14" s="148" t="n"/>
      <c r="P14" s="148" t="n"/>
      <c r="Q14" s="148" t="n"/>
      <c r="R14" s="148" t="n"/>
      <c r="S14" s="148" t="n"/>
      <c r="T14" s="170" t="n"/>
    </row>
    <row r="15" ht="13.5" customHeight="1" s="426">
      <c r="A15" s="182" t="inlineStr">
        <is>
          <t>Confirm</t>
        </is>
      </c>
      <c r="B15" s="208" t="inlineStr">
        <is>
          <t>Return</t>
        </is>
      </c>
      <c r="C15" s="239" t="n"/>
      <c r="D15" s="210" t="n"/>
      <c r="E15" s="86" t="n"/>
      <c r="F15" s="87" t="n"/>
      <c r="G15" s="87" t="n"/>
      <c r="H15" s="87" t="n"/>
      <c r="I15" s="87" t="n"/>
      <c r="J15" s="87" t="n"/>
      <c r="K15" s="87" t="n"/>
      <c r="L15" s="87" t="n"/>
      <c r="M15" s="87" t="n"/>
      <c r="N15" s="87" t="n"/>
      <c r="O15" s="87" t="n"/>
      <c r="P15" s="87" t="n"/>
      <c r="Q15" s="87" t="n"/>
      <c r="R15" s="87" t="n"/>
      <c r="S15" s="87" t="n"/>
      <c r="T15" s="196" t="n"/>
    </row>
    <row r="16" ht="13.5" customHeight="1" s="426">
      <c r="A16" s="181" t="n"/>
      <c r="B16" s="208" t="n"/>
      <c r="C16" s="209" t="n"/>
      <c r="D16" s="210" t="inlineStr">
        <is>
          <t xml:space="preserve">Borrow List f </t>
        </is>
      </c>
      <c r="E16" s="91" t="n"/>
      <c r="F16" s="148" t="inlineStr">
        <is>
          <t>O</t>
        </is>
      </c>
      <c r="G16" s="79" t="n"/>
      <c r="H16" s="79" t="n"/>
      <c r="I16" s="79" t="n"/>
      <c r="J16" s="79" t="n"/>
      <c r="K16" s="79" t="n"/>
      <c r="L16" s="148" t="n"/>
      <c r="M16" s="79" t="n"/>
      <c r="N16" s="148" t="n"/>
      <c r="O16" s="79" t="n"/>
      <c r="P16" s="79" t="n"/>
      <c r="Q16" s="79" t="n"/>
      <c r="R16" s="79" t="n"/>
      <c r="S16" s="79" t="n"/>
      <c r="T16" s="195" t="n"/>
    </row>
    <row r="17" ht="13.5" customHeight="1" s="426">
      <c r="A17" s="181" t="n"/>
      <c r="B17" s="126" t="n"/>
      <c r="C17" s="89" t="n"/>
      <c r="D17" s="90" t="inlineStr">
        <is>
          <t>Null</t>
        </is>
      </c>
      <c r="E17" s="91" t="n"/>
      <c r="F17" s="79" t="n"/>
      <c r="G17" s="148" t="inlineStr">
        <is>
          <t>O</t>
        </is>
      </c>
      <c r="H17" s="148" t="n"/>
      <c r="I17" s="148" t="n"/>
      <c r="J17" s="148" t="n"/>
      <c r="K17" s="79" t="n"/>
      <c r="L17" s="79" t="n"/>
      <c r="M17" s="148" t="n"/>
      <c r="N17" s="79" t="n"/>
      <c r="O17" s="148" t="n"/>
      <c r="P17" s="79" t="n"/>
      <c r="Q17" s="79" t="n"/>
      <c r="R17" s="79" t="n"/>
      <c r="S17" s="79" t="n"/>
      <c r="T17" s="195" t="n"/>
    </row>
    <row r="18" ht="13.5" customHeight="1" s="426">
      <c r="A18" s="181" t="n"/>
      <c r="B18" s="116" t="inlineStr">
        <is>
          <t>Exception</t>
        </is>
      </c>
      <c r="C18" s="120" t="n"/>
      <c r="D18" s="118" t="n"/>
      <c r="E18" s="91" t="n"/>
      <c r="F18" s="79" t="n"/>
      <c r="G18" s="79" t="n"/>
      <c r="H18" s="79" t="n"/>
      <c r="I18" s="79" t="n"/>
      <c r="J18" s="79" t="n"/>
      <c r="K18" s="79" t="n"/>
      <c r="L18" s="79" t="n"/>
      <c r="M18" s="79" t="n"/>
      <c r="N18" s="79" t="n"/>
      <c r="O18" s="79" t="n"/>
      <c r="P18" s="79" t="n"/>
      <c r="Q18" s="79" t="n"/>
      <c r="R18" s="79" t="n"/>
      <c r="S18" s="79" t="n"/>
      <c r="T18" s="195" t="n"/>
    </row>
    <row r="19" ht="13.5" customHeight="1" s="426">
      <c r="A19" s="181" t="n"/>
      <c r="B19" s="116" t="n"/>
      <c r="C19" s="120" t="n"/>
      <c r="D19" s="118" t="inlineStr">
        <is>
          <t>InvalidOperationException</t>
        </is>
      </c>
      <c r="E19" s="91" t="n"/>
      <c r="F19" s="79" t="n"/>
      <c r="G19" s="79" t="n"/>
      <c r="H19" s="148" t="inlineStr">
        <is>
          <t>O</t>
        </is>
      </c>
      <c r="I19" s="148" t="n"/>
      <c r="J19" s="148" t="n"/>
      <c r="K19" s="148" t="n"/>
      <c r="L19" s="79" t="n"/>
      <c r="M19" s="79" t="n"/>
      <c r="N19" s="79" t="n"/>
      <c r="O19" s="79" t="n"/>
      <c r="P19" s="79" t="n"/>
      <c r="Q19" s="79" t="n"/>
      <c r="R19" s="79" t="n"/>
      <c r="S19" s="79" t="n"/>
      <c r="T19" s="195" t="n"/>
    </row>
    <row r="20" ht="13.5" customHeight="1" s="426">
      <c r="A20" s="181" t="n"/>
      <c r="B20" s="88" t="inlineStr">
        <is>
          <t>Log message</t>
        </is>
      </c>
      <c r="C20" s="89" t="n"/>
      <c r="D20" s="90" t="n"/>
      <c r="E20" s="91" t="n"/>
      <c r="F20" s="79" t="n"/>
      <c r="G20" s="79" t="n"/>
      <c r="H20" s="79" t="n"/>
      <c r="I20" s="79" t="n"/>
      <c r="J20" s="79" t="n"/>
      <c r="K20" s="79" t="n"/>
      <c r="L20" s="79" t="n"/>
      <c r="M20" s="79" t="n"/>
      <c r="N20" s="79" t="n"/>
      <c r="O20" s="79" t="n"/>
      <c r="P20" s="79" t="n"/>
      <c r="Q20" s="79" t="n"/>
      <c r="R20" s="79" t="n"/>
      <c r="S20" s="79" t="n"/>
      <c r="T20" s="195" t="n"/>
    </row>
    <row r="21" ht="13.5" customHeight="1" s="426" thickBot="1">
      <c r="A21" s="181" t="n"/>
      <c r="B21" s="88" t="n"/>
      <c r="C21" s="89" t="n"/>
      <c r="D21" s="90" t="inlineStr">
        <is>
          <t>"Database connection failed"</t>
        </is>
      </c>
      <c r="E21" s="91" t="n"/>
      <c r="F21" s="148" t="n"/>
      <c r="G21" s="79" t="n"/>
      <c r="H21" s="148" t="inlineStr">
        <is>
          <t>O</t>
        </is>
      </c>
      <c r="I21" s="148" t="n"/>
      <c r="J21" s="148" t="n"/>
      <c r="K21" s="79" t="n"/>
      <c r="L21" s="79" t="n"/>
      <c r="M21" s="79" t="n"/>
      <c r="N21" s="79" t="n"/>
      <c r="O21" s="79" t="n"/>
      <c r="P21" s="79" t="n"/>
      <c r="Q21" s="79" t="n"/>
      <c r="R21" s="79" t="n"/>
      <c r="S21" s="79" t="n"/>
      <c r="T21" s="195" t="n"/>
    </row>
    <row r="22" ht="13.5" customHeight="1" s="426" thickTop="1">
      <c r="A22" s="182" t="inlineStr">
        <is>
          <t>Result</t>
        </is>
      </c>
      <c r="B22" s="331" t="inlineStr">
        <is>
          <t>Type(N : Normal, A : Abnormal, B : Boundary)</t>
        </is>
      </c>
      <c r="C22" s="472" t="n"/>
      <c r="D22" s="473" t="n"/>
      <c r="E22" s="331" t="n"/>
      <c r="F22" s="188" t="inlineStr">
        <is>
          <t>N</t>
        </is>
      </c>
      <c r="G22" s="188" t="inlineStr">
        <is>
          <t>N</t>
        </is>
      </c>
      <c r="H22" s="188" t="inlineStr">
        <is>
          <t>A</t>
        </is>
      </c>
      <c r="I22" s="188" t="n"/>
      <c r="J22" s="188" t="n"/>
      <c r="K22" s="188" t="n"/>
      <c r="L22" s="188" t="n"/>
      <c r="M22" s="188" t="n"/>
      <c r="N22" s="188" t="n"/>
      <c r="O22" s="188" t="n"/>
      <c r="P22" s="188" t="n"/>
      <c r="Q22" s="188" t="n"/>
      <c r="R22" s="188" t="n"/>
      <c r="S22" s="188" t="n"/>
      <c r="T22" s="198" t="n"/>
    </row>
    <row r="23" ht="13.5" customHeight="1" s="426">
      <c r="A23" s="174" t="n"/>
      <c r="B23" s="320" t="inlineStr">
        <is>
          <t>Passed/Failed</t>
        </is>
      </c>
      <c r="C23" s="449" t="n"/>
      <c r="D23" s="450" t="n"/>
      <c r="E23" s="95" t="n"/>
      <c r="F23" s="94" t="inlineStr">
        <is>
          <t>P</t>
        </is>
      </c>
      <c r="G23" s="94" t="inlineStr">
        <is>
          <t>P</t>
        </is>
      </c>
      <c r="H23" s="94" t="inlineStr">
        <is>
          <t>P</t>
        </is>
      </c>
      <c r="I23" s="94" t="n"/>
      <c r="J23" s="94" t="n"/>
      <c r="K23" s="94" t="n"/>
      <c r="L23" s="94" t="n"/>
      <c r="M23" s="94" t="n"/>
      <c r="N23" s="94" t="n"/>
      <c r="O23" s="94" t="n"/>
      <c r="P23" s="94" t="n"/>
      <c r="Q23" s="94" t="n"/>
      <c r="R23" s="94" t="n"/>
      <c r="S23" s="94" t="n"/>
      <c r="T23" s="199" t="n"/>
    </row>
    <row r="24" ht="71.5" customHeight="1" s="426">
      <c r="A24" s="174" t="n"/>
      <c r="B24" s="329" t="inlineStr">
        <is>
          <t>Executed Date</t>
        </is>
      </c>
      <c r="C24" s="449" t="n"/>
      <c r="D24" s="450" t="n"/>
      <c r="E24" s="96" t="n"/>
      <c r="F24" s="97" t="n">
        <v>45708</v>
      </c>
      <c r="G24" s="97" t="n">
        <v>45708</v>
      </c>
      <c r="H24" s="97" t="n">
        <v>45708</v>
      </c>
      <c r="I24" s="97" t="n"/>
      <c r="J24" s="97" t="n"/>
      <c r="K24" s="97" t="n"/>
      <c r="L24" s="97" t="n"/>
      <c r="M24" s="97" t="n"/>
      <c r="N24" s="97" t="n"/>
      <c r="O24" s="97" t="n"/>
      <c r="P24" s="97" t="n"/>
      <c r="Q24" s="97" t="n"/>
      <c r="R24" s="97" t="n"/>
      <c r="S24" s="97" t="n"/>
      <c r="T24" s="176" t="n"/>
    </row>
    <row r="25" ht="10.5" customHeight="1" s="426" thickBot="1">
      <c r="A25" s="177" t="n"/>
      <c r="B25" s="330" t="inlineStr">
        <is>
          <t>Defect ID</t>
        </is>
      </c>
      <c r="C25" s="474" t="n"/>
      <c r="D25" s="475" t="n"/>
      <c r="E25" s="178" t="n"/>
      <c r="F25" s="179" t="n"/>
      <c r="G25" s="179" t="n"/>
      <c r="H25" s="179" t="n"/>
      <c r="I25" s="179" t="n"/>
      <c r="J25" s="179" t="n"/>
      <c r="K25" s="179" t="n"/>
      <c r="L25" s="179" t="n"/>
      <c r="M25" s="179" t="n"/>
      <c r="N25" s="179" t="n"/>
      <c r="O25" s="179" t="n"/>
      <c r="P25" s="179" t="n"/>
      <c r="Q25" s="179" t="n"/>
      <c r="R25" s="179" t="n"/>
      <c r="S25" s="179" t="n"/>
      <c r="T25" s="180" t="n"/>
    </row>
    <row r="26" ht="10.5" customHeight="1" s="426" thickTop="1">
      <c r="A26" s="73" t="n"/>
      <c r="B26" s="69" t="n"/>
      <c r="C26" s="413" t="n"/>
      <c r="D26" s="69" t="n"/>
    </row>
  </sheetData>
  <mergeCells count="27">
    <mergeCell ref="B23:D23"/>
    <mergeCell ref="F2:K2"/>
    <mergeCell ref="A6:B6"/>
    <mergeCell ref="C4:D4"/>
    <mergeCell ref="L4:T4"/>
    <mergeCell ref="C2:E2"/>
    <mergeCell ref="A7:B7"/>
    <mergeCell ref="C7:E7"/>
    <mergeCell ref="L6:N6"/>
    <mergeCell ref="A3:B3"/>
    <mergeCell ref="B24:D24"/>
    <mergeCell ref="A2:B2"/>
    <mergeCell ref="A5:B5"/>
    <mergeCell ref="C3:E3"/>
    <mergeCell ref="O7:T7"/>
    <mergeCell ref="F4:K4"/>
    <mergeCell ref="B25:D25"/>
    <mergeCell ref="C6:E6"/>
    <mergeCell ref="A4:B4"/>
    <mergeCell ref="L2:T2"/>
    <mergeCell ref="O6:T6"/>
    <mergeCell ref="F6:K6"/>
    <mergeCell ref="B22:D22"/>
    <mergeCell ref="F7:K7"/>
    <mergeCell ref="C5:T5"/>
    <mergeCell ref="L3:T3"/>
    <mergeCell ref="F3:K3"/>
  </mergeCells>
  <dataValidations count="3">
    <dataValidation sqref="F22:T22" showDropDown="0" showInputMessage="1" showErrorMessage="1" allowBlank="1" type="list">
      <formula1>"N,A,B, "</formula1>
    </dataValidation>
    <dataValidation sqref="F23:T23" showDropDown="0" showInputMessage="1" showErrorMessage="1" allowBlank="1" type="list">
      <formula1>"P,F, "</formula1>
    </dataValidation>
    <dataValidation sqref="F10:T21"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U31"/>
  <sheetViews>
    <sheetView zoomScale="130" zoomScaleNormal="130" workbookViewId="0">
      <selection activeCell="K7" sqref="K7"/>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0"/>
    <col width="2.81640625" customWidth="1" style="69" min="11" max="18"/>
    <col width="2.81640625" bestFit="1" customWidth="1" style="69" min="19" max="19"/>
    <col width="2.81640625" customWidth="1" style="69" min="20" max="20"/>
    <col width="11" customWidth="1" style="69" min="21" max="255"/>
    <col width="9" customWidth="1" style="69" min="256" max="16384"/>
  </cols>
  <sheetData>
    <row r="1" ht="13.5" customHeight="1" s="426" thickBot="1">
      <c r="A1" s="67" t="n"/>
      <c r="B1" s="68" t="n"/>
    </row>
    <row r="2" ht="13.5" customHeight="1" s="426">
      <c r="A2" s="315" t="inlineStr">
        <is>
          <t>Function Code</t>
        </is>
      </c>
      <c r="B2" s="439" t="n"/>
      <c r="C2" s="440" t="inlineStr">
        <is>
          <t>Borrowing - 5</t>
        </is>
      </c>
      <c r="D2" s="439" t="n"/>
      <c r="E2" s="441" t="n"/>
      <c r="F2" s="410" t="inlineStr">
        <is>
          <t>Function Name</t>
        </is>
      </c>
      <c r="G2" s="496" t="n"/>
      <c r="H2" s="496" t="n"/>
      <c r="I2" s="496" t="n"/>
      <c r="J2" s="496" t="n"/>
      <c r="K2" s="443" t="inlineStr">
        <is>
          <t>Get Borrowing Detail</t>
        </is>
      </c>
      <c r="L2" s="439" t="n"/>
      <c r="M2" s="439" t="n"/>
      <c r="N2" s="439" t="n"/>
      <c r="O2" s="439" t="n"/>
      <c r="P2" s="439" t="n"/>
      <c r="Q2" s="439" t="n"/>
      <c r="R2" s="439" t="n"/>
      <c r="S2" s="444" t="n"/>
      <c r="U2" s="71" t="n"/>
    </row>
    <row r="3" ht="13.5" customHeight="1" s="426">
      <c r="A3" s="445" t="inlineStr">
        <is>
          <t>Created By</t>
        </is>
      </c>
      <c r="B3" s="428" t="n"/>
      <c r="C3" s="446" t="inlineStr">
        <is>
          <t>Nguyễn Hữu Duy</t>
        </is>
      </c>
      <c r="D3" s="433" t="n"/>
      <c r="E3" s="447" t="n"/>
      <c r="F3" s="448" t="inlineStr">
        <is>
          <t>Executed By</t>
        </is>
      </c>
      <c r="G3" s="449" t="n"/>
      <c r="H3" s="449" t="n"/>
      <c r="I3" s="449" t="n"/>
      <c r="J3" s="450" t="n"/>
      <c r="K3" s="453" t="inlineStr">
        <is>
          <t>Nguyễn Hữu Duy</t>
        </is>
      </c>
      <c r="L3" s="454" t="n"/>
      <c r="M3" s="454" t="n"/>
      <c r="N3" s="454" t="n"/>
      <c r="O3" s="454" t="n"/>
      <c r="P3" s="454" t="n"/>
      <c r="Q3" s="454" t="n"/>
      <c r="R3" s="454" t="n"/>
      <c r="S3" s="455" t="n"/>
    </row>
    <row r="4" ht="13.5" customHeight="1" s="426">
      <c r="A4" s="445" t="inlineStr">
        <is>
          <t>Lines  of code</t>
        </is>
      </c>
      <c r="B4" s="428" t="n"/>
      <c r="C4" s="327" t="n">
        <v>124</v>
      </c>
      <c r="D4" s="427" t="n"/>
      <c r="E4" s="328" t="n"/>
      <c r="F4" s="448" t="inlineStr">
        <is>
          <t>Lack of test cases</t>
        </is>
      </c>
      <c r="G4" s="449" t="n"/>
      <c r="H4" s="449" t="n"/>
      <c r="I4" s="449" t="n"/>
      <c r="J4" s="450" t="n"/>
      <c r="K4" s="482" t="n">
        <v>0</v>
      </c>
      <c r="L4" s="427" t="n"/>
      <c r="M4" s="427" t="n"/>
      <c r="N4" s="427" t="n"/>
      <c r="O4" s="427" t="n"/>
      <c r="P4" s="427" t="n"/>
      <c r="Q4" s="427" t="n"/>
      <c r="R4" s="427" t="n"/>
      <c r="S4" s="456" t="n"/>
      <c r="U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56" t="n"/>
    </row>
    <row r="6" ht="13.5" customHeight="1" s="426">
      <c r="A6" s="457" t="inlineStr">
        <is>
          <t>Passed</t>
        </is>
      </c>
      <c r="B6" s="428" t="n"/>
      <c r="C6" s="458" t="inlineStr">
        <is>
          <t>Failed</t>
        </is>
      </c>
      <c r="D6" s="427" t="n"/>
      <c r="E6" s="428" t="n"/>
      <c r="F6" s="459" t="inlineStr">
        <is>
          <t>Untested</t>
        </is>
      </c>
      <c r="G6" s="427" t="n"/>
      <c r="H6" s="427" t="n"/>
      <c r="I6" s="427" t="n"/>
      <c r="J6" s="460" t="n"/>
      <c r="K6" s="340" t="inlineStr">
        <is>
          <t>N/A/B</t>
        </is>
      </c>
      <c r="L6" s="427" t="n"/>
      <c r="M6" s="427" t="n"/>
      <c r="N6" s="462" t="inlineStr">
        <is>
          <t>Total Test Cases</t>
        </is>
      </c>
      <c r="O6" s="427" t="n"/>
      <c r="P6" s="427" t="n"/>
      <c r="Q6" s="427" t="n"/>
      <c r="R6" s="427" t="n"/>
      <c r="S6" s="463" t="n"/>
      <c r="U6" s="71" t="n"/>
    </row>
    <row r="7" ht="13.5" customHeight="1" s="426" thickBot="1">
      <c r="A7" s="464">
        <f>COUNTIF(F28:HP28,"P")</f>
        <v/>
      </c>
      <c r="B7" s="465" t="n"/>
      <c r="C7" s="466">
        <f>COUNTIF(F29:HP29,"F")</f>
        <v/>
      </c>
      <c r="D7" s="467" t="n"/>
      <c r="E7" s="465" t="n"/>
      <c r="F7" s="468">
        <f>SUM(N7,- A7,- C7)</f>
        <v/>
      </c>
      <c r="G7" s="467" t="n"/>
      <c r="H7" s="467" t="n"/>
      <c r="I7" s="467" t="n"/>
      <c r="J7" s="469" t="n"/>
      <c r="K7" s="342">
        <f>COUNTIF(E27:HP27,"N")</f>
        <v/>
      </c>
      <c r="L7" s="342">
        <f>COUNTIF(E27:HP27,"A")</f>
        <v/>
      </c>
      <c r="M7" s="342">
        <f>COUNTIF(E27:HP27,"B")</f>
        <v/>
      </c>
      <c r="N7" s="470">
        <f>COUNTA(E9:HS9)</f>
        <v/>
      </c>
      <c r="O7" s="467" t="n"/>
      <c r="P7" s="467" t="n"/>
      <c r="Q7" s="467" t="n"/>
      <c r="R7" s="467" t="n"/>
      <c r="S7" s="471" t="n"/>
      <c r="T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n"/>
      <c r="K9" s="168" t="n"/>
      <c r="L9" s="168" t="n"/>
      <c r="M9" s="168" t="n"/>
      <c r="N9" s="168" t="n"/>
      <c r="O9" s="168" t="n"/>
      <c r="P9" s="168" t="n"/>
      <c r="Q9" s="168" t="n"/>
      <c r="R9" s="168" t="n"/>
      <c r="S9" s="169" t="n"/>
      <c r="T9" s="74" t="n"/>
      <c r="U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n"/>
      <c r="J11" s="148" t="n"/>
      <c r="K11" s="148" t="n"/>
      <c r="L11" s="148" t="n"/>
      <c r="M11" s="148" t="n"/>
      <c r="N11" s="148" t="n"/>
      <c r="O11" s="148" t="n"/>
      <c r="P11" s="148" t="n"/>
      <c r="Q11" s="148" t="n"/>
      <c r="R11" s="148" t="n"/>
      <c r="S11" s="170" t="n"/>
      <c r="U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n"/>
      <c r="K12" s="148" t="n"/>
      <c r="L12" s="148" t="n"/>
      <c r="M12" s="148" t="n"/>
      <c r="N12" s="148" t="n"/>
      <c r="O12" s="148" t="n"/>
      <c r="P12" s="148" t="n"/>
      <c r="Q12" s="148" t="n"/>
      <c r="R12" s="148" t="n"/>
      <c r="S12" s="170" t="n"/>
    </row>
    <row r="13" ht="13.5" customHeight="1" s="426">
      <c r="A13" s="171" t="n"/>
      <c r="B13" s="75" t="n"/>
      <c r="C13" s="76" t="n"/>
      <c r="D13" s="77" t="inlineStr">
        <is>
          <t>Have Entry in Database</t>
        </is>
      </c>
      <c r="E13" s="80" t="n"/>
      <c r="F13" s="148" t="inlineStr">
        <is>
          <t>O</t>
        </is>
      </c>
      <c r="G13" s="148" t="n"/>
      <c r="H13" s="148" t="n"/>
      <c r="I13" s="148" t="n"/>
      <c r="J13" s="148" t="n"/>
      <c r="K13" s="148" t="n"/>
      <c r="L13" s="148" t="n"/>
      <c r="M13" s="148" t="n"/>
      <c r="N13" s="148" t="n"/>
      <c r="O13" s="148" t="n"/>
      <c r="P13" s="148" t="n"/>
      <c r="Q13" s="148" t="n"/>
      <c r="R13" s="148" t="n"/>
      <c r="S13" s="170" t="n"/>
    </row>
    <row r="14" ht="13.5" customHeight="1" s="426">
      <c r="A14" s="171" t="n"/>
      <c r="B14" s="75" t="n"/>
      <c r="C14" s="76" t="n"/>
      <c r="D14" s="77" t="inlineStr">
        <is>
          <t>No Entry in Database</t>
        </is>
      </c>
      <c r="E14" s="80" t="n"/>
      <c r="F14" s="148" t="n"/>
      <c r="G14" s="148" t="inlineStr">
        <is>
          <t>O</t>
        </is>
      </c>
      <c r="H14" s="148" t="inlineStr">
        <is>
          <t>O</t>
        </is>
      </c>
      <c r="I14" s="148" t="inlineStr">
        <is>
          <t>O</t>
        </is>
      </c>
      <c r="J14" s="148" t="n"/>
      <c r="K14" s="148" t="n"/>
      <c r="L14" s="148" t="n"/>
      <c r="M14" s="148" t="n"/>
      <c r="N14" s="148" t="n"/>
      <c r="O14" s="148" t="n"/>
      <c r="P14" s="148" t="n"/>
      <c r="Q14" s="148" t="n"/>
      <c r="R14" s="148" t="n"/>
      <c r="S14" s="170" t="n"/>
    </row>
    <row r="15" ht="13.5" customHeight="1" s="426">
      <c r="A15" s="171" t="n"/>
      <c r="B15" s="75" t="n"/>
      <c r="C15" s="76" t="n"/>
      <c r="D15" s="77" t="inlineStr">
        <is>
          <t>BorrowId Exist</t>
        </is>
      </c>
      <c r="E15" s="80" t="n"/>
      <c r="F15" s="148" t="inlineStr">
        <is>
          <t>O</t>
        </is>
      </c>
      <c r="G15" s="148" t="inlineStr">
        <is>
          <t>O</t>
        </is>
      </c>
      <c r="H15" s="148" t="n"/>
      <c r="I15" s="148" t="n"/>
      <c r="J15" s="148" t="n"/>
      <c r="K15" s="148" t="n"/>
      <c r="L15" s="148" t="n"/>
      <c r="M15" s="148" t="n"/>
      <c r="N15" s="148" t="n"/>
      <c r="O15" s="148" t="n"/>
      <c r="P15" s="148" t="n"/>
      <c r="Q15" s="148" t="n"/>
      <c r="R15" s="148" t="n"/>
      <c r="S15" s="170" t="n"/>
    </row>
    <row r="16" ht="13.5" customHeight="1" s="426">
      <c r="A16" s="171" t="n"/>
      <c r="B16" s="75" t="n"/>
      <c r="C16" s="76" t="n"/>
      <c r="D16" s="77" t="inlineStr">
        <is>
          <t>BorrowId doesn't Exist</t>
        </is>
      </c>
      <c r="E16" s="80" t="n"/>
      <c r="F16" s="148" t="n"/>
      <c r="G16" s="148" t="n"/>
      <c r="H16" s="148" t="inlineStr">
        <is>
          <t>O</t>
        </is>
      </c>
      <c r="I16" s="148" t="inlineStr">
        <is>
          <t>O</t>
        </is>
      </c>
      <c r="J16" s="148" t="n"/>
      <c r="K16" s="148" t="n"/>
      <c r="L16" s="148" t="n"/>
      <c r="M16" s="148" t="n"/>
      <c r="N16" s="148" t="n"/>
      <c r="O16" s="148" t="n"/>
      <c r="P16" s="148" t="n"/>
      <c r="Q16" s="148" t="n"/>
      <c r="R16" s="148" t="n"/>
      <c r="S16" s="170" t="n"/>
    </row>
    <row r="17" ht="13.5" customHeight="1" s="426">
      <c r="A17" s="171" t="n"/>
      <c r="B17" s="75" t="inlineStr">
        <is>
          <t>BorrowId</t>
        </is>
      </c>
      <c r="C17" s="76" t="n"/>
      <c r="D17" s="77" t="n"/>
      <c r="E17" s="80" t="n"/>
      <c r="F17" s="148" t="n"/>
      <c r="G17" s="148" t="n"/>
      <c r="H17" s="148" t="n"/>
      <c r="I17" s="148" t="n"/>
      <c r="J17" s="148" t="n"/>
      <c r="K17" s="148" t="n"/>
      <c r="L17" s="148" t="n"/>
      <c r="M17" s="148" t="n"/>
      <c r="N17" s="148" t="n"/>
      <c r="O17" s="148" t="n"/>
      <c r="P17" s="148" t="n"/>
      <c r="Q17" s="148" t="n"/>
      <c r="R17" s="148" t="n"/>
      <c r="S17" s="170" t="n"/>
    </row>
    <row r="18" ht="13.5" customHeight="1" s="426">
      <c r="A18" s="171" t="n"/>
      <c r="B18" s="75" t="n"/>
      <c r="C18" s="76" t="n"/>
      <c r="D18" s="77" t="inlineStr">
        <is>
          <t>Guid</t>
        </is>
      </c>
      <c r="E18" s="80" t="n"/>
      <c r="F18" s="148" t="inlineStr">
        <is>
          <t>O</t>
        </is>
      </c>
      <c r="G18" s="148" t="inlineStr">
        <is>
          <t>O</t>
        </is>
      </c>
      <c r="H18" s="148" t="inlineStr">
        <is>
          <t>O</t>
        </is>
      </c>
      <c r="I18" s="148" t="inlineStr">
        <is>
          <t>O</t>
        </is>
      </c>
      <c r="J18" s="148" t="n"/>
      <c r="K18" s="148" t="n"/>
      <c r="L18" s="148" t="n"/>
      <c r="M18" s="148" t="n"/>
      <c r="N18" s="148" t="n"/>
      <c r="O18" s="148" t="n"/>
      <c r="P18" s="148" t="n"/>
      <c r="Q18" s="148" t="n"/>
      <c r="R18" s="148" t="n"/>
      <c r="S18" s="170" t="n"/>
    </row>
    <row r="19" ht="13.5" customHeight="1" s="426" thickBot="1">
      <c r="A19" s="171" t="n"/>
      <c r="B19" s="75" t="n"/>
      <c r="C19" s="76" t="n"/>
      <c r="D19" s="77" t="inlineStr">
        <is>
          <t>null</t>
        </is>
      </c>
      <c r="E19" s="80" t="n"/>
      <c r="F19" s="148" t="n"/>
      <c r="G19" s="148" t="n"/>
      <c r="H19" s="148" t="n"/>
      <c r="I19" s="148" t="n"/>
      <c r="J19" s="148" t="n"/>
      <c r="K19" s="148" t="n"/>
      <c r="L19" s="148" t="n"/>
      <c r="M19" s="148" t="n"/>
      <c r="N19" s="148" t="n"/>
      <c r="O19" s="148" t="n"/>
      <c r="P19" s="148" t="n"/>
      <c r="Q19" s="148" t="n"/>
      <c r="R19" s="148" t="n"/>
      <c r="S19" s="170" t="n"/>
    </row>
    <row r="20" ht="13.5" customHeight="1" s="426">
      <c r="A20" s="182" t="inlineStr">
        <is>
          <t>Confirm</t>
        </is>
      </c>
      <c r="B20" s="208" t="inlineStr">
        <is>
          <t>Return</t>
        </is>
      </c>
      <c r="C20" s="239" t="n"/>
      <c r="D20" s="210" t="n"/>
      <c r="E20" s="86" t="n"/>
      <c r="F20" s="87" t="n"/>
      <c r="G20" s="87" t="n"/>
      <c r="H20" s="87" t="n"/>
      <c r="I20" s="87" t="n"/>
      <c r="J20" s="87" t="n"/>
      <c r="K20" s="87" t="n"/>
      <c r="L20" s="87" t="n"/>
      <c r="M20" s="87" t="n"/>
      <c r="N20" s="87" t="n"/>
      <c r="O20" s="87" t="n"/>
      <c r="P20" s="87" t="n"/>
      <c r="Q20" s="87" t="n"/>
      <c r="R20" s="87" t="n"/>
      <c r="S20" s="196" t="n"/>
    </row>
    <row r="21" ht="13.5" customHeight="1" s="426">
      <c r="A21" s="181" t="n"/>
      <c r="B21" s="208" t="n"/>
      <c r="C21" s="209" t="n"/>
      <c r="D21" s="275" t="inlineStr">
        <is>
          <t>Borrowing Detail</t>
        </is>
      </c>
      <c r="E21" s="91" t="n"/>
      <c r="F21" s="148" t="inlineStr">
        <is>
          <t>O</t>
        </is>
      </c>
      <c r="G21" s="79" t="n"/>
      <c r="H21" s="79" t="n"/>
      <c r="I21" s="79" t="n"/>
      <c r="J21" s="79" t="n"/>
      <c r="K21" s="148" t="n"/>
      <c r="L21" s="79" t="n"/>
      <c r="M21" s="148" t="n"/>
      <c r="N21" s="79" t="n"/>
      <c r="O21" s="79" t="n"/>
      <c r="P21" s="79" t="n"/>
      <c r="Q21" s="79" t="n"/>
      <c r="R21" s="79" t="n"/>
      <c r="S21" s="195" t="n"/>
    </row>
    <row r="22" ht="13.5" customHeight="1" s="426">
      <c r="A22" s="181" t="n"/>
      <c r="B22" s="126" t="n"/>
      <c r="C22" s="89" t="n"/>
      <c r="D22" s="90" t="inlineStr">
        <is>
          <t>Null</t>
        </is>
      </c>
      <c r="E22" s="91" t="n"/>
      <c r="F22" s="79" t="n"/>
      <c r="G22" s="148" t="inlineStr">
        <is>
          <t>O</t>
        </is>
      </c>
      <c r="H22" s="148" t="inlineStr">
        <is>
          <t>O</t>
        </is>
      </c>
      <c r="I22" s="148" t="n"/>
      <c r="J22" s="79" t="n"/>
      <c r="K22" s="79" t="n"/>
      <c r="L22" s="148" t="n"/>
      <c r="M22" s="79" t="n"/>
      <c r="N22" s="148" t="n"/>
      <c r="O22" s="79" t="n"/>
      <c r="P22" s="79" t="n"/>
      <c r="Q22" s="79" t="n"/>
      <c r="R22" s="79" t="n"/>
      <c r="S22" s="195" t="n"/>
    </row>
    <row r="23" ht="13.5" customHeight="1" s="426">
      <c r="A23" s="181" t="n"/>
      <c r="B23" s="116" t="inlineStr">
        <is>
          <t>Exception</t>
        </is>
      </c>
      <c r="C23" s="120" t="n"/>
      <c r="D23" s="118" t="n"/>
      <c r="E23" s="91" t="n"/>
      <c r="F23" s="79" t="n"/>
      <c r="G23" s="79" t="n"/>
      <c r="H23" s="79" t="n"/>
      <c r="I23" s="79" t="n"/>
      <c r="J23" s="79" t="n"/>
      <c r="K23" s="79" t="n"/>
      <c r="L23" s="79" t="n"/>
      <c r="M23" s="79" t="n"/>
      <c r="N23" s="79" t="n"/>
      <c r="O23" s="79" t="n"/>
      <c r="P23" s="79" t="n"/>
      <c r="Q23" s="79" t="n"/>
      <c r="R23" s="79" t="n"/>
      <c r="S23" s="195" t="n"/>
    </row>
    <row r="24" ht="13.5" customHeight="1" s="426">
      <c r="A24" s="181" t="n"/>
      <c r="B24" s="116" t="n"/>
      <c r="C24" s="120" t="n"/>
      <c r="D24" s="118" t="inlineStr">
        <is>
          <t>InvalidOperationException</t>
        </is>
      </c>
      <c r="E24" s="91" t="n"/>
      <c r="F24" s="79" t="n"/>
      <c r="G24" s="79" t="n"/>
      <c r="H24" s="79" t="n"/>
      <c r="I24" s="148" t="inlineStr">
        <is>
          <t>O</t>
        </is>
      </c>
      <c r="J24" s="148" t="n"/>
      <c r="K24" s="79" t="n"/>
      <c r="L24" s="79" t="n"/>
      <c r="M24" s="79" t="n"/>
      <c r="N24" s="79" t="n"/>
      <c r="O24" s="79" t="n"/>
      <c r="P24" s="79" t="n"/>
      <c r="Q24" s="79" t="n"/>
      <c r="R24" s="79" t="n"/>
      <c r="S24" s="195" t="n"/>
    </row>
    <row r="25" ht="13.5" customHeight="1" s="426">
      <c r="A25" s="181" t="n"/>
      <c r="B25" s="88" t="inlineStr">
        <is>
          <t>Log message</t>
        </is>
      </c>
      <c r="C25" s="89" t="n"/>
      <c r="D25" s="90" t="n"/>
      <c r="E25" s="91" t="n"/>
      <c r="F25" s="79" t="n"/>
      <c r="G25" s="79" t="n"/>
      <c r="H25" s="79" t="n"/>
      <c r="I25" s="79" t="n"/>
      <c r="J25" s="79" t="n"/>
      <c r="K25" s="79" t="n"/>
      <c r="L25" s="79" t="n"/>
      <c r="M25" s="79" t="n"/>
      <c r="N25" s="79" t="n"/>
      <c r="O25" s="79" t="n"/>
      <c r="P25" s="79" t="n"/>
      <c r="Q25" s="79" t="n"/>
      <c r="R25" s="79" t="n"/>
      <c r="S25" s="195" t="n"/>
    </row>
    <row r="26" ht="13.5" customHeight="1" s="426" thickBot="1">
      <c r="A26" s="181" t="n"/>
      <c r="B26" s="88" t="n"/>
      <c r="C26" s="89" t="n"/>
      <c r="D26" s="90" t="inlineStr">
        <is>
          <t>"Database connection failed"</t>
        </is>
      </c>
      <c r="E26" s="91" t="n"/>
      <c r="F26" s="148" t="n"/>
      <c r="G26" s="79" t="n"/>
      <c r="H26" s="79" t="n"/>
      <c r="I26" s="148" t="inlineStr">
        <is>
          <t>O</t>
        </is>
      </c>
      <c r="J26" s="79" t="n"/>
      <c r="K26" s="79" t="n"/>
      <c r="L26" s="79" t="n"/>
      <c r="M26" s="79" t="n"/>
      <c r="N26" s="79" t="n"/>
      <c r="O26" s="79" t="n"/>
      <c r="P26" s="79" t="n"/>
      <c r="Q26" s="79" t="n"/>
      <c r="R26" s="79" t="n"/>
      <c r="S26" s="195" t="n"/>
    </row>
    <row r="27" ht="13.5" customHeight="1" s="426" thickTop="1">
      <c r="A27" s="182" t="inlineStr">
        <is>
          <t>Result</t>
        </is>
      </c>
      <c r="B27" s="331" t="inlineStr">
        <is>
          <t>Type(N : Normal, A : Abnormal, B : Boundary)</t>
        </is>
      </c>
      <c r="C27" s="472" t="n"/>
      <c r="D27" s="473" t="n"/>
      <c r="E27" s="331" t="n"/>
      <c r="F27" s="188" t="inlineStr">
        <is>
          <t>N</t>
        </is>
      </c>
      <c r="G27" s="188" t="inlineStr">
        <is>
          <t>N</t>
        </is>
      </c>
      <c r="H27" s="188" t="inlineStr">
        <is>
          <t>N</t>
        </is>
      </c>
      <c r="I27" s="188" t="inlineStr">
        <is>
          <t>A</t>
        </is>
      </c>
      <c r="J27" s="188" t="n"/>
      <c r="K27" s="188" t="n"/>
      <c r="L27" s="188" t="n"/>
      <c r="M27" s="188" t="n"/>
      <c r="N27" s="188" t="n"/>
      <c r="O27" s="188" t="n"/>
      <c r="P27" s="188" t="n"/>
      <c r="Q27" s="188" t="n"/>
      <c r="R27" s="188" t="n"/>
      <c r="S27" s="198" t="n"/>
    </row>
    <row r="28" ht="13.5" customHeight="1" s="426">
      <c r="A28" s="174" t="n"/>
      <c r="B28" s="320" t="inlineStr">
        <is>
          <t>Passed/Failed</t>
        </is>
      </c>
      <c r="C28" s="449" t="n"/>
      <c r="D28" s="450" t="n"/>
      <c r="E28" s="95" t="n"/>
      <c r="F28" s="94" t="inlineStr">
        <is>
          <t>P</t>
        </is>
      </c>
      <c r="G28" s="94" t="inlineStr">
        <is>
          <t>P</t>
        </is>
      </c>
      <c r="H28" s="94" t="inlineStr">
        <is>
          <t>P</t>
        </is>
      </c>
      <c r="I28" s="94" t="inlineStr">
        <is>
          <t>P</t>
        </is>
      </c>
      <c r="J28" s="94" t="n"/>
      <c r="K28" s="94" t="n"/>
      <c r="L28" s="94" t="n"/>
      <c r="M28" s="94" t="n"/>
      <c r="N28" s="94" t="n"/>
      <c r="O28" s="94" t="n"/>
      <c r="P28" s="94" t="n"/>
      <c r="Q28" s="94" t="n"/>
      <c r="R28" s="94" t="n"/>
      <c r="S28" s="199" t="n"/>
    </row>
    <row r="29" ht="71.5" customHeight="1" s="426">
      <c r="A29" s="174" t="n"/>
      <c r="B29" s="329" t="inlineStr">
        <is>
          <t>Executed Date</t>
        </is>
      </c>
      <c r="C29" s="449" t="n"/>
      <c r="D29" s="450" t="n"/>
      <c r="E29" s="96" t="n"/>
      <c r="F29" s="97" t="n">
        <v>45708</v>
      </c>
      <c r="G29" s="97" t="n">
        <v>45708</v>
      </c>
      <c r="H29" s="97" t="n">
        <v>45708</v>
      </c>
      <c r="I29" s="97" t="n">
        <v>45708</v>
      </c>
      <c r="J29" s="97" t="n"/>
      <c r="K29" s="97" t="n"/>
      <c r="L29" s="97" t="n"/>
      <c r="M29" s="97" t="n"/>
      <c r="N29" s="97" t="n"/>
      <c r="O29" s="97" t="n"/>
      <c r="P29" s="97" t="n"/>
      <c r="Q29" s="97" t="n"/>
      <c r="R29" s="97" t="n"/>
      <c r="S29" s="176" t="n"/>
    </row>
    <row r="30" ht="10.5" customHeight="1" s="426" thickBot="1">
      <c r="A30" s="177" t="n"/>
      <c r="B30" s="330" t="inlineStr">
        <is>
          <t>Defect ID</t>
        </is>
      </c>
      <c r="C30" s="474" t="n"/>
      <c r="D30" s="475" t="n"/>
      <c r="E30" s="178" t="n"/>
      <c r="F30" s="179" t="n"/>
      <c r="G30" s="179" t="n"/>
      <c r="H30" s="179" t="n"/>
      <c r="I30" s="179" t="n"/>
      <c r="J30" s="179" t="n"/>
      <c r="K30" s="179" t="n"/>
      <c r="L30" s="179" t="n"/>
      <c r="M30" s="179" t="n"/>
      <c r="N30" s="179" t="n"/>
      <c r="O30" s="179" t="n"/>
      <c r="P30" s="179" t="n"/>
      <c r="Q30" s="179" t="n"/>
      <c r="R30" s="179" t="n"/>
      <c r="S30" s="180" t="n"/>
    </row>
    <row r="31" ht="10.5" customHeight="1" s="426" thickTop="1">
      <c r="A31" s="73" t="n"/>
      <c r="B31" s="69" t="n"/>
      <c r="C31" s="413" t="n"/>
      <c r="D31" s="69" t="n"/>
    </row>
  </sheetData>
  <mergeCells count="27">
    <mergeCell ref="F6:J6"/>
    <mergeCell ref="B29:D29"/>
    <mergeCell ref="C5:S5"/>
    <mergeCell ref="A6:B6"/>
    <mergeCell ref="C4:D4"/>
    <mergeCell ref="C2:E2"/>
    <mergeCell ref="B28:D28"/>
    <mergeCell ref="F7:J7"/>
    <mergeCell ref="F3:J3"/>
    <mergeCell ref="K2:S2"/>
    <mergeCell ref="A7:B7"/>
    <mergeCell ref="B30:D30"/>
    <mergeCell ref="C7:E7"/>
    <mergeCell ref="A3:B3"/>
    <mergeCell ref="F2:J2"/>
    <mergeCell ref="N6:S6"/>
    <mergeCell ref="A2:B2"/>
    <mergeCell ref="K6:M6"/>
    <mergeCell ref="A5:B5"/>
    <mergeCell ref="K4:S4"/>
    <mergeCell ref="C3:E3"/>
    <mergeCell ref="K3:S3"/>
    <mergeCell ref="C6:E6"/>
    <mergeCell ref="A4:B4"/>
    <mergeCell ref="N7:S7"/>
    <mergeCell ref="B27:D27"/>
    <mergeCell ref="F4:J4"/>
  </mergeCells>
  <dataValidations count="3">
    <dataValidation sqref="F27:S27" showDropDown="0" showInputMessage="1" showErrorMessage="1" allowBlank="1" type="list">
      <formula1>"N,A,B, "</formula1>
    </dataValidation>
    <dataValidation sqref="F28:S28" showDropDown="0" showInputMessage="1" showErrorMessage="1" allowBlank="1" type="list">
      <formula1>"P,F, "</formula1>
    </dataValidation>
    <dataValidation sqref="F10:S26"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U29"/>
  <sheetViews>
    <sheetView zoomScale="130" zoomScaleNormal="130" workbookViewId="0">
      <selection activeCell="K3" sqref="K3:S3"/>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0"/>
    <col width="2.81640625" customWidth="1" style="69" min="11" max="18"/>
    <col width="2.81640625" bestFit="1" customWidth="1" style="69" min="19" max="19"/>
    <col width="2.81640625" customWidth="1" style="69" min="20" max="20"/>
    <col width="11" customWidth="1" style="69" min="21" max="255"/>
    <col width="9" customWidth="1" style="69" min="256" max="16384"/>
  </cols>
  <sheetData>
    <row r="1" ht="13.5" customHeight="1" s="426" thickBot="1">
      <c r="A1" s="67" t="n"/>
      <c r="B1" s="68" t="n"/>
    </row>
    <row r="2" ht="13.5" customHeight="1" s="426">
      <c r="A2" s="315" t="inlineStr">
        <is>
          <t>Function Code</t>
        </is>
      </c>
      <c r="B2" s="439" t="n"/>
      <c r="C2" s="440" t="inlineStr">
        <is>
          <t>Permissions - 1</t>
        </is>
      </c>
      <c r="D2" s="439" t="n"/>
      <c r="E2" s="441" t="n"/>
      <c r="F2" s="410" t="inlineStr">
        <is>
          <t>Function Name</t>
        </is>
      </c>
      <c r="G2" s="496" t="n"/>
      <c r="H2" s="496" t="n"/>
      <c r="I2" s="496" t="n"/>
      <c r="J2" s="496" t="n"/>
      <c r="K2" s="443" t="inlineStr">
        <is>
          <t>Get HashSet Permissions</t>
        </is>
      </c>
      <c r="L2" s="439" t="n"/>
      <c r="M2" s="439" t="n"/>
      <c r="N2" s="439" t="n"/>
      <c r="O2" s="439" t="n"/>
      <c r="P2" s="439" t="n"/>
      <c r="Q2" s="439" t="n"/>
      <c r="R2" s="439" t="n"/>
      <c r="S2" s="444" t="n"/>
      <c r="U2" s="71" t="n"/>
    </row>
    <row r="3" ht="13.5" customHeight="1" s="426">
      <c r="A3" s="445" t="inlineStr">
        <is>
          <t>Created By</t>
        </is>
      </c>
      <c r="B3" s="428" t="n"/>
      <c r="C3" s="446" t="inlineStr">
        <is>
          <t>Nguyễn Chí Hậu</t>
        </is>
      </c>
      <c r="D3" s="433" t="n"/>
      <c r="E3" s="447" t="n"/>
      <c r="F3" s="448" t="inlineStr">
        <is>
          <t>Executed By</t>
        </is>
      </c>
      <c r="G3" s="449" t="n"/>
      <c r="H3" s="449" t="n"/>
      <c r="I3" s="449" t="n"/>
      <c r="J3" s="450" t="n"/>
      <c r="K3" s="453" t="inlineStr">
        <is>
          <t>Nguyễn Chí Hậu</t>
        </is>
      </c>
      <c r="L3" s="454" t="n"/>
      <c r="M3" s="454" t="n"/>
      <c r="N3" s="454" t="n"/>
      <c r="O3" s="454" t="n"/>
      <c r="P3" s="454" t="n"/>
      <c r="Q3" s="454" t="n"/>
      <c r="R3" s="454" t="n"/>
      <c r="S3" s="455" t="n"/>
    </row>
    <row r="4" ht="13.5" customHeight="1" s="426">
      <c r="A4" s="445" t="inlineStr">
        <is>
          <t>Lines  of code</t>
        </is>
      </c>
      <c r="B4" s="428" t="n"/>
      <c r="C4" s="327" t="n">
        <v>70</v>
      </c>
      <c r="D4" s="427" t="n"/>
      <c r="E4" s="328" t="n"/>
      <c r="F4" s="448" t="inlineStr">
        <is>
          <t>Lack of test cases</t>
        </is>
      </c>
      <c r="G4" s="449" t="n"/>
      <c r="H4" s="449" t="n"/>
      <c r="I4" s="449" t="n"/>
      <c r="J4" s="450" t="n"/>
      <c r="K4" s="482" t="n">
        <v>0</v>
      </c>
      <c r="L4" s="427" t="n"/>
      <c r="M4" s="427" t="n"/>
      <c r="N4" s="427" t="n"/>
      <c r="O4" s="427" t="n"/>
      <c r="P4" s="427" t="n"/>
      <c r="Q4" s="427" t="n"/>
      <c r="R4" s="427" t="n"/>
      <c r="S4" s="456" t="n"/>
      <c r="U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56" t="n"/>
    </row>
    <row r="6" ht="13.5" customHeight="1" s="426">
      <c r="A6" s="457" t="inlineStr">
        <is>
          <t>Passed</t>
        </is>
      </c>
      <c r="B6" s="428" t="n"/>
      <c r="C6" s="458" t="inlineStr">
        <is>
          <t>Failed</t>
        </is>
      </c>
      <c r="D6" s="427" t="n"/>
      <c r="E6" s="428" t="n"/>
      <c r="F6" s="459" t="inlineStr">
        <is>
          <t>Untested</t>
        </is>
      </c>
      <c r="G6" s="427" t="n"/>
      <c r="H6" s="427" t="n"/>
      <c r="I6" s="427" t="n"/>
      <c r="J6" s="460" t="n"/>
      <c r="K6" s="340" t="inlineStr">
        <is>
          <t>N/A/B</t>
        </is>
      </c>
      <c r="L6" s="427" t="n"/>
      <c r="M6" s="427" t="n"/>
      <c r="N6" s="462" t="inlineStr">
        <is>
          <t>Total Test Cases</t>
        </is>
      </c>
      <c r="O6" s="427" t="n"/>
      <c r="P6" s="427" t="n"/>
      <c r="Q6" s="427" t="n"/>
      <c r="R6" s="427" t="n"/>
      <c r="S6" s="463" t="n"/>
      <c r="U6" s="71" t="n"/>
    </row>
    <row r="7" ht="13.5" customHeight="1" s="426" thickBot="1">
      <c r="A7" s="464">
        <f>COUNTIF(F26:HP26,"P")</f>
        <v/>
      </c>
      <c r="B7" s="465" t="n"/>
      <c r="C7" s="466">
        <f>COUNTIF(F27:HP27,"F")</f>
        <v/>
      </c>
      <c r="D7" s="467" t="n"/>
      <c r="E7" s="465" t="n"/>
      <c r="F7" s="468">
        <f>SUM(N7,- A7,- C7)</f>
        <v/>
      </c>
      <c r="G7" s="467" t="n"/>
      <c r="H7" s="467" t="n"/>
      <c r="I7" s="467" t="n"/>
      <c r="J7" s="469" t="n"/>
      <c r="K7" s="342">
        <f>COUNTIF(E25:HP25,"N")</f>
        <v/>
      </c>
      <c r="L7" s="342">
        <f>COUNTIF(E25:HP25,"A")</f>
        <v/>
      </c>
      <c r="M7" s="342">
        <f>COUNTIF(E25:HP25,"B")</f>
        <v/>
      </c>
      <c r="N7" s="470">
        <f>COUNTA(E9:HS9)</f>
        <v/>
      </c>
      <c r="O7" s="467" t="n"/>
      <c r="P7" s="467" t="n"/>
      <c r="Q7" s="467" t="n"/>
      <c r="R7" s="467" t="n"/>
      <c r="S7" s="471" t="n"/>
      <c r="T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9" t="n"/>
      <c r="T9" s="74" t="n"/>
      <c r="U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195"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70" t="n"/>
      <c r="U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70" t="n"/>
    </row>
    <row r="13" ht="13.5" customHeight="1" s="426">
      <c r="A13" s="171" t="n"/>
      <c r="B13" s="75" t="n"/>
      <c r="C13" s="76" t="n"/>
      <c r="D13" s="77" t="inlineStr">
        <is>
          <t>UserId Exist</t>
        </is>
      </c>
      <c r="E13" s="80" t="n"/>
      <c r="F13" s="148" t="inlineStr">
        <is>
          <t>O</t>
        </is>
      </c>
      <c r="G13" s="148" t="n"/>
      <c r="H13" s="148" t="n"/>
      <c r="I13" s="148" t="n"/>
      <c r="J13" s="148" t="n"/>
      <c r="K13" s="148" t="n"/>
      <c r="L13" s="148" t="n"/>
      <c r="M13" s="148" t="n"/>
      <c r="N13" s="148" t="n"/>
      <c r="O13" s="148" t="n"/>
      <c r="P13" s="148" t="n"/>
      <c r="Q13" s="148" t="n"/>
      <c r="R13" s="148" t="n"/>
      <c r="S13" s="170" t="n"/>
    </row>
    <row r="14" ht="13.5" customHeight="1" s="426">
      <c r="A14" s="171" t="n"/>
      <c r="B14" s="75" t="n"/>
      <c r="C14" s="76" t="n"/>
      <c r="D14" s="77" t="inlineStr">
        <is>
          <t>UserId doesn't Exist</t>
        </is>
      </c>
      <c r="E14" s="80" t="n"/>
      <c r="F14" s="148" t="n"/>
      <c r="G14" s="148" t="inlineStr">
        <is>
          <t>O</t>
        </is>
      </c>
      <c r="H14" s="148" t="inlineStr">
        <is>
          <t>O</t>
        </is>
      </c>
      <c r="I14" s="148" t="n"/>
      <c r="J14" s="148" t="n"/>
      <c r="K14" s="148" t="n"/>
      <c r="L14" s="148" t="n"/>
      <c r="M14" s="148" t="n"/>
      <c r="N14" s="148" t="n"/>
      <c r="O14" s="148" t="n"/>
      <c r="P14" s="148" t="n"/>
      <c r="Q14" s="148" t="n"/>
      <c r="R14" s="148" t="n"/>
      <c r="S14" s="170" t="n"/>
    </row>
    <row r="15" ht="13.5" customHeight="1" s="426">
      <c r="A15" s="171" t="n"/>
      <c r="B15" s="75" t="inlineStr">
        <is>
          <t>UserId</t>
        </is>
      </c>
      <c r="C15" s="76" t="n"/>
      <c r="D15" s="77" t="n"/>
      <c r="E15" s="80" t="n"/>
      <c r="F15" s="148" t="n"/>
      <c r="G15" s="148" t="n"/>
      <c r="H15" s="148" t="n"/>
      <c r="I15" s="148" t="n"/>
      <c r="J15" s="148" t="n"/>
      <c r="K15" s="148" t="n"/>
      <c r="L15" s="148" t="n"/>
      <c r="M15" s="148" t="n"/>
      <c r="N15" s="148" t="n"/>
      <c r="O15" s="148" t="n"/>
      <c r="P15" s="148" t="n"/>
      <c r="Q15" s="148" t="n"/>
      <c r="R15" s="148" t="n"/>
      <c r="S15" s="170" t="n"/>
    </row>
    <row r="16" ht="13.5" customHeight="1" s="426">
      <c r="A16" s="171" t="n"/>
      <c r="B16" s="75" t="n"/>
      <c r="C16" s="76" t="n"/>
      <c r="D16" s="77" t="inlineStr">
        <is>
          <t>Guid</t>
        </is>
      </c>
      <c r="E16" s="80" t="n"/>
      <c r="F16" s="148" t="inlineStr">
        <is>
          <t>O</t>
        </is>
      </c>
      <c r="G16" s="148" t="inlineStr">
        <is>
          <t>O</t>
        </is>
      </c>
      <c r="H16" s="148" t="inlineStr">
        <is>
          <t>O</t>
        </is>
      </c>
      <c r="I16" s="148" t="n"/>
      <c r="J16" s="148" t="n"/>
      <c r="K16" s="148" t="n"/>
      <c r="L16" s="148" t="n"/>
      <c r="M16" s="148" t="n"/>
      <c r="N16" s="148" t="n"/>
      <c r="O16" s="148" t="n"/>
      <c r="P16" s="148" t="n"/>
      <c r="Q16" s="148" t="n"/>
      <c r="R16" s="148" t="n"/>
      <c r="S16" s="170" t="n"/>
    </row>
    <row r="17" ht="13.5" customHeight="1" s="426" thickBot="1">
      <c r="A17" s="171" t="n"/>
      <c r="B17" s="75" t="n"/>
      <c r="C17" s="76" t="n"/>
      <c r="D17" s="77" t="inlineStr">
        <is>
          <t>null</t>
        </is>
      </c>
      <c r="E17" s="80" t="n"/>
      <c r="F17" s="148" t="n"/>
      <c r="G17" s="148" t="n"/>
      <c r="H17" s="148" t="n"/>
      <c r="I17" s="148" t="n"/>
      <c r="J17" s="148" t="n"/>
      <c r="K17" s="148" t="n"/>
      <c r="L17" s="148" t="n"/>
      <c r="M17" s="148" t="n"/>
      <c r="N17" s="148" t="n"/>
      <c r="O17" s="148" t="n"/>
      <c r="P17" s="148" t="n"/>
      <c r="Q17" s="148" t="n"/>
      <c r="R17" s="148" t="n"/>
      <c r="S17" s="170" t="n"/>
    </row>
    <row r="18" ht="13.5" customHeight="1" s="426">
      <c r="A18" s="182" t="inlineStr">
        <is>
          <t>Confirm</t>
        </is>
      </c>
      <c r="B18" s="208" t="inlineStr">
        <is>
          <t>Return</t>
        </is>
      </c>
      <c r="C18" s="239" t="n"/>
      <c r="D18" s="210" t="n"/>
      <c r="E18" s="86" t="n"/>
      <c r="F18" s="87" t="n"/>
      <c r="G18" s="87" t="n"/>
      <c r="H18" s="87" t="n"/>
      <c r="I18" s="87" t="n"/>
      <c r="J18" s="87" t="n"/>
      <c r="K18" s="87" t="n"/>
      <c r="L18" s="87" t="n"/>
      <c r="M18" s="87" t="n"/>
      <c r="N18" s="87" t="n"/>
      <c r="O18" s="87" t="n"/>
      <c r="P18" s="87" t="n"/>
      <c r="Q18" s="87" t="n"/>
      <c r="R18" s="87" t="n"/>
      <c r="S18" s="196" t="n"/>
    </row>
    <row r="19" ht="13.5" customHeight="1" s="426">
      <c r="A19" s="181" t="n"/>
      <c r="B19" s="208" t="n"/>
      <c r="C19" s="209" t="n"/>
      <c r="D19" s="275" t="inlineStr">
        <is>
          <t>Permissions List</t>
        </is>
      </c>
      <c r="E19" s="91" t="n"/>
      <c r="F19" s="148" t="inlineStr">
        <is>
          <t>O</t>
        </is>
      </c>
      <c r="G19" s="79" t="n"/>
      <c r="H19" s="79" t="n"/>
      <c r="I19" s="79" t="n"/>
      <c r="J19" s="79" t="n"/>
      <c r="K19" s="148" t="n"/>
      <c r="L19" s="79" t="n"/>
      <c r="M19" s="148" t="n"/>
      <c r="N19" s="79" t="n"/>
      <c r="O19" s="79" t="n"/>
      <c r="P19" s="79" t="n"/>
      <c r="Q19" s="79" t="n"/>
      <c r="R19" s="79" t="n"/>
      <c r="S19" s="195" t="n"/>
    </row>
    <row r="20" ht="13.5" customHeight="1" s="426">
      <c r="A20" s="181" t="n"/>
      <c r="B20" s="126" t="n"/>
      <c r="C20" s="89" t="n"/>
      <c r="D20" s="90" t="inlineStr">
        <is>
          <t>Null</t>
        </is>
      </c>
      <c r="E20" s="91" t="n"/>
      <c r="F20" s="79" t="n"/>
      <c r="G20" s="148" t="inlineStr">
        <is>
          <t>O</t>
        </is>
      </c>
      <c r="H20" s="148" t="n"/>
      <c r="I20" s="148" t="n"/>
      <c r="J20" s="79" t="n"/>
      <c r="K20" s="79" t="n"/>
      <c r="L20" s="148" t="n"/>
      <c r="M20" s="79" t="n"/>
      <c r="N20" s="148" t="n"/>
      <c r="O20" s="79" t="n"/>
      <c r="P20" s="79" t="n"/>
      <c r="Q20" s="79" t="n"/>
      <c r="R20" s="79" t="n"/>
      <c r="S20" s="195" t="n"/>
    </row>
    <row r="21" ht="13.5" customHeight="1" s="426">
      <c r="A21" s="181" t="n"/>
      <c r="B21" s="116" t="inlineStr">
        <is>
          <t>Exception</t>
        </is>
      </c>
      <c r="C21" s="120" t="n"/>
      <c r="D21" s="118" t="n"/>
      <c r="E21" s="91" t="n"/>
      <c r="F21" s="79" t="n"/>
      <c r="G21" s="79" t="n"/>
      <c r="H21" s="79" t="n"/>
      <c r="I21" s="79" t="n"/>
      <c r="J21" s="79" t="n"/>
      <c r="K21" s="79" t="n"/>
      <c r="L21" s="79" t="n"/>
      <c r="M21" s="79" t="n"/>
      <c r="N21" s="79" t="n"/>
      <c r="O21" s="79" t="n"/>
      <c r="P21" s="79" t="n"/>
      <c r="Q21" s="79" t="n"/>
      <c r="R21" s="79" t="n"/>
      <c r="S21" s="195" t="n"/>
    </row>
    <row r="22" ht="13.5" customHeight="1" s="426">
      <c r="A22" s="181" t="n"/>
      <c r="B22" s="116" t="n"/>
      <c r="C22" s="120" t="n"/>
      <c r="D22" s="118" t="inlineStr">
        <is>
          <t>InvalidOperationException</t>
        </is>
      </c>
      <c r="E22" s="91" t="n"/>
      <c r="F22" s="79" t="n"/>
      <c r="G22" s="79" t="n"/>
      <c r="H22" s="148" t="inlineStr">
        <is>
          <t>O</t>
        </is>
      </c>
      <c r="I22" s="148" t="n"/>
      <c r="J22" s="148" t="n"/>
      <c r="K22" s="79" t="n"/>
      <c r="L22" s="79" t="n"/>
      <c r="M22" s="79" t="n"/>
      <c r="N22" s="79" t="n"/>
      <c r="O22" s="79" t="n"/>
      <c r="P22" s="79" t="n"/>
      <c r="Q22" s="79" t="n"/>
      <c r="R22" s="79" t="n"/>
      <c r="S22" s="195" t="n"/>
    </row>
    <row r="23" ht="13.5" customHeight="1" s="426">
      <c r="A23" s="181" t="n"/>
      <c r="B23" s="88" t="inlineStr">
        <is>
          <t>Log message</t>
        </is>
      </c>
      <c r="C23" s="89" t="n"/>
      <c r="D23" s="90" t="n"/>
      <c r="E23" s="91" t="n"/>
      <c r="F23" s="79" t="n"/>
      <c r="G23" s="79" t="n"/>
      <c r="H23" s="79" t="n"/>
      <c r="I23" s="79" t="n"/>
      <c r="J23" s="79" t="n"/>
      <c r="K23" s="79" t="n"/>
      <c r="L23" s="79" t="n"/>
      <c r="M23" s="79" t="n"/>
      <c r="N23" s="79" t="n"/>
      <c r="O23" s="79" t="n"/>
      <c r="P23" s="79" t="n"/>
      <c r="Q23" s="79" t="n"/>
      <c r="R23" s="79" t="n"/>
      <c r="S23" s="195" t="n"/>
    </row>
    <row r="24" ht="13.5" customHeight="1" s="426" thickBot="1">
      <c r="A24" s="181" t="n"/>
      <c r="B24" s="88" t="n"/>
      <c r="C24" s="89" t="n"/>
      <c r="D24" s="90" t="inlineStr">
        <is>
          <t>"Database connection failed"</t>
        </is>
      </c>
      <c r="E24" s="91" t="n"/>
      <c r="F24" s="148" t="n"/>
      <c r="G24" s="79" t="n"/>
      <c r="H24" s="148" t="inlineStr">
        <is>
          <t>O</t>
        </is>
      </c>
      <c r="I24" s="148" t="n"/>
      <c r="J24" s="79" t="n"/>
      <c r="K24" s="79" t="n"/>
      <c r="L24" s="79" t="n"/>
      <c r="M24" s="79" t="n"/>
      <c r="N24" s="79" t="n"/>
      <c r="O24" s="79" t="n"/>
      <c r="P24" s="79" t="n"/>
      <c r="Q24" s="79" t="n"/>
      <c r="R24" s="79" t="n"/>
      <c r="S24" s="195" t="n"/>
    </row>
    <row r="25" ht="13.5" customHeight="1" s="426" thickTop="1">
      <c r="A25" s="182" t="inlineStr">
        <is>
          <t>Result</t>
        </is>
      </c>
      <c r="B25" s="331" t="inlineStr">
        <is>
          <t>Type(N : Normal, A : Abnormal, B : Boundary)</t>
        </is>
      </c>
      <c r="C25" s="472" t="n"/>
      <c r="D25" s="473" t="n"/>
      <c r="E25" s="331" t="n"/>
      <c r="F25" s="188" t="inlineStr">
        <is>
          <t>N</t>
        </is>
      </c>
      <c r="G25" s="188" t="inlineStr">
        <is>
          <t>N</t>
        </is>
      </c>
      <c r="H25" s="188" t="inlineStr">
        <is>
          <t>A</t>
        </is>
      </c>
      <c r="I25" s="188" t="n"/>
      <c r="J25" s="188" t="n"/>
      <c r="K25" s="188" t="n"/>
      <c r="L25" s="188" t="n"/>
      <c r="M25" s="188" t="n"/>
      <c r="N25" s="188" t="n"/>
      <c r="O25" s="188" t="n"/>
      <c r="P25" s="188" t="n"/>
      <c r="Q25" s="188" t="n"/>
      <c r="R25" s="188" t="n"/>
      <c r="S25" s="198" t="n"/>
    </row>
    <row r="26" ht="13.5" customHeight="1" s="426">
      <c r="A26" s="174" t="n"/>
      <c r="B26" s="320" t="inlineStr">
        <is>
          <t>Passed/Failed</t>
        </is>
      </c>
      <c r="C26" s="449" t="n"/>
      <c r="D26" s="450" t="n"/>
      <c r="E26" s="95" t="n"/>
      <c r="F26" s="94" t="inlineStr">
        <is>
          <t>P</t>
        </is>
      </c>
      <c r="G26" s="94" t="inlineStr">
        <is>
          <t>P</t>
        </is>
      </c>
      <c r="H26" s="94" t="inlineStr">
        <is>
          <t>P</t>
        </is>
      </c>
      <c r="I26" s="94" t="n"/>
      <c r="J26" s="94" t="n"/>
      <c r="K26" s="94" t="n"/>
      <c r="L26" s="94" t="n"/>
      <c r="M26" s="94" t="n"/>
      <c r="N26" s="94" t="n"/>
      <c r="O26" s="94" t="n"/>
      <c r="P26" s="94" t="n"/>
      <c r="Q26" s="94" t="n"/>
      <c r="R26" s="94" t="n"/>
      <c r="S26" s="199" t="n"/>
    </row>
    <row r="27" ht="71.5" customHeight="1" s="426">
      <c r="A27" s="174" t="n"/>
      <c r="B27" s="329" t="inlineStr">
        <is>
          <t>Executed Date</t>
        </is>
      </c>
      <c r="C27" s="449" t="n"/>
      <c r="D27" s="450" t="n"/>
      <c r="E27" s="96" t="n"/>
      <c r="F27" s="97" t="n">
        <v>45709</v>
      </c>
      <c r="G27" s="97" t="n">
        <v>45709</v>
      </c>
      <c r="H27" s="97" t="n">
        <v>45709</v>
      </c>
      <c r="I27" s="97" t="n"/>
      <c r="J27" s="97" t="n"/>
      <c r="K27" s="97" t="n"/>
      <c r="L27" s="97" t="n"/>
      <c r="M27" s="97" t="n"/>
      <c r="N27" s="97" t="n"/>
      <c r="O27" s="97" t="n"/>
      <c r="P27" s="97" t="n"/>
      <c r="Q27" s="97" t="n"/>
      <c r="R27" s="97" t="n"/>
      <c r="S27" s="176" t="n"/>
    </row>
    <row r="28" ht="10.5" customHeight="1" s="426" thickBot="1">
      <c r="A28" s="177" t="n"/>
      <c r="B28" s="330" t="inlineStr">
        <is>
          <t>Defect ID</t>
        </is>
      </c>
      <c r="C28" s="474" t="n"/>
      <c r="D28" s="475" t="n"/>
      <c r="E28" s="178" t="n"/>
      <c r="F28" s="179" t="n"/>
      <c r="G28" s="179" t="n"/>
      <c r="H28" s="179" t="n"/>
      <c r="I28" s="179" t="n"/>
      <c r="J28" s="179" t="n"/>
      <c r="K28" s="179" t="n"/>
      <c r="L28" s="179" t="n"/>
      <c r="M28" s="179" t="n"/>
      <c r="N28" s="179" t="n"/>
      <c r="O28" s="179" t="n"/>
      <c r="P28" s="179" t="n"/>
      <c r="Q28" s="179" t="n"/>
      <c r="R28" s="179" t="n"/>
      <c r="S28" s="180" t="n"/>
    </row>
    <row r="29" ht="10.5" customHeight="1" s="426" thickTop="1">
      <c r="A29" s="73" t="n"/>
      <c r="B29" s="69" t="n"/>
      <c r="C29" s="413" t="n"/>
      <c r="D29" s="69" t="n"/>
    </row>
  </sheetData>
  <mergeCells count="27">
    <mergeCell ref="F6:J6"/>
    <mergeCell ref="C5:S5"/>
    <mergeCell ref="A6:B6"/>
    <mergeCell ref="C4:D4"/>
    <mergeCell ref="C2:E2"/>
    <mergeCell ref="B28:D28"/>
    <mergeCell ref="F7:J7"/>
    <mergeCell ref="F3:J3"/>
    <mergeCell ref="K2:S2"/>
    <mergeCell ref="A7:B7"/>
    <mergeCell ref="C7:E7"/>
    <mergeCell ref="A3:B3"/>
    <mergeCell ref="F2:J2"/>
    <mergeCell ref="N6:S6"/>
    <mergeCell ref="A2:B2"/>
    <mergeCell ref="K6:M6"/>
    <mergeCell ref="A5:B5"/>
    <mergeCell ref="B26:D26"/>
    <mergeCell ref="K4:S4"/>
    <mergeCell ref="C3:E3"/>
    <mergeCell ref="K3:S3"/>
    <mergeCell ref="B25:D25"/>
    <mergeCell ref="C6:E6"/>
    <mergeCell ref="A4:B4"/>
    <mergeCell ref="N7:S7"/>
    <mergeCell ref="B27:D27"/>
    <mergeCell ref="F4:J4"/>
  </mergeCells>
  <dataValidations count="3">
    <dataValidation sqref="F26:S26" showDropDown="0" showInputMessage="1" showErrorMessage="1" allowBlank="1" type="list">
      <formula1>"P,F, "</formula1>
    </dataValidation>
    <dataValidation sqref="F25:S25" showDropDown="0" showInputMessage="1" showErrorMessage="1" allowBlank="1" type="list">
      <formula1>"N,A,B, "</formula1>
    </dataValidation>
    <dataValidation sqref="F10:S24"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U30"/>
  <sheetViews>
    <sheetView topLeftCell="A25" zoomScale="130" zoomScaleNormal="130" workbookViewId="0">
      <selection activeCell="F28" sqref="F28:I28"/>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0"/>
    <col width="2.81640625" customWidth="1" style="69" min="11" max="18"/>
    <col width="2.81640625" bestFit="1" customWidth="1" style="69" min="19" max="19"/>
    <col width="2.81640625" customWidth="1" style="69" min="20" max="20"/>
    <col width="11" customWidth="1" style="69" min="21" max="255"/>
    <col width="9" customWidth="1" style="69" min="256" max="16384"/>
  </cols>
  <sheetData>
    <row r="1" ht="13.5" customHeight="1" s="426" thickBot="1">
      <c r="A1" s="67" t="n"/>
      <c r="B1" s="68" t="n"/>
    </row>
    <row r="2" ht="13.5" customHeight="1" s="426">
      <c r="A2" s="315" t="inlineStr">
        <is>
          <t>Function Code</t>
        </is>
      </c>
      <c r="B2" s="439" t="n"/>
      <c r="C2" s="440" t="inlineStr">
        <is>
          <t>Permissions - 2</t>
        </is>
      </c>
      <c r="D2" s="439" t="n"/>
      <c r="E2" s="441" t="n"/>
      <c r="F2" s="410" t="inlineStr">
        <is>
          <t>Function Name</t>
        </is>
      </c>
      <c r="G2" s="496" t="n"/>
      <c r="H2" s="496" t="n"/>
      <c r="I2" s="496" t="n"/>
      <c r="J2" s="496" t="n"/>
      <c r="K2" s="443" t="inlineStr">
        <is>
          <t>Get Permissions</t>
        </is>
      </c>
      <c r="L2" s="439" t="n"/>
      <c r="M2" s="439" t="n"/>
      <c r="N2" s="439" t="n"/>
      <c r="O2" s="439" t="n"/>
      <c r="P2" s="439" t="n"/>
      <c r="Q2" s="439" t="n"/>
      <c r="R2" s="439" t="n"/>
      <c r="S2" s="444" t="n"/>
      <c r="U2" s="71" t="n"/>
    </row>
    <row r="3" ht="13.5" customHeight="1" s="426">
      <c r="A3" s="445" t="inlineStr">
        <is>
          <t>Created By</t>
        </is>
      </c>
      <c r="B3" s="428" t="n"/>
      <c r="C3" s="446" t="inlineStr">
        <is>
          <t>Nguyễn Chí Hậu</t>
        </is>
      </c>
      <c r="D3" s="433" t="n"/>
      <c r="E3" s="447" t="n"/>
      <c r="F3" s="448" t="inlineStr">
        <is>
          <t>Executed By</t>
        </is>
      </c>
      <c r="G3" s="449" t="n"/>
      <c r="H3" s="449" t="n"/>
      <c r="I3" s="449" t="n"/>
      <c r="J3" s="450" t="n"/>
      <c r="K3" s="453" t="inlineStr">
        <is>
          <t>Nguyễn Chí Hậu</t>
        </is>
      </c>
      <c r="L3" s="454" t="n"/>
      <c r="M3" s="454" t="n"/>
      <c r="N3" s="454" t="n"/>
      <c r="O3" s="454" t="n"/>
      <c r="P3" s="454" t="n"/>
      <c r="Q3" s="454" t="n"/>
      <c r="R3" s="454" t="n"/>
      <c r="S3" s="455" t="n"/>
    </row>
    <row r="4" ht="13.5" customHeight="1" s="426">
      <c r="A4" s="445" t="inlineStr">
        <is>
          <t>Lines  of code</t>
        </is>
      </c>
      <c r="B4" s="428" t="n"/>
      <c r="C4" s="327" t="n">
        <v>95</v>
      </c>
      <c r="D4" s="427" t="n"/>
      <c r="E4" s="328" t="n"/>
      <c r="F4" s="448" t="inlineStr">
        <is>
          <t>Lack of test cases</t>
        </is>
      </c>
      <c r="G4" s="449" t="n"/>
      <c r="H4" s="449" t="n"/>
      <c r="I4" s="449" t="n"/>
      <c r="J4" s="450" t="n"/>
      <c r="K4" s="482" t="n">
        <v>0</v>
      </c>
      <c r="L4" s="427" t="n"/>
      <c r="M4" s="427" t="n"/>
      <c r="N4" s="427" t="n"/>
      <c r="O4" s="427" t="n"/>
      <c r="P4" s="427" t="n"/>
      <c r="Q4" s="427" t="n"/>
      <c r="R4" s="427" t="n"/>
      <c r="S4" s="456" t="n"/>
      <c r="U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56" t="n"/>
    </row>
    <row r="6" ht="13.5" customHeight="1" s="426">
      <c r="A6" s="457" t="inlineStr">
        <is>
          <t>Passed</t>
        </is>
      </c>
      <c r="B6" s="428" t="n"/>
      <c r="C6" s="458" t="inlineStr">
        <is>
          <t>Failed</t>
        </is>
      </c>
      <c r="D6" s="427" t="n"/>
      <c r="E6" s="428" t="n"/>
      <c r="F6" s="459" t="inlineStr">
        <is>
          <t>Untested</t>
        </is>
      </c>
      <c r="G6" s="427" t="n"/>
      <c r="H6" s="427" t="n"/>
      <c r="I6" s="427" t="n"/>
      <c r="J6" s="460" t="n"/>
      <c r="K6" s="340" t="inlineStr">
        <is>
          <t>N/A/B</t>
        </is>
      </c>
      <c r="L6" s="427" t="n"/>
      <c r="M6" s="427" t="n"/>
      <c r="N6" s="462" t="inlineStr">
        <is>
          <t>Total Test Cases</t>
        </is>
      </c>
      <c r="O6" s="427" t="n"/>
      <c r="P6" s="427" t="n"/>
      <c r="Q6" s="427" t="n"/>
      <c r="R6" s="427" t="n"/>
      <c r="S6" s="463" t="n"/>
      <c r="U6" s="71" t="n"/>
    </row>
    <row r="7" ht="13.5" customHeight="1" s="426" thickBot="1">
      <c r="A7" s="464">
        <f>COUNTIF(F27:HP27,"P")</f>
        <v/>
      </c>
      <c r="B7" s="465" t="n"/>
      <c r="C7" s="466">
        <f>COUNTIF(F28:HP28,"F")</f>
        <v/>
      </c>
      <c r="D7" s="467" t="n"/>
      <c r="E7" s="465" t="n"/>
      <c r="F7" s="468">
        <f>SUM(N7,- A7,- C7)</f>
        <v/>
      </c>
      <c r="G7" s="467" t="n"/>
      <c r="H7" s="467" t="n"/>
      <c r="I7" s="467" t="n"/>
      <c r="J7" s="469" t="n"/>
      <c r="K7" s="342">
        <f>COUNTIF(E26:HP26,"N")</f>
        <v/>
      </c>
      <c r="L7" s="342">
        <f>COUNTIF(E26:HP26,"A")</f>
        <v/>
      </c>
      <c r="M7" s="342">
        <f>COUNTIF(E26:HP26,"B")</f>
        <v/>
      </c>
      <c r="N7" s="470">
        <f>COUNTA(E9:HS9)</f>
        <v/>
      </c>
      <c r="O7" s="467" t="n"/>
      <c r="P7" s="467" t="n"/>
      <c r="Q7" s="467" t="n"/>
      <c r="R7" s="467" t="n"/>
      <c r="S7" s="471" t="n"/>
      <c r="T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n"/>
      <c r="K9" s="168" t="n"/>
      <c r="L9" s="168" t="n"/>
      <c r="M9" s="168" t="n"/>
      <c r="N9" s="168" t="n"/>
      <c r="O9" s="168" t="n"/>
      <c r="P9" s="168" t="n"/>
      <c r="Q9" s="168" t="n"/>
      <c r="R9" s="168" t="n"/>
      <c r="S9" s="169" t="n"/>
      <c r="T9" s="74" t="n"/>
      <c r="U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n"/>
      <c r="J11" s="148" t="n"/>
      <c r="K11" s="148" t="n"/>
      <c r="L11" s="148" t="n"/>
      <c r="M11" s="148" t="n"/>
      <c r="N11" s="148" t="n"/>
      <c r="O11" s="148" t="n"/>
      <c r="P11" s="148" t="n"/>
      <c r="Q11" s="148" t="n"/>
      <c r="R11" s="148" t="n"/>
      <c r="S11" s="170" t="n"/>
      <c r="U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n"/>
      <c r="K12" s="148" t="n"/>
      <c r="L12" s="148" t="n"/>
      <c r="M12" s="148" t="n"/>
      <c r="N12" s="148" t="n"/>
      <c r="O12" s="148" t="n"/>
      <c r="P12" s="148" t="n"/>
      <c r="Q12" s="148" t="n"/>
      <c r="R12" s="148" t="n"/>
      <c r="S12" s="170" t="n"/>
    </row>
    <row r="13" ht="13.5" customHeight="1" s="426">
      <c r="A13" s="171" t="n"/>
      <c r="B13" s="75" t="n"/>
      <c r="C13" s="76" t="n"/>
      <c r="D13" s="77" t="inlineStr">
        <is>
          <t>UserId Exist</t>
        </is>
      </c>
      <c r="E13" s="80" t="n"/>
      <c r="F13" s="148" t="inlineStr">
        <is>
          <t>O</t>
        </is>
      </c>
      <c r="G13" s="148" t="n"/>
      <c r="H13" s="148" t="inlineStr">
        <is>
          <t>O</t>
        </is>
      </c>
      <c r="I13" s="148" t="n"/>
      <c r="J13" s="148" t="n"/>
      <c r="K13" s="148" t="n"/>
      <c r="L13" s="148" t="n"/>
      <c r="M13" s="148" t="n"/>
      <c r="N13" s="148" t="n"/>
      <c r="O13" s="148" t="n"/>
      <c r="P13" s="148" t="n"/>
      <c r="Q13" s="148" t="n"/>
      <c r="R13" s="148" t="n"/>
      <c r="S13" s="170" t="n"/>
    </row>
    <row r="14" ht="13.5" customHeight="1" s="426">
      <c r="A14" s="171" t="n"/>
      <c r="B14" s="75" t="n"/>
      <c r="C14" s="76" t="n"/>
      <c r="D14" s="77" t="inlineStr">
        <is>
          <t>UserId doesn't Exist</t>
        </is>
      </c>
      <c r="E14" s="80" t="n"/>
      <c r="F14" s="148" t="n"/>
      <c r="G14" s="148" t="inlineStr">
        <is>
          <t>O</t>
        </is>
      </c>
      <c r="H14" s="148" t="n"/>
      <c r="I14" s="148" t="inlineStr">
        <is>
          <t>O</t>
        </is>
      </c>
      <c r="J14" s="148" t="n"/>
      <c r="K14" s="148" t="n"/>
      <c r="L14" s="148" t="n"/>
      <c r="M14" s="148" t="n"/>
      <c r="N14" s="148" t="n"/>
      <c r="O14" s="148" t="n"/>
      <c r="P14" s="148" t="n"/>
      <c r="Q14" s="148" t="n"/>
      <c r="R14" s="148" t="n"/>
      <c r="S14" s="170" t="n"/>
    </row>
    <row r="15" ht="13.5" customHeight="1" s="426">
      <c r="A15" s="171" t="n"/>
      <c r="B15" s="75" t="n"/>
      <c r="C15" s="76" t="n"/>
      <c r="D15" s="77" t="inlineStr">
        <is>
          <t>Have Permissions</t>
        </is>
      </c>
      <c r="E15" s="80" t="n"/>
      <c r="F15" s="148" t="inlineStr">
        <is>
          <t>O</t>
        </is>
      </c>
      <c r="G15" s="148" t="n"/>
      <c r="H15" s="148" t="n"/>
      <c r="I15" s="148" t="n"/>
      <c r="J15" s="148" t="n"/>
      <c r="K15" s="148" t="n"/>
      <c r="L15" s="148" t="n"/>
      <c r="M15" s="148" t="n"/>
      <c r="N15" s="148" t="n"/>
      <c r="O15" s="148" t="n"/>
      <c r="P15" s="148" t="n"/>
      <c r="Q15" s="148" t="n"/>
      <c r="R15" s="148" t="n"/>
      <c r="S15" s="170" t="n"/>
    </row>
    <row r="16" ht="13.5" customHeight="1" s="426">
      <c r="A16" s="171" t="n"/>
      <c r="B16" s="75" t="n"/>
      <c r="C16" s="76" t="n"/>
      <c r="D16" s="77" t="inlineStr">
        <is>
          <t>Don't have Permissions</t>
        </is>
      </c>
      <c r="E16" s="80" t="n"/>
      <c r="F16" s="148" t="n"/>
      <c r="G16" s="148" t="inlineStr">
        <is>
          <t>O</t>
        </is>
      </c>
      <c r="H16" s="148" t="inlineStr">
        <is>
          <t>O</t>
        </is>
      </c>
      <c r="I16" s="148" t="inlineStr">
        <is>
          <t>O</t>
        </is>
      </c>
      <c r="J16" s="148" t="n"/>
      <c r="K16" s="148" t="n"/>
      <c r="L16" s="148" t="n"/>
      <c r="M16" s="148" t="n"/>
      <c r="N16" s="148" t="n"/>
      <c r="O16" s="148" t="n"/>
      <c r="P16" s="148" t="n"/>
      <c r="Q16" s="148" t="n"/>
      <c r="R16" s="148" t="n"/>
      <c r="S16" s="170" t="n"/>
    </row>
    <row r="17" ht="13.5" customHeight="1" s="426">
      <c r="A17" s="171" t="n"/>
      <c r="B17" s="75" t="inlineStr">
        <is>
          <t>UserId</t>
        </is>
      </c>
      <c r="C17" s="76" t="n"/>
      <c r="D17" s="77" t="n"/>
      <c r="E17" s="80" t="n"/>
      <c r="F17" s="148" t="n"/>
      <c r="G17" s="148" t="n"/>
      <c r="H17" s="148" t="n"/>
      <c r="I17" s="148" t="n"/>
      <c r="J17" s="148" t="n"/>
      <c r="K17" s="148" t="n"/>
      <c r="L17" s="148" t="n"/>
      <c r="M17" s="148" t="n"/>
      <c r="N17" s="148" t="n"/>
      <c r="O17" s="148" t="n"/>
      <c r="P17" s="148" t="n"/>
      <c r="Q17" s="148" t="n"/>
      <c r="R17" s="148" t="n"/>
      <c r="S17" s="170" t="n"/>
    </row>
    <row r="18" ht="13.5" customHeight="1" s="426" thickBot="1">
      <c r="A18" s="171" t="n"/>
      <c r="B18" s="75" t="n"/>
      <c r="C18" s="76" t="n"/>
      <c r="D18" s="77" t="inlineStr">
        <is>
          <t>Guid</t>
        </is>
      </c>
      <c r="E18" s="80" t="n"/>
      <c r="F18" s="148" t="inlineStr">
        <is>
          <t>O</t>
        </is>
      </c>
      <c r="G18" s="148" t="inlineStr">
        <is>
          <t>O</t>
        </is>
      </c>
      <c r="H18" s="148" t="inlineStr">
        <is>
          <t>O</t>
        </is>
      </c>
      <c r="I18" s="148" t="n"/>
      <c r="J18" s="148" t="n"/>
      <c r="K18" s="148" t="n"/>
      <c r="L18" s="148" t="n"/>
      <c r="M18" s="148" t="n"/>
      <c r="N18" s="148" t="n"/>
      <c r="O18" s="148" t="n"/>
      <c r="P18" s="148" t="n"/>
      <c r="Q18" s="148" t="n"/>
      <c r="R18" s="148" t="n"/>
      <c r="S18" s="170" t="n"/>
    </row>
    <row r="19" ht="13.5" customHeight="1" s="426">
      <c r="A19" s="182" t="inlineStr">
        <is>
          <t>Confirm</t>
        </is>
      </c>
      <c r="B19" s="208" t="inlineStr">
        <is>
          <t>Return</t>
        </is>
      </c>
      <c r="C19" s="239" t="n"/>
      <c r="D19" s="210" t="n"/>
      <c r="E19" s="86" t="n"/>
      <c r="F19" s="87" t="n"/>
      <c r="G19" s="87" t="n"/>
      <c r="H19" s="87" t="n"/>
      <c r="I19" s="87" t="n"/>
      <c r="J19" s="87" t="n"/>
      <c r="K19" s="87" t="n"/>
      <c r="L19" s="87" t="n"/>
      <c r="M19" s="87" t="n"/>
      <c r="N19" s="87" t="n"/>
      <c r="O19" s="87" t="n"/>
      <c r="P19" s="87" t="n"/>
      <c r="Q19" s="87" t="n"/>
      <c r="R19" s="87" t="n"/>
      <c r="S19" s="196" t="n"/>
    </row>
    <row r="20" ht="13.5" customHeight="1" s="426">
      <c r="A20" s="181" t="n"/>
      <c r="B20" s="208" t="n"/>
      <c r="C20" s="209" t="n"/>
      <c r="D20" s="275" t="inlineStr">
        <is>
          <t>Permissions List</t>
        </is>
      </c>
      <c r="E20" s="91" t="n"/>
      <c r="F20" s="148" t="inlineStr">
        <is>
          <t>O</t>
        </is>
      </c>
      <c r="G20" s="79" t="n"/>
      <c r="H20" s="79" t="n"/>
      <c r="I20" s="79" t="n"/>
      <c r="J20" s="79" t="n"/>
      <c r="K20" s="148" t="n"/>
      <c r="L20" s="79" t="n"/>
      <c r="M20" s="148" t="n"/>
      <c r="N20" s="79" t="n"/>
      <c r="O20" s="79" t="n"/>
      <c r="P20" s="79" t="n"/>
      <c r="Q20" s="79" t="n"/>
      <c r="R20" s="79" t="n"/>
      <c r="S20" s="195" t="n"/>
    </row>
    <row r="21" ht="13.5" customHeight="1" s="426">
      <c r="A21" s="181" t="n"/>
      <c r="B21" s="126" t="n"/>
      <c r="C21" s="89" t="n"/>
      <c r="D21" s="90" t="inlineStr">
        <is>
          <t>Null</t>
        </is>
      </c>
      <c r="E21" s="91" t="n"/>
      <c r="F21" s="79" t="n"/>
      <c r="G21" s="148" t="inlineStr">
        <is>
          <t>O</t>
        </is>
      </c>
      <c r="H21" s="148" t="inlineStr">
        <is>
          <t>O</t>
        </is>
      </c>
      <c r="I21" s="148" t="n"/>
      <c r="J21" s="79" t="n"/>
      <c r="K21" s="79" t="n"/>
      <c r="L21" s="148" t="n"/>
      <c r="M21" s="79" t="n"/>
      <c r="N21" s="148" t="n"/>
      <c r="O21" s="79" t="n"/>
      <c r="P21" s="79" t="n"/>
      <c r="Q21" s="79" t="n"/>
      <c r="R21" s="79" t="n"/>
      <c r="S21" s="195" t="n"/>
    </row>
    <row r="22" ht="13.5" customHeight="1" s="426">
      <c r="A22" s="181" t="n"/>
      <c r="B22" s="116" t="inlineStr">
        <is>
          <t>Exception</t>
        </is>
      </c>
      <c r="C22" s="120" t="n"/>
      <c r="D22" s="118" t="n"/>
      <c r="E22" s="91" t="n"/>
      <c r="F22" s="79" t="n"/>
      <c r="G22" s="79" t="n"/>
      <c r="H22" s="79" t="n"/>
      <c r="I22" s="79" t="n"/>
      <c r="J22" s="79" t="n"/>
      <c r="K22" s="79" t="n"/>
      <c r="L22" s="79" t="n"/>
      <c r="M22" s="79" t="n"/>
      <c r="N22" s="79" t="n"/>
      <c r="O22" s="79" t="n"/>
      <c r="P22" s="79" t="n"/>
      <c r="Q22" s="79" t="n"/>
      <c r="R22" s="79" t="n"/>
      <c r="S22" s="195" t="n"/>
    </row>
    <row r="23" ht="13.5" customHeight="1" s="426">
      <c r="A23" s="181" t="n"/>
      <c r="B23" s="116" t="n"/>
      <c r="C23" s="120" t="n"/>
      <c r="D23" s="118" t="inlineStr">
        <is>
          <t>InvalidOperationException</t>
        </is>
      </c>
      <c r="E23" s="91" t="n"/>
      <c r="F23" s="79" t="n"/>
      <c r="G23" s="79" t="n"/>
      <c r="H23" s="148" t="n"/>
      <c r="I23" s="148" t="inlineStr">
        <is>
          <t>O</t>
        </is>
      </c>
      <c r="J23" s="148" t="n"/>
      <c r="K23" s="79" t="n"/>
      <c r="L23" s="79" t="n"/>
      <c r="M23" s="79" t="n"/>
      <c r="N23" s="79" t="n"/>
      <c r="O23" s="79" t="n"/>
      <c r="P23" s="79" t="n"/>
      <c r="Q23" s="79" t="n"/>
      <c r="R23" s="79" t="n"/>
      <c r="S23" s="195" t="n"/>
    </row>
    <row r="24" ht="13.5" customHeight="1" s="426">
      <c r="A24" s="181" t="n"/>
      <c r="B24" s="88" t="inlineStr">
        <is>
          <t>Log message</t>
        </is>
      </c>
      <c r="C24" s="89" t="n"/>
      <c r="D24" s="90" t="n"/>
      <c r="E24" s="91" t="n"/>
      <c r="F24" s="79" t="n"/>
      <c r="G24" s="79" t="n"/>
      <c r="H24" s="79" t="n"/>
      <c r="I24" s="79" t="n"/>
      <c r="J24" s="79" t="n"/>
      <c r="K24" s="79" t="n"/>
      <c r="L24" s="79" t="n"/>
      <c r="M24" s="79" t="n"/>
      <c r="N24" s="79" t="n"/>
      <c r="O24" s="79" t="n"/>
      <c r="P24" s="79" t="n"/>
      <c r="Q24" s="79" t="n"/>
      <c r="R24" s="79" t="n"/>
      <c r="S24" s="195" t="n"/>
    </row>
    <row r="25" ht="13.5" customHeight="1" s="426" thickBot="1">
      <c r="A25" s="181" t="n"/>
      <c r="B25" s="88" t="n"/>
      <c r="C25" s="89" t="n"/>
      <c r="D25" s="90" t="inlineStr">
        <is>
          <t>"Database connection failed"</t>
        </is>
      </c>
      <c r="E25" s="91" t="n"/>
      <c r="F25" s="148" t="n"/>
      <c r="G25" s="79" t="n"/>
      <c r="H25" s="148" t="n"/>
      <c r="I25" s="148" t="inlineStr">
        <is>
          <t>O</t>
        </is>
      </c>
      <c r="J25" s="79" t="n"/>
      <c r="K25" s="79" t="n"/>
      <c r="L25" s="79" t="n"/>
      <c r="M25" s="79" t="n"/>
      <c r="N25" s="79" t="n"/>
      <c r="O25" s="79" t="n"/>
      <c r="P25" s="79" t="n"/>
      <c r="Q25" s="79" t="n"/>
      <c r="R25" s="79" t="n"/>
      <c r="S25" s="195" t="n"/>
    </row>
    <row r="26" ht="13.5" customHeight="1" s="426" thickTop="1">
      <c r="A26" s="182" t="inlineStr">
        <is>
          <t>Result</t>
        </is>
      </c>
      <c r="B26" s="331" t="inlineStr">
        <is>
          <t>Type(N : Normal, A : Abnormal, B : Boundary)</t>
        </is>
      </c>
      <c r="C26" s="472" t="n"/>
      <c r="D26" s="473" t="n"/>
      <c r="E26" s="331" t="n"/>
      <c r="F26" s="188" t="inlineStr">
        <is>
          <t>N</t>
        </is>
      </c>
      <c r="G26" s="188" t="inlineStr">
        <is>
          <t>N</t>
        </is>
      </c>
      <c r="H26" s="188" t="inlineStr">
        <is>
          <t>N</t>
        </is>
      </c>
      <c r="I26" s="188" t="inlineStr">
        <is>
          <t>A</t>
        </is>
      </c>
      <c r="J26" s="188" t="n"/>
      <c r="K26" s="188" t="n"/>
      <c r="L26" s="188" t="n"/>
      <c r="M26" s="188" t="n"/>
      <c r="N26" s="188" t="n"/>
      <c r="O26" s="188" t="n"/>
      <c r="P26" s="188" t="n"/>
      <c r="Q26" s="188" t="n"/>
      <c r="R26" s="188" t="n"/>
      <c r="S26" s="198" t="n"/>
    </row>
    <row r="27" ht="13.5" customHeight="1" s="426">
      <c r="A27" s="174" t="n"/>
      <c r="B27" s="320" t="inlineStr">
        <is>
          <t>Passed/Failed</t>
        </is>
      </c>
      <c r="C27" s="449" t="n"/>
      <c r="D27" s="450" t="n"/>
      <c r="E27" s="95" t="n"/>
      <c r="F27" s="94" t="inlineStr">
        <is>
          <t>P</t>
        </is>
      </c>
      <c r="G27" s="94" t="inlineStr">
        <is>
          <t>P</t>
        </is>
      </c>
      <c r="H27" s="94" t="inlineStr">
        <is>
          <t>P</t>
        </is>
      </c>
      <c r="I27" s="94" t="inlineStr">
        <is>
          <t>P</t>
        </is>
      </c>
      <c r="J27" s="94" t="n"/>
      <c r="K27" s="94" t="n"/>
      <c r="L27" s="94" t="n"/>
      <c r="M27" s="94" t="n"/>
      <c r="N27" s="94" t="n"/>
      <c r="O27" s="94" t="n"/>
      <c r="P27" s="94" t="n"/>
      <c r="Q27" s="94" t="n"/>
      <c r="R27" s="94" t="n"/>
      <c r="S27" s="199" t="n"/>
    </row>
    <row r="28" ht="71.5" customHeight="1" s="426">
      <c r="A28" s="174" t="n"/>
      <c r="B28" s="329" t="inlineStr">
        <is>
          <t>Executed Date</t>
        </is>
      </c>
      <c r="C28" s="449" t="n"/>
      <c r="D28" s="450" t="n"/>
      <c r="E28" s="96" t="n"/>
      <c r="F28" s="97" t="n">
        <v>45709</v>
      </c>
      <c r="G28" s="97" t="n">
        <v>45709</v>
      </c>
      <c r="H28" s="97" t="n">
        <v>45709</v>
      </c>
      <c r="I28" s="97" t="n">
        <v>45709</v>
      </c>
      <c r="J28" s="97" t="n"/>
      <c r="K28" s="97" t="n"/>
      <c r="L28" s="97" t="n"/>
      <c r="M28" s="97" t="n"/>
      <c r="N28" s="97" t="n"/>
      <c r="O28" s="97" t="n"/>
      <c r="P28" s="97" t="n"/>
      <c r="Q28" s="97" t="n"/>
      <c r="R28" s="97" t="n"/>
      <c r="S28" s="176" t="n"/>
    </row>
    <row r="29" ht="10.5" customHeight="1" s="426" thickBot="1">
      <c r="A29" s="177" t="n"/>
      <c r="B29" s="330" t="inlineStr">
        <is>
          <t>Defect ID</t>
        </is>
      </c>
      <c r="C29" s="474" t="n"/>
      <c r="D29" s="475" t="n"/>
      <c r="E29" s="178" t="n"/>
      <c r="F29" s="179" t="n"/>
      <c r="G29" s="179" t="n"/>
      <c r="H29" s="179" t="n"/>
      <c r="I29" s="179" t="n"/>
      <c r="J29" s="179" t="n"/>
      <c r="K29" s="179" t="n"/>
      <c r="L29" s="179" t="n"/>
      <c r="M29" s="179" t="n"/>
      <c r="N29" s="179" t="n"/>
      <c r="O29" s="179" t="n"/>
      <c r="P29" s="179" t="n"/>
      <c r="Q29" s="179" t="n"/>
      <c r="R29" s="179" t="n"/>
      <c r="S29" s="180" t="n"/>
    </row>
    <row r="30" ht="10.5" customHeight="1" s="426" thickTop="1">
      <c r="A30" s="73" t="n"/>
      <c r="B30" s="69" t="n"/>
      <c r="C30" s="413" t="n"/>
      <c r="D30" s="69" t="n"/>
    </row>
  </sheetData>
  <mergeCells count="27">
    <mergeCell ref="F6:J6"/>
    <mergeCell ref="B29:D29"/>
    <mergeCell ref="C5:S5"/>
    <mergeCell ref="A6:B6"/>
    <mergeCell ref="C4:D4"/>
    <mergeCell ref="C2:E2"/>
    <mergeCell ref="B28:D28"/>
    <mergeCell ref="F7:J7"/>
    <mergeCell ref="F3:J3"/>
    <mergeCell ref="K2:S2"/>
    <mergeCell ref="A7:B7"/>
    <mergeCell ref="C7:E7"/>
    <mergeCell ref="A3:B3"/>
    <mergeCell ref="F2:J2"/>
    <mergeCell ref="N6:S6"/>
    <mergeCell ref="A2:B2"/>
    <mergeCell ref="K6:M6"/>
    <mergeCell ref="A5:B5"/>
    <mergeCell ref="B26:D26"/>
    <mergeCell ref="K4:S4"/>
    <mergeCell ref="C3:E3"/>
    <mergeCell ref="K3:S3"/>
    <mergeCell ref="C6:E6"/>
    <mergeCell ref="A4:B4"/>
    <mergeCell ref="N7:S7"/>
    <mergeCell ref="B27:D27"/>
    <mergeCell ref="F4:J4"/>
  </mergeCells>
  <dataValidations count="3">
    <dataValidation sqref="F26:S26" showDropDown="0" showInputMessage="1" showErrorMessage="1" allowBlank="1" type="list">
      <formula1>"N,A,B, "</formula1>
    </dataValidation>
    <dataValidation sqref="F27:S27" showDropDown="0" showInputMessage="1" showErrorMessage="1" allowBlank="1" type="list">
      <formula1>"P,F, "</formula1>
    </dataValidation>
    <dataValidation sqref="F10:S25"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U32"/>
  <sheetViews>
    <sheetView topLeftCell="A25" zoomScale="130" zoomScaleNormal="130" workbookViewId="0">
      <selection activeCell="U29" sqref="U29"/>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0"/>
    <col width="2.81640625" customWidth="1" style="69" min="11" max="18"/>
    <col width="2.81640625" bestFit="1" customWidth="1" style="69" min="19" max="19"/>
    <col width="2.81640625" customWidth="1" style="69" min="20" max="20"/>
    <col width="11" customWidth="1" style="69" min="21" max="255"/>
    <col width="9" customWidth="1" style="69" min="256" max="16384"/>
  </cols>
  <sheetData>
    <row r="1" ht="13.5" customHeight="1" s="426" thickBot="1">
      <c r="A1" s="67" t="n"/>
      <c r="B1" s="68" t="n"/>
    </row>
    <row r="2" ht="13.5" customHeight="1" s="426">
      <c r="A2" s="315" t="inlineStr">
        <is>
          <t>Function Code</t>
        </is>
      </c>
      <c r="B2" s="439" t="n"/>
      <c r="C2" s="440" t="inlineStr">
        <is>
          <t>Permissions - 1</t>
        </is>
      </c>
      <c r="D2" s="439" t="n"/>
      <c r="E2" s="441" t="n"/>
      <c r="F2" s="410" t="inlineStr">
        <is>
          <t>Function Name</t>
        </is>
      </c>
      <c r="G2" s="496" t="n"/>
      <c r="H2" s="496" t="n"/>
      <c r="I2" s="496" t="n"/>
      <c r="J2" s="496" t="n"/>
      <c r="K2" s="443" t="inlineStr">
        <is>
          <t>Get User with Permissions</t>
        </is>
      </c>
      <c r="L2" s="439" t="n"/>
      <c r="M2" s="439" t="n"/>
      <c r="N2" s="439" t="n"/>
      <c r="O2" s="439" t="n"/>
      <c r="P2" s="439" t="n"/>
      <c r="Q2" s="439" t="n"/>
      <c r="R2" s="439" t="n"/>
      <c r="S2" s="444" t="n"/>
      <c r="U2" s="71" t="n"/>
    </row>
    <row r="3" ht="13.5" customHeight="1" s="426">
      <c r="A3" s="445" t="inlineStr">
        <is>
          <t>Created By</t>
        </is>
      </c>
      <c r="B3" s="428" t="n"/>
      <c r="C3" s="446" t="inlineStr">
        <is>
          <t>Nguyễn Chí Hậu</t>
        </is>
      </c>
      <c r="D3" s="433" t="n"/>
      <c r="E3" s="447" t="n"/>
      <c r="F3" s="448" t="inlineStr">
        <is>
          <t>Executed By</t>
        </is>
      </c>
      <c r="G3" s="449" t="n"/>
      <c r="H3" s="449" t="n"/>
      <c r="I3" s="449" t="n"/>
      <c r="J3" s="450" t="n"/>
      <c r="K3" s="453" t="inlineStr">
        <is>
          <t>Nguyễn Chí Hậu</t>
        </is>
      </c>
      <c r="L3" s="454" t="n"/>
      <c r="M3" s="454" t="n"/>
      <c r="N3" s="454" t="n"/>
      <c r="O3" s="454" t="n"/>
      <c r="P3" s="454" t="n"/>
      <c r="Q3" s="454" t="n"/>
      <c r="R3" s="454" t="n"/>
      <c r="S3" s="455" t="n"/>
    </row>
    <row r="4" ht="13.5" customHeight="1" s="426">
      <c r="A4" s="445" t="inlineStr">
        <is>
          <t>Lines  of code</t>
        </is>
      </c>
      <c r="B4" s="428" t="n"/>
      <c r="C4" s="327" t="n">
        <v>45</v>
      </c>
      <c r="D4" s="427" t="n"/>
      <c r="E4" s="328" t="n"/>
      <c r="F4" s="448" t="inlineStr">
        <is>
          <t>Lack of test cases</t>
        </is>
      </c>
      <c r="G4" s="449" t="n"/>
      <c r="H4" s="449" t="n"/>
      <c r="I4" s="449" t="n"/>
      <c r="J4" s="450" t="n"/>
      <c r="K4" s="482" t="n">
        <v>0</v>
      </c>
      <c r="L4" s="427" t="n"/>
      <c r="M4" s="427" t="n"/>
      <c r="N4" s="427" t="n"/>
      <c r="O4" s="427" t="n"/>
      <c r="P4" s="427" t="n"/>
      <c r="Q4" s="427" t="n"/>
      <c r="R4" s="427" t="n"/>
      <c r="S4" s="456" t="n"/>
      <c r="U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56" t="n"/>
    </row>
    <row r="6" ht="13.5" customHeight="1" s="426">
      <c r="A6" s="457" t="inlineStr">
        <is>
          <t>Passed</t>
        </is>
      </c>
      <c r="B6" s="428" t="n"/>
      <c r="C6" s="458" t="inlineStr">
        <is>
          <t>Failed</t>
        </is>
      </c>
      <c r="D6" s="427" t="n"/>
      <c r="E6" s="428" t="n"/>
      <c r="F6" s="459" t="inlineStr">
        <is>
          <t>Untested</t>
        </is>
      </c>
      <c r="G6" s="427" t="n"/>
      <c r="H6" s="427" t="n"/>
      <c r="I6" s="427" t="n"/>
      <c r="J6" s="460" t="n"/>
      <c r="K6" s="340" t="inlineStr">
        <is>
          <t>N/A/B</t>
        </is>
      </c>
      <c r="L6" s="427" t="n"/>
      <c r="M6" s="427" t="n"/>
      <c r="N6" s="462" t="inlineStr">
        <is>
          <t>Total Test Cases</t>
        </is>
      </c>
      <c r="O6" s="427" t="n"/>
      <c r="P6" s="427" t="n"/>
      <c r="Q6" s="427" t="n"/>
      <c r="R6" s="427" t="n"/>
      <c r="S6" s="463" t="n"/>
      <c r="U6" s="71" t="n"/>
    </row>
    <row r="7" ht="13.5" customHeight="1" s="426" thickBot="1">
      <c r="A7" s="464">
        <f>COUNTIF(F29:HP29,"P")</f>
        <v/>
      </c>
      <c r="B7" s="465" t="n"/>
      <c r="C7" s="466">
        <f>COUNTIF(F30:HP30,"F")</f>
        <v/>
      </c>
      <c r="D7" s="467" t="n"/>
      <c r="E7" s="465" t="n"/>
      <c r="F7" s="468">
        <f>SUM(N7,- A7,- C7)</f>
        <v/>
      </c>
      <c r="G7" s="467" t="n"/>
      <c r="H7" s="467" t="n"/>
      <c r="I7" s="467" t="n"/>
      <c r="J7" s="469" t="n"/>
      <c r="K7" s="342">
        <f>COUNTIF(E28:HP28,"N")</f>
        <v/>
      </c>
      <c r="L7" s="342">
        <f>COUNTIF(E28:HP28,"A")</f>
        <v/>
      </c>
      <c r="M7" s="342">
        <f>COUNTIF(E28:HP28,"B")</f>
        <v/>
      </c>
      <c r="N7" s="470">
        <f>COUNTA(E9:HS9)</f>
        <v/>
      </c>
      <c r="O7" s="467" t="n"/>
      <c r="P7" s="467" t="n"/>
      <c r="Q7" s="467" t="n"/>
      <c r="R7" s="467" t="n"/>
      <c r="S7" s="471" t="n"/>
      <c r="T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9" t="n"/>
      <c r="T9" s="74" t="n"/>
      <c r="U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195"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70" t="n"/>
      <c r="U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70" t="n"/>
    </row>
    <row r="13" ht="13.5" customHeight="1" s="426">
      <c r="A13" s="171" t="n"/>
      <c r="B13" s="75" t="n"/>
      <c r="C13" s="76" t="n"/>
      <c r="D13" s="77" t="inlineStr">
        <is>
          <t>Users Exist</t>
        </is>
      </c>
      <c r="E13" s="80" t="n"/>
      <c r="F13" s="148" t="inlineStr">
        <is>
          <t>O</t>
        </is>
      </c>
      <c r="G13" s="148" t="n"/>
      <c r="H13" s="148" t="n"/>
      <c r="I13" s="148" t="n"/>
      <c r="J13" s="148" t="n"/>
      <c r="K13" s="148" t="n"/>
      <c r="L13" s="148" t="n"/>
      <c r="M13" s="148" t="n"/>
      <c r="N13" s="148" t="n"/>
      <c r="O13" s="148" t="n"/>
      <c r="P13" s="148" t="n"/>
      <c r="Q13" s="148" t="n"/>
      <c r="R13" s="148" t="n"/>
      <c r="S13" s="170" t="n"/>
    </row>
    <row r="14" ht="13.5" customHeight="1" s="426">
      <c r="A14" s="171" t="n"/>
      <c r="B14" s="75" t="n"/>
      <c r="C14" s="76" t="n"/>
      <c r="D14" s="77" t="inlineStr">
        <is>
          <t>Users doesn't Exist</t>
        </is>
      </c>
      <c r="E14" s="80" t="n"/>
      <c r="F14" s="148" t="n"/>
      <c r="G14" s="148" t="inlineStr">
        <is>
          <t>O</t>
        </is>
      </c>
      <c r="H14" s="148" t="inlineStr">
        <is>
          <t>O</t>
        </is>
      </c>
      <c r="I14" s="148" t="n"/>
      <c r="J14" s="148" t="n"/>
      <c r="K14" s="148" t="n"/>
      <c r="L14" s="148" t="n"/>
      <c r="M14" s="148" t="n"/>
      <c r="N14" s="148" t="n"/>
      <c r="O14" s="148" t="n"/>
      <c r="P14" s="148" t="n"/>
      <c r="Q14" s="148" t="n"/>
      <c r="R14" s="148" t="n"/>
      <c r="S14" s="170" t="n"/>
    </row>
    <row r="15" ht="13.5" customHeight="1" s="426">
      <c r="A15" s="171" t="n"/>
      <c r="B15" s="75" t="inlineStr">
        <is>
          <t>requiredPermissions</t>
        </is>
      </c>
      <c r="C15" s="76" t="n"/>
      <c r="D15" s="77" t="n"/>
      <c r="E15" s="80" t="n"/>
      <c r="F15" s="148" t="n"/>
      <c r="G15" s="148" t="n"/>
      <c r="H15" s="148" t="n"/>
      <c r="I15" s="148" t="n"/>
      <c r="J15" s="148" t="n"/>
      <c r="K15" s="148" t="n"/>
      <c r="L15" s="148" t="n"/>
      <c r="M15" s="148" t="n"/>
      <c r="N15" s="148" t="n"/>
      <c r="O15" s="148" t="n"/>
      <c r="P15" s="148" t="n"/>
      <c r="Q15" s="148" t="n"/>
      <c r="R15" s="148" t="n"/>
      <c r="S15" s="170" t="n"/>
    </row>
    <row r="16" ht="13.5" customHeight="1" s="426">
      <c r="A16" s="171" t="n"/>
      <c r="B16" s="75" t="n"/>
      <c r="C16" s="76" t="n"/>
      <c r="D16" s="77" t="inlineStr">
        <is>
          <t>{ "Read", "Write" }</t>
        </is>
      </c>
      <c r="E16" s="80" t="n"/>
      <c r="F16" s="148" t="inlineStr">
        <is>
          <t>O</t>
        </is>
      </c>
      <c r="G16" s="148" t="n"/>
      <c r="H16" s="148" t="inlineStr">
        <is>
          <t>O</t>
        </is>
      </c>
      <c r="I16" s="148" t="n"/>
      <c r="J16" s="148" t="n"/>
      <c r="K16" s="148" t="n"/>
      <c r="L16" s="148" t="n"/>
      <c r="M16" s="148" t="n"/>
      <c r="N16" s="148" t="n"/>
      <c r="O16" s="148" t="n"/>
      <c r="P16" s="148" t="n"/>
      <c r="Q16" s="148" t="n"/>
      <c r="R16" s="148" t="n"/>
      <c r="S16" s="170" t="n"/>
    </row>
    <row r="17" ht="13.5" customHeight="1" s="426">
      <c r="A17" s="171" t="n"/>
      <c r="B17" s="75" t="n"/>
      <c r="C17" s="76" t="n"/>
      <c r="D17" s="77" t="inlineStr">
        <is>
          <t>{ "NonExistentPermission" }</t>
        </is>
      </c>
      <c r="E17" s="80" t="n"/>
      <c r="F17" s="148" t="n"/>
      <c r="G17" s="148" t="inlineStr">
        <is>
          <t>O</t>
        </is>
      </c>
      <c r="H17" s="148" t="n"/>
      <c r="I17" s="148" t="n"/>
      <c r="J17" s="148" t="n"/>
      <c r="K17" s="148" t="n"/>
      <c r="L17" s="148" t="n"/>
      <c r="M17" s="148" t="n"/>
      <c r="N17" s="148" t="n"/>
      <c r="O17" s="148" t="n"/>
      <c r="P17" s="148" t="n"/>
      <c r="Q17" s="148" t="n"/>
      <c r="R17" s="148" t="n"/>
      <c r="S17" s="170" t="n"/>
    </row>
    <row r="18" ht="13.5" customHeight="1" s="426">
      <c r="A18" s="171" t="n"/>
      <c r="B18" s="75" t="inlineStr">
        <is>
          <t>requireAllPermissions</t>
        </is>
      </c>
      <c r="C18" s="76" t="n"/>
      <c r="D18" s="77" t="n"/>
      <c r="E18" s="80" t="n"/>
      <c r="F18" s="148" t="n"/>
      <c r="G18" s="148" t="n"/>
      <c r="H18" s="148" t="n"/>
      <c r="I18" s="148" t="n"/>
      <c r="J18" s="148" t="n"/>
      <c r="K18" s="148" t="n"/>
      <c r="L18" s="148" t="n"/>
      <c r="M18" s="148" t="n"/>
      <c r="N18" s="148" t="n"/>
      <c r="O18" s="148" t="n"/>
      <c r="P18" s="148" t="n"/>
      <c r="Q18" s="148" t="n"/>
      <c r="R18" s="148" t="n"/>
      <c r="S18" s="170" t="n"/>
    </row>
    <row r="19" ht="13.5" customHeight="1" s="426">
      <c r="A19" s="171" t="n"/>
      <c r="B19" s="75" t="n"/>
      <c r="C19" s="76" t="n"/>
      <c r="D19" s="77" t="b">
        <v>1</v>
      </c>
      <c r="E19" s="80" t="n"/>
      <c r="F19" s="148" t="inlineStr">
        <is>
          <t>O</t>
        </is>
      </c>
      <c r="G19" s="148" t="n"/>
      <c r="H19" s="148" t="inlineStr">
        <is>
          <t>O</t>
        </is>
      </c>
      <c r="I19" s="148" t="n"/>
      <c r="J19" s="148" t="n"/>
      <c r="K19" s="148" t="n"/>
      <c r="L19" s="148" t="n"/>
      <c r="M19" s="148" t="n"/>
      <c r="N19" s="148" t="n"/>
      <c r="O19" s="148" t="n"/>
      <c r="P19" s="148" t="n"/>
      <c r="Q19" s="148" t="n"/>
      <c r="R19" s="148" t="n"/>
      <c r="S19" s="170" t="n"/>
    </row>
    <row r="20" ht="13.5" customHeight="1" s="426" thickBot="1">
      <c r="A20" s="171" t="n"/>
      <c r="B20" s="75" t="n"/>
      <c r="C20" s="76" t="n"/>
      <c r="D20" s="77" t="b">
        <v>0</v>
      </c>
      <c r="E20" s="80" t="n"/>
      <c r="F20" s="148" t="n"/>
      <c r="G20" s="148" t="inlineStr">
        <is>
          <t>O</t>
        </is>
      </c>
      <c r="H20" s="148" t="n"/>
      <c r="I20" s="148" t="n"/>
      <c r="J20" s="148" t="n"/>
      <c r="K20" s="148" t="n"/>
      <c r="L20" s="148" t="n"/>
      <c r="M20" s="148" t="n"/>
      <c r="N20" s="148" t="n"/>
      <c r="O20" s="148" t="n"/>
      <c r="P20" s="148" t="n"/>
      <c r="Q20" s="148" t="n"/>
      <c r="R20" s="148" t="n"/>
      <c r="S20" s="170" t="n"/>
    </row>
    <row r="21" ht="13.5" customHeight="1" s="426">
      <c r="A21" s="182" t="inlineStr">
        <is>
          <t>Confirm</t>
        </is>
      </c>
      <c r="B21" s="208" t="inlineStr">
        <is>
          <t>Return</t>
        </is>
      </c>
      <c r="C21" s="239" t="n"/>
      <c r="D21" s="210" t="n"/>
      <c r="E21" s="86" t="n"/>
      <c r="F21" s="87" t="n"/>
      <c r="G21" s="87" t="n"/>
      <c r="H21" s="87" t="n"/>
      <c r="I21" s="87" t="n"/>
      <c r="J21" s="87" t="n"/>
      <c r="K21" s="87" t="n"/>
      <c r="L21" s="87" t="n"/>
      <c r="M21" s="87" t="n"/>
      <c r="N21" s="87" t="n"/>
      <c r="O21" s="87" t="n"/>
      <c r="P21" s="87" t="n"/>
      <c r="Q21" s="87" t="n"/>
      <c r="R21" s="87" t="n"/>
      <c r="S21" s="196" t="n"/>
    </row>
    <row r="22" ht="13.5" customHeight="1" s="426">
      <c r="A22" s="181" t="n"/>
      <c r="B22" s="208" t="n"/>
      <c r="C22" s="209" t="n"/>
      <c r="D22" s="275" t="inlineStr">
        <is>
          <t>Users List</t>
        </is>
      </c>
      <c r="E22" s="91" t="n"/>
      <c r="F22" s="148" t="inlineStr">
        <is>
          <t>O</t>
        </is>
      </c>
      <c r="G22" s="79" t="n"/>
      <c r="H22" s="79" t="n"/>
      <c r="I22" s="79" t="n"/>
      <c r="J22" s="79" t="n"/>
      <c r="K22" s="148" t="n"/>
      <c r="L22" s="79" t="n"/>
      <c r="M22" s="148" t="n"/>
      <c r="N22" s="79" t="n"/>
      <c r="O22" s="79" t="n"/>
      <c r="P22" s="79" t="n"/>
      <c r="Q22" s="79" t="n"/>
      <c r="R22" s="79" t="n"/>
      <c r="S22" s="195" t="n"/>
    </row>
    <row r="23" ht="13.5" customHeight="1" s="426">
      <c r="A23" s="181" t="n"/>
      <c r="B23" s="126" t="n"/>
      <c r="C23" s="89" t="n"/>
      <c r="D23" s="90" t="inlineStr">
        <is>
          <t>Null</t>
        </is>
      </c>
      <c r="E23" s="91" t="n"/>
      <c r="F23" s="79" t="n"/>
      <c r="G23" s="148" t="inlineStr">
        <is>
          <t>O</t>
        </is>
      </c>
      <c r="H23" s="148" t="n"/>
      <c r="I23" s="148" t="n"/>
      <c r="J23" s="79" t="n"/>
      <c r="K23" s="79" t="n"/>
      <c r="L23" s="148" t="n"/>
      <c r="M23" s="79" t="n"/>
      <c r="N23" s="148" t="n"/>
      <c r="O23" s="79" t="n"/>
      <c r="P23" s="79" t="n"/>
      <c r="Q23" s="79" t="n"/>
      <c r="R23" s="79" t="n"/>
      <c r="S23" s="195" t="n"/>
    </row>
    <row r="24" ht="13.5" customHeight="1" s="426">
      <c r="A24" s="181" t="n"/>
      <c r="B24" s="116" t="inlineStr">
        <is>
          <t>Exception</t>
        </is>
      </c>
      <c r="C24" s="120" t="n"/>
      <c r="D24" s="118" t="n"/>
      <c r="E24" s="91" t="n"/>
      <c r="F24" s="79" t="n"/>
      <c r="G24" s="79" t="n"/>
      <c r="H24" s="79" t="n"/>
      <c r="I24" s="79" t="n"/>
      <c r="J24" s="79" t="n"/>
      <c r="K24" s="79" t="n"/>
      <c r="L24" s="79" t="n"/>
      <c r="M24" s="79" t="n"/>
      <c r="N24" s="79" t="n"/>
      <c r="O24" s="79" t="n"/>
      <c r="P24" s="79" t="n"/>
      <c r="Q24" s="79" t="n"/>
      <c r="R24" s="79" t="n"/>
      <c r="S24" s="195" t="n"/>
    </row>
    <row r="25" ht="13.5" customHeight="1" s="426">
      <c r="A25" s="181" t="n"/>
      <c r="B25" s="116" t="n"/>
      <c r="C25" s="120" t="n"/>
      <c r="D25" s="118" t="inlineStr">
        <is>
          <t>InvalidOperationException</t>
        </is>
      </c>
      <c r="E25" s="91" t="n"/>
      <c r="F25" s="79" t="n"/>
      <c r="G25" s="79" t="n"/>
      <c r="H25" s="148" t="inlineStr">
        <is>
          <t>O</t>
        </is>
      </c>
      <c r="I25" s="148" t="n"/>
      <c r="J25" s="148" t="n"/>
      <c r="K25" s="79" t="n"/>
      <c r="L25" s="79" t="n"/>
      <c r="M25" s="79" t="n"/>
      <c r="N25" s="79" t="n"/>
      <c r="O25" s="79" t="n"/>
      <c r="P25" s="79" t="n"/>
      <c r="Q25" s="79" t="n"/>
      <c r="R25" s="79" t="n"/>
      <c r="S25" s="195" t="n"/>
    </row>
    <row r="26" ht="13.5" customHeight="1" s="426">
      <c r="A26" s="181" t="n"/>
      <c r="B26" s="88" t="inlineStr">
        <is>
          <t>Log message</t>
        </is>
      </c>
      <c r="C26" s="89" t="n"/>
      <c r="D26" s="90" t="n"/>
      <c r="E26" s="91" t="n"/>
      <c r="F26" s="79" t="n"/>
      <c r="G26" s="79" t="n"/>
      <c r="H26" s="79" t="n"/>
      <c r="I26" s="79" t="n"/>
      <c r="J26" s="79" t="n"/>
      <c r="K26" s="79" t="n"/>
      <c r="L26" s="79" t="n"/>
      <c r="M26" s="79" t="n"/>
      <c r="N26" s="79" t="n"/>
      <c r="O26" s="79" t="n"/>
      <c r="P26" s="79" t="n"/>
      <c r="Q26" s="79" t="n"/>
      <c r="R26" s="79" t="n"/>
      <c r="S26" s="195" t="n"/>
    </row>
    <row r="27" ht="13.5" customHeight="1" s="426" thickBot="1">
      <c r="A27" s="181" t="n"/>
      <c r="B27" s="88" t="n"/>
      <c r="C27" s="89" t="n"/>
      <c r="D27" s="90" t="inlineStr">
        <is>
          <t>"Database connection failed"</t>
        </is>
      </c>
      <c r="E27" s="91" t="n"/>
      <c r="F27" s="148" t="n"/>
      <c r="G27" s="79" t="n"/>
      <c r="H27" s="148" t="inlineStr">
        <is>
          <t>O</t>
        </is>
      </c>
      <c r="I27" s="148" t="n"/>
      <c r="J27" s="79" t="n"/>
      <c r="K27" s="79" t="n"/>
      <c r="L27" s="79" t="n"/>
      <c r="M27" s="79" t="n"/>
      <c r="N27" s="79" t="n"/>
      <c r="O27" s="79" t="n"/>
      <c r="P27" s="79" t="n"/>
      <c r="Q27" s="79" t="n"/>
      <c r="R27" s="79" t="n"/>
      <c r="S27" s="195" t="n"/>
    </row>
    <row r="28" ht="13.5" customHeight="1" s="426" thickTop="1">
      <c r="A28" s="182" t="inlineStr">
        <is>
          <t>Result</t>
        </is>
      </c>
      <c r="B28" s="331" t="inlineStr">
        <is>
          <t>Type(N : Normal, A : Abnormal, B : Boundary)</t>
        </is>
      </c>
      <c r="C28" s="472" t="n"/>
      <c r="D28" s="473" t="n"/>
      <c r="E28" s="331" t="n"/>
      <c r="F28" s="188" t="inlineStr">
        <is>
          <t>N</t>
        </is>
      </c>
      <c r="G28" s="188" t="inlineStr">
        <is>
          <t>N</t>
        </is>
      </c>
      <c r="H28" s="188" t="inlineStr">
        <is>
          <t>A</t>
        </is>
      </c>
      <c r="I28" s="188" t="n"/>
      <c r="J28" s="188" t="n"/>
      <c r="K28" s="188" t="n"/>
      <c r="L28" s="188" t="n"/>
      <c r="M28" s="188" t="n"/>
      <c r="N28" s="188" t="n"/>
      <c r="O28" s="188" t="n"/>
      <c r="P28" s="188" t="n"/>
      <c r="Q28" s="188" t="n"/>
      <c r="R28" s="188" t="n"/>
      <c r="S28" s="198" t="n"/>
    </row>
    <row r="29" ht="13.5" customHeight="1" s="426">
      <c r="A29" s="174" t="n"/>
      <c r="B29" s="320" t="inlineStr">
        <is>
          <t>Passed/Failed</t>
        </is>
      </c>
      <c r="C29" s="449" t="n"/>
      <c r="D29" s="450" t="n"/>
      <c r="E29" s="95" t="n"/>
      <c r="F29" s="94" t="inlineStr">
        <is>
          <t>P</t>
        </is>
      </c>
      <c r="G29" s="94" t="inlineStr">
        <is>
          <t>P</t>
        </is>
      </c>
      <c r="H29" s="94" t="inlineStr">
        <is>
          <t>P</t>
        </is>
      </c>
      <c r="I29" s="94" t="n"/>
      <c r="J29" s="94" t="n"/>
      <c r="K29" s="94" t="n"/>
      <c r="L29" s="94" t="n"/>
      <c r="M29" s="94" t="n"/>
      <c r="N29" s="94" t="n"/>
      <c r="O29" s="94" t="n"/>
      <c r="P29" s="94" t="n"/>
      <c r="Q29" s="94" t="n"/>
      <c r="R29" s="94" t="n"/>
      <c r="S29" s="199" t="n"/>
    </row>
    <row r="30" ht="71.5" customHeight="1" s="426">
      <c r="A30" s="174" t="n"/>
      <c r="B30" s="329" t="inlineStr">
        <is>
          <t>Executed Date</t>
        </is>
      </c>
      <c r="C30" s="449" t="n"/>
      <c r="D30" s="450" t="n"/>
      <c r="E30" s="96" t="n"/>
      <c r="F30" s="97" t="n">
        <v>45709</v>
      </c>
      <c r="G30" s="97" t="n">
        <v>45709</v>
      </c>
      <c r="H30" s="97" t="n">
        <v>45709</v>
      </c>
      <c r="I30" s="97" t="n"/>
      <c r="J30" s="97" t="n"/>
      <c r="K30" s="97" t="n"/>
      <c r="L30" s="97" t="n"/>
      <c r="M30" s="97" t="n"/>
      <c r="N30" s="97" t="n"/>
      <c r="O30" s="97" t="n"/>
      <c r="P30" s="97" t="n"/>
      <c r="Q30" s="97" t="n"/>
      <c r="R30" s="97" t="n"/>
      <c r="S30" s="176" t="n"/>
    </row>
    <row r="31" ht="10.5" customHeight="1" s="426" thickBot="1">
      <c r="A31" s="177" t="n"/>
      <c r="B31" s="330" t="inlineStr">
        <is>
          <t>Defect ID</t>
        </is>
      </c>
      <c r="C31" s="474" t="n"/>
      <c r="D31" s="475" t="n"/>
      <c r="E31" s="178" t="n"/>
      <c r="F31" s="179" t="n"/>
      <c r="G31" s="179" t="n"/>
      <c r="H31" s="179" t="n"/>
      <c r="I31" s="179" t="n"/>
      <c r="J31" s="179" t="n"/>
      <c r="K31" s="179" t="n"/>
      <c r="L31" s="179" t="n"/>
      <c r="M31" s="179" t="n"/>
      <c r="N31" s="179" t="n"/>
      <c r="O31" s="179" t="n"/>
      <c r="P31" s="179" t="n"/>
      <c r="Q31" s="179" t="n"/>
      <c r="R31" s="179" t="n"/>
      <c r="S31" s="180" t="n"/>
    </row>
    <row r="32" ht="10.5" customHeight="1" s="426" thickTop="1">
      <c r="A32" s="73" t="n"/>
      <c r="B32" s="69" t="n"/>
      <c r="C32" s="413" t="n"/>
      <c r="D32" s="69" t="n"/>
    </row>
  </sheetData>
  <mergeCells count="27">
    <mergeCell ref="F6:J6"/>
    <mergeCell ref="B29:D29"/>
    <mergeCell ref="C5:S5"/>
    <mergeCell ref="A6:B6"/>
    <mergeCell ref="C4:D4"/>
    <mergeCell ref="C2:E2"/>
    <mergeCell ref="B28:D28"/>
    <mergeCell ref="F7:J7"/>
    <mergeCell ref="F3:J3"/>
    <mergeCell ref="K2:S2"/>
    <mergeCell ref="A7:B7"/>
    <mergeCell ref="B30:D30"/>
    <mergeCell ref="C7:E7"/>
    <mergeCell ref="A3:B3"/>
    <mergeCell ref="F2:J2"/>
    <mergeCell ref="N6:S6"/>
    <mergeCell ref="A2:B2"/>
    <mergeCell ref="K6:M6"/>
    <mergeCell ref="A5:B5"/>
    <mergeCell ref="K4:S4"/>
    <mergeCell ref="C3:E3"/>
    <mergeCell ref="K3:S3"/>
    <mergeCell ref="C6:E6"/>
    <mergeCell ref="A4:B4"/>
    <mergeCell ref="N7:S7"/>
    <mergeCell ref="B31:D31"/>
    <mergeCell ref="F4:J4"/>
  </mergeCells>
  <dataValidations count="3">
    <dataValidation sqref="F28:S28" showDropDown="0" showInputMessage="1" showErrorMessage="1" allowBlank="1" type="list">
      <formula1>"N,A,B, "</formula1>
    </dataValidation>
    <dataValidation sqref="F29:S29" showDropDown="0" showInputMessage="1" showErrorMessage="1" allowBlank="1" type="list">
      <formula1>"P,F, "</formula1>
    </dataValidation>
    <dataValidation sqref="F10:S27"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V28"/>
  <sheetViews>
    <sheetView zoomScale="115" zoomScaleNormal="115" workbookViewId="0">
      <selection activeCell="A1" sqref="A1"/>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Facility - 2</t>
        </is>
      </c>
      <c r="D2" s="439" t="n"/>
      <c r="E2" s="441" t="n"/>
      <c r="F2" s="410" t="inlineStr">
        <is>
          <t>Function Name</t>
        </is>
      </c>
      <c r="G2" s="496" t="n"/>
      <c r="H2" s="496" t="n"/>
      <c r="I2" s="496" t="n"/>
      <c r="J2" s="496" t="n"/>
      <c r="K2" s="496" t="n"/>
      <c r="L2" s="443" t="inlineStr">
        <is>
          <t>Get Facility By ID</t>
        </is>
      </c>
      <c r="M2" s="439" t="n"/>
      <c r="N2" s="439" t="n"/>
      <c r="O2" s="439" t="n"/>
      <c r="P2" s="439" t="n"/>
      <c r="Q2" s="439" t="n"/>
      <c r="R2" s="439" t="n"/>
      <c r="S2" s="439" t="n"/>
      <c r="T2" s="444" t="n"/>
      <c r="V2" s="71" t="n"/>
    </row>
    <row r="3" ht="13.5" customHeight="1" s="426">
      <c r="A3" s="445" t="inlineStr">
        <is>
          <t>Created By</t>
        </is>
      </c>
      <c r="B3" s="428" t="n"/>
      <c r="C3" s="446" t="inlineStr">
        <is>
          <t>Nguyễn Thanh Tuấn</t>
        </is>
      </c>
      <c r="D3" s="433" t="n"/>
      <c r="E3" s="447" t="n"/>
      <c r="F3" s="448" t="inlineStr">
        <is>
          <t>Executed By</t>
        </is>
      </c>
      <c r="G3" s="449" t="n"/>
      <c r="H3" s="449" t="n"/>
      <c r="I3" s="449" t="n"/>
      <c r="J3" s="449" t="n"/>
      <c r="K3" s="450" t="n"/>
      <c r="L3" s="453" t="inlineStr">
        <is>
          <t>Nguyễn Thanh Tuấn</t>
        </is>
      </c>
      <c r="M3" s="454" t="n"/>
      <c r="N3" s="454" t="n"/>
      <c r="O3" s="454" t="n"/>
      <c r="P3" s="454" t="n"/>
      <c r="Q3" s="454" t="n"/>
      <c r="R3" s="454" t="n"/>
      <c r="S3" s="454" t="n"/>
      <c r="T3" s="455" t="n"/>
    </row>
    <row r="4" ht="13.5" customHeight="1" s="426">
      <c r="A4" s="445" t="inlineStr">
        <is>
          <t>Lines  of code</t>
        </is>
      </c>
      <c r="B4" s="428" t="n"/>
      <c r="C4" s="327" t="n">
        <v>60</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COUNTIF(F25:HQ25,"P")</f>
        <v/>
      </c>
      <c r="B7" s="465" t="n"/>
      <c r="C7" s="466">
        <f>COUNTIF(F26:HQ26,"F")</f>
        <v/>
      </c>
      <c r="D7" s="467" t="n"/>
      <c r="E7" s="465" t="n"/>
      <c r="F7" s="468">
        <f>SUM(O7,- A7,- C7)</f>
        <v/>
      </c>
      <c r="G7" s="467" t="n"/>
      <c r="H7" s="467" t="n"/>
      <c r="I7" s="467" t="n"/>
      <c r="J7" s="467" t="n"/>
      <c r="K7" s="469" t="n"/>
      <c r="L7" s="342">
        <f>COUNTIF(E24:HQ24,"N")</f>
        <v/>
      </c>
      <c r="M7" s="342">
        <f>COUNTIF(E24:HQ24,"A")</f>
        <v/>
      </c>
      <c r="N7" s="342">
        <f>COUNTIF(E24:HQ24,"B")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inlineStr">
        <is>
          <t>O</t>
        </is>
      </c>
      <c r="I13" s="148" t="n"/>
      <c r="J13" s="148" t="n"/>
      <c r="K13" s="148" t="n"/>
      <c r="L13" s="148" t="n"/>
      <c r="M13" s="148" t="n"/>
      <c r="N13" s="148" t="n"/>
      <c r="O13" s="148" t="n"/>
      <c r="P13" s="148" t="n"/>
      <c r="Q13" s="148" t="n"/>
      <c r="R13" s="148" t="n"/>
      <c r="S13" s="148" t="n"/>
      <c r="T13" s="170" t="n"/>
    </row>
    <row r="14" ht="13.5" customHeight="1" s="426">
      <c r="A14" s="171" t="n"/>
      <c r="B14" s="75" t="n"/>
      <c r="C14" s="76" t="n"/>
      <c r="D14" s="77" t="inlineStr">
        <is>
          <t>No Entry in Database</t>
        </is>
      </c>
      <c r="E14" s="80" t="n"/>
      <c r="F14" s="148" t="n"/>
      <c r="G14" s="148" t="inlineStr">
        <is>
          <t>O</t>
        </is>
      </c>
      <c r="H14" s="148" t="n"/>
      <c r="I14" s="148" t="n"/>
      <c r="J14" s="148" t="n"/>
      <c r="K14" s="148" t="n"/>
      <c r="L14" s="148" t="n"/>
      <c r="M14" s="148" t="n"/>
      <c r="N14" s="148" t="n"/>
      <c r="O14" s="148" t="n"/>
      <c r="P14" s="148" t="n"/>
      <c r="Q14" s="148" t="n"/>
      <c r="R14" s="148" t="n"/>
      <c r="S14" s="148" t="n"/>
      <c r="T14" s="170" t="n"/>
    </row>
    <row r="15" ht="13.5" customHeight="1" s="426">
      <c r="A15" s="171" t="n"/>
      <c r="B15" s="75" t="inlineStr">
        <is>
          <t>FacilityId</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thickBot="1">
      <c r="A16" s="171" t="n"/>
      <c r="B16" s="75" t="n"/>
      <c r="C16" s="76" t="n"/>
      <c r="D16" s="77" t="inlineStr">
        <is>
          <t>Guid</t>
        </is>
      </c>
      <c r="E16" s="80" t="n"/>
      <c r="F16" s="148" t="inlineStr">
        <is>
          <t>O</t>
        </is>
      </c>
      <c r="G16" s="148" t="inlineStr">
        <is>
          <t>O</t>
        </is>
      </c>
      <c r="H16" s="148" t="inlineStr">
        <is>
          <t>O</t>
        </is>
      </c>
      <c r="I16" s="148" t="n"/>
      <c r="J16" s="148" t="n"/>
      <c r="K16" s="148" t="n"/>
      <c r="L16" s="148" t="n"/>
      <c r="M16" s="148" t="n"/>
      <c r="N16" s="148" t="n"/>
      <c r="O16" s="148" t="n"/>
      <c r="P16" s="148" t="n"/>
      <c r="Q16" s="148" t="n"/>
      <c r="R16" s="148" t="n"/>
      <c r="S16" s="148" t="n"/>
      <c r="T16" s="170" t="n"/>
    </row>
    <row r="17" ht="13.5" customHeight="1" s="426">
      <c r="A17" s="182" t="inlineStr">
        <is>
          <t>Confirm</t>
        </is>
      </c>
      <c r="B17" s="208" t="inlineStr">
        <is>
          <t>Return</t>
        </is>
      </c>
      <c r="C17" s="239" t="n"/>
      <c r="D17" s="210" t="n"/>
      <c r="E17" s="86" t="n"/>
      <c r="F17" s="87" t="n"/>
      <c r="G17" s="87" t="n"/>
      <c r="H17" s="87" t="n"/>
      <c r="I17" s="87" t="n"/>
      <c r="J17" s="87" t="n"/>
      <c r="K17" s="87" t="n"/>
      <c r="L17" s="87" t="n"/>
      <c r="M17" s="87" t="n"/>
      <c r="N17" s="87" t="n"/>
      <c r="O17" s="87" t="n"/>
      <c r="P17" s="87" t="n"/>
      <c r="Q17" s="87" t="n"/>
      <c r="R17" s="87" t="n"/>
      <c r="S17" s="87" t="n"/>
      <c r="T17" s="196" t="n"/>
    </row>
    <row r="18" ht="13.5" customHeight="1" s="426">
      <c r="A18" s="181" t="n"/>
      <c r="B18" s="208" t="n"/>
      <c r="C18" s="209" t="n"/>
      <c r="D18" s="210" t="inlineStr">
        <is>
          <t>Facility</t>
        </is>
      </c>
      <c r="E18" s="91" t="n"/>
      <c r="F18" s="148" t="inlineStr">
        <is>
          <t>O</t>
        </is>
      </c>
      <c r="G18" s="79" t="n"/>
      <c r="H18" s="79" t="n"/>
      <c r="I18" s="79" t="n"/>
      <c r="J18" s="79" t="n"/>
      <c r="K18" s="79" t="n"/>
      <c r="L18" s="148" t="n"/>
      <c r="M18" s="79" t="n"/>
      <c r="N18" s="148" t="n"/>
      <c r="O18" s="79" t="n"/>
      <c r="P18" s="79" t="n"/>
      <c r="Q18" s="79" t="n"/>
      <c r="R18" s="79" t="n"/>
      <c r="S18" s="79" t="n"/>
      <c r="T18" s="195" t="n"/>
    </row>
    <row r="19" ht="13.5" customHeight="1" s="426">
      <c r="A19" s="181" t="n"/>
      <c r="B19" s="126" t="n"/>
      <c r="C19" s="89" t="n"/>
      <c r="D19" s="90" t="inlineStr">
        <is>
          <t>Null</t>
        </is>
      </c>
      <c r="E19" s="91" t="n"/>
      <c r="F19" s="79" t="n"/>
      <c r="G19" s="148" t="inlineStr">
        <is>
          <t>O</t>
        </is>
      </c>
      <c r="H19" s="148" t="n"/>
      <c r="I19" s="148" t="n"/>
      <c r="J19" s="148" t="n"/>
      <c r="K19" s="79" t="n"/>
      <c r="L19" s="79" t="n"/>
      <c r="M19" s="148" t="n"/>
      <c r="N19" s="79" t="n"/>
      <c r="O19" s="148" t="n"/>
      <c r="P19" s="79" t="n"/>
      <c r="Q19" s="79" t="n"/>
      <c r="R19" s="79" t="n"/>
      <c r="S19" s="79" t="n"/>
      <c r="T19" s="195" t="n"/>
    </row>
    <row r="20" ht="13.5" customHeight="1" s="426">
      <c r="A20" s="181" t="n"/>
      <c r="B20" s="116" t="inlineStr">
        <is>
          <t>Exception</t>
        </is>
      </c>
      <c r="C20" s="120" t="n"/>
      <c r="D20" s="118" t="n"/>
      <c r="E20" s="91" t="n"/>
      <c r="F20" s="79" t="n"/>
      <c r="G20" s="79" t="n"/>
      <c r="H20" s="79" t="n"/>
      <c r="I20" s="79" t="n"/>
      <c r="J20" s="79" t="n"/>
      <c r="K20" s="79" t="n"/>
      <c r="L20" s="79" t="n"/>
      <c r="M20" s="79" t="n"/>
      <c r="N20" s="79" t="n"/>
      <c r="O20" s="79" t="n"/>
      <c r="P20" s="79" t="n"/>
      <c r="Q20" s="79" t="n"/>
      <c r="R20" s="79" t="n"/>
      <c r="S20" s="79" t="n"/>
      <c r="T20" s="195" t="n"/>
    </row>
    <row r="21" ht="13.5" customHeight="1" s="426">
      <c r="A21" s="181" t="n"/>
      <c r="B21" s="116" t="n"/>
      <c r="C21" s="120" t="n"/>
      <c r="D21" s="118" t="inlineStr">
        <is>
          <t>InvalidOperationException</t>
        </is>
      </c>
      <c r="E21" s="91" t="n"/>
      <c r="F21" s="79" t="n"/>
      <c r="G21" s="79" t="n"/>
      <c r="H21" s="148" t="inlineStr">
        <is>
          <t>O</t>
        </is>
      </c>
      <c r="I21" s="148" t="n"/>
      <c r="J21" s="79" t="n"/>
      <c r="K21" s="148" t="n"/>
      <c r="L21" s="79" t="n"/>
      <c r="M21" s="79" t="n"/>
      <c r="N21" s="79" t="n"/>
      <c r="O21" s="79" t="n"/>
      <c r="P21" s="79" t="n"/>
      <c r="Q21" s="79" t="n"/>
      <c r="R21" s="79" t="n"/>
      <c r="S21" s="79" t="n"/>
      <c r="T21" s="195" t="n"/>
    </row>
    <row r="22" ht="13.5" customHeight="1" s="426">
      <c r="A22" s="181" t="n"/>
      <c r="B22" s="88" t="inlineStr">
        <is>
          <t>Log message</t>
        </is>
      </c>
      <c r="C22" s="89" t="n"/>
      <c r="D22" s="90" t="n"/>
      <c r="E22" s="91" t="n"/>
      <c r="F22" s="79" t="n"/>
      <c r="G22" s="79" t="n"/>
      <c r="H22" s="79" t="n"/>
      <c r="I22" s="79" t="n"/>
      <c r="J22" s="79" t="n"/>
      <c r="K22" s="79" t="n"/>
      <c r="L22" s="79" t="n"/>
      <c r="M22" s="79" t="n"/>
      <c r="N22" s="79" t="n"/>
      <c r="O22" s="79" t="n"/>
      <c r="P22" s="79" t="n"/>
      <c r="Q22" s="79" t="n"/>
      <c r="R22" s="79" t="n"/>
      <c r="S22" s="79" t="n"/>
      <c r="T22" s="195" t="n"/>
    </row>
    <row r="23" ht="13.5" customHeight="1" s="426" thickBot="1">
      <c r="A23" s="181" t="n"/>
      <c r="B23" s="88" t="n"/>
      <c r="C23" s="89" t="n"/>
      <c r="D23" s="90" t="inlineStr">
        <is>
          <t>"Simulated DB error"</t>
        </is>
      </c>
      <c r="E23" s="91" t="n"/>
      <c r="F23" s="148" t="n"/>
      <c r="G23" s="79" t="n"/>
      <c r="H23" s="148" t="inlineStr">
        <is>
          <t>O</t>
        </is>
      </c>
      <c r="I23" s="79" t="n"/>
      <c r="J23" s="79" t="n"/>
      <c r="K23" s="79" t="n"/>
      <c r="L23" s="79" t="n"/>
      <c r="M23" s="79" t="n"/>
      <c r="N23" s="79" t="n"/>
      <c r="O23" s="79" t="n"/>
      <c r="P23" s="79" t="n"/>
      <c r="Q23" s="79" t="n"/>
      <c r="R23" s="79" t="n"/>
      <c r="S23" s="79" t="n"/>
      <c r="T23" s="195" t="n"/>
    </row>
    <row r="24" ht="13.5" customHeight="1" s="426" thickTop="1">
      <c r="A24" s="182" t="inlineStr">
        <is>
          <t>Result</t>
        </is>
      </c>
      <c r="B24" s="331" t="inlineStr">
        <is>
          <t>Type(N : Normal, A : Abnormal, B : Boundary)</t>
        </is>
      </c>
      <c r="C24" s="472" t="n"/>
      <c r="D24" s="473" t="n"/>
      <c r="E24" s="331" t="n"/>
      <c r="F24" s="188" t="inlineStr">
        <is>
          <t>N</t>
        </is>
      </c>
      <c r="G24" s="188" t="inlineStr">
        <is>
          <t>N</t>
        </is>
      </c>
      <c r="H24" s="188" t="inlineStr">
        <is>
          <t>A</t>
        </is>
      </c>
      <c r="I24" s="188" t="n"/>
      <c r="J24" s="188" t="n"/>
      <c r="K24" s="188" t="n"/>
      <c r="L24" s="188" t="n"/>
      <c r="M24" s="188" t="n"/>
      <c r="N24" s="188" t="n"/>
      <c r="O24" s="188" t="n"/>
      <c r="P24" s="188" t="n"/>
      <c r="Q24" s="188" t="n"/>
      <c r="R24" s="188" t="n"/>
      <c r="S24" s="188" t="n"/>
      <c r="T24" s="198" t="n"/>
    </row>
    <row r="25" ht="13.5" customHeight="1" s="426">
      <c r="A25" s="174" t="n"/>
      <c r="B25" s="320" t="inlineStr">
        <is>
          <t>Passed/Failed</t>
        </is>
      </c>
      <c r="C25" s="449" t="n"/>
      <c r="D25" s="450" t="n"/>
      <c r="E25" s="95" t="n"/>
      <c r="F25" s="94" t="inlineStr">
        <is>
          <t>P</t>
        </is>
      </c>
      <c r="G25" s="94" t="inlineStr">
        <is>
          <t>P</t>
        </is>
      </c>
      <c r="H25" s="94" t="inlineStr">
        <is>
          <t>P</t>
        </is>
      </c>
      <c r="I25" s="94" t="n"/>
      <c r="J25" s="94" t="n"/>
      <c r="K25" s="94" t="n"/>
      <c r="L25" s="94" t="n"/>
      <c r="M25" s="94" t="n"/>
      <c r="N25" s="94" t="n"/>
      <c r="O25" s="94" t="n"/>
      <c r="P25" s="94" t="n"/>
      <c r="Q25" s="94" t="n"/>
      <c r="R25" s="94" t="n"/>
      <c r="S25" s="94" t="n"/>
      <c r="T25" s="199" t="n"/>
    </row>
    <row r="26" ht="71.5" customHeight="1" s="426">
      <c r="A26" s="174" t="n"/>
      <c r="B26" s="329" t="inlineStr">
        <is>
          <t>Executed Date</t>
        </is>
      </c>
      <c r="C26" s="449" t="n"/>
      <c r="D26" s="450" t="n"/>
      <c r="E26" s="96" t="n"/>
      <c r="F26" s="97" t="n">
        <v>45700</v>
      </c>
      <c r="G26" s="97" t="n">
        <v>45700</v>
      </c>
      <c r="H26" s="97" t="n">
        <v>45700</v>
      </c>
      <c r="I26" s="97" t="n"/>
      <c r="J26" s="97" t="n"/>
      <c r="K26" s="97" t="n"/>
      <c r="L26" s="97" t="n"/>
      <c r="M26" s="97" t="n"/>
      <c r="N26" s="97" t="n"/>
      <c r="O26" s="97" t="n"/>
      <c r="P26" s="97" t="n"/>
      <c r="Q26" s="97" t="n"/>
      <c r="R26" s="97" t="n"/>
      <c r="S26" s="97" t="n"/>
      <c r="T26" s="176" t="n"/>
    </row>
    <row r="27" ht="10.5" customHeight="1" s="426" thickBot="1">
      <c r="A27" s="177" t="n"/>
      <c r="B27" s="330" t="inlineStr">
        <is>
          <t>Defect ID</t>
        </is>
      </c>
      <c r="C27" s="474" t="n"/>
      <c r="D27" s="475" t="n"/>
      <c r="E27" s="178" t="n"/>
      <c r="F27" s="179" t="n"/>
      <c r="G27" s="179" t="n"/>
      <c r="H27" s="179" t="n"/>
      <c r="I27" s="179" t="n"/>
      <c r="J27" s="179" t="n"/>
      <c r="K27" s="179" t="n"/>
      <c r="L27" s="179" t="n"/>
      <c r="M27" s="179" t="n"/>
      <c r="N27" s="179" t="n"/>
      <c r="O27" s="179" t="n"/>
      <c r="P27" s="179" t="n"/>
      <c r="Q27" s="179" t="n"/>
      <c r="R27" s="179" t="n"/>
      <c r="S27" s="179" t="n"/>
      <c r="T27" s="180" t="n"/>
    </row>
    <row r="28" ht="10.5" customHeight="1" s="426" thickTop="1">
      <c r="A28" s="73" t="n"/>
      <c r="B28" s="69" t="n"/>
      <c r="C28" s="413" t="n"/>
      <c r="D28" s="69" t="n"/>
    </row>
  </sheetData>
  <mergeCells count="27">
    <mergeCell ref="F2:K2"/>
    <mergeCell ref="A6:B6"/>
    <mergeCell ref="C4:D4"/>
    <mergeCell ref="L4:T4"/>
    <mergeCell ref="C2:E2"/>
    <mergeCell ref="A7:B7"/>
    <mergeCell ref="C7:E7"/>
    <mergeCell ref="L6:N6"/>
    <mergeCell ref="A3:B3"/>
    <mergeCell ref="B24:D24"/>
    <mergeCell ref="A2:B2"/>
    <mergeCell ref="A5:B5"/>
    <mergeCell ref="B26:D26"/>
    <mergeCell ref="C3:E3"/>
    <mergeCell ref="O7:T7"/>
    <mergeCell ref="F4:K4"/>
    <mergeCell ref="B25:D25"/>
    <mergeCell ref="C6:E6"/>
    <mergeCell ref="A4:B4"/>
    <mergeCell ref="L2:T2"/>
    <mergeCell ref="O6:T6"/>
    <mergeCell ref="F6:K6"/>
    <mergeCell ref="B27:D27"/>
    <mergeCell ref="F7:K7"/>
    <mergeCell ref="C5:T5"/>
    <mergeCell ref="L3:T3"/>
    <mergeCell ref="F3:K3"/>
  </mergeCells>
  <dataValidations count="3">
    <dataValidation sqref="F24:T24" showDropDown="0" showInputMessage="1" showErrorMessage="1" allowBlank="1" type="list">
      <formula1>"N,A,B, "</formula1>
    </dataValidation>
    <dataValidation sqref="F25:T25" showDropDown="0" showInputMessage="1" showErrorMessage="1" allowBlank="1" type="list">
      <formula1>"P,F, "</formula1>
    </dataValidation>
    <dataValidation sqref="F10:T23"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V28"/>
  <sheetViews>
    <sheetView zoomScale="115" zoomScaleNormal="115" workbookViewId="0">
      <selection activeCell="X5" sqref="X5"/>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RoomFacility - 2</t>
        </is>
      </c>
      <c r="D2" s="439" t="n"/>
      <c r="E2" s="441" t="n"/>
      <c r="F2" s="410" t="inlineStr">
        <is>
          <t>Function Name</t>
        </is>
      </c>
      <c r="G2" s="496" t="n"/>
      <c r="H2" s="496" t="n"/>
      <c r="I2" s="496" t="n"/>
      <c r="J2" s="496" t="n"/>
      <c r="K2" s="496" t="n"/>
      <c r="L2" s="443" t="inlineStr">
        <is>
          <t>Get Facility By ID</t>
        </is>
      </c>
      <c r="M2" s="439" t="n"/>
      <c r="N2" s="439" t="n"/>
      <c r="O2" s="439" t="n"/>
      <c r="P2" s="439" t="n"/>
      <c r="Q2" s="439" t="n"/>
      <c r="R2" s="439" t="n"/>
      <c r="S2" s="439" t="n"/>
      <c r="T2" s="444" t="n"/>
      <c r="V2" s="71" t="n"/>
    </row>
    <row r="3" ht="13.5" customHeight="1" s="426">
      <c r="A3" s="445" t="inlineStr">
        <is>
          <t>Created By</t>
        </is>
      </c>
      <c r="B3" s="428" t="n"/>
      <c r="C3" s="446" t="inlineStr">
        <is>
          <t>Nguyễn Thanh Tuấn</t>
        </is>
      </c>
      <c r="D3" s="433" t="n"/>
      <c r="E3" s="447" t="n"/>
      <c r="F3" s="448" t="inlineStr">
        <is>
          <t>Executed By</t>
        </is>
      </c>
      <c r="G3" s="449" t="n"/>
      <c r="H3" s="449" t="n"/>
      <c r="I3" s="449" t="n"/>
      <c r="J3" s="449" t="n"/>
      <c r="K3" s="450" t="n"/>
      <c r="L3" s="453" t="inlineStr">
        <is>
          <t>Nguyễn Thanh Tuấn</t>
        </is>
      </c>
      <c r="M3" s="454" t="n"/>
      <c r="N3" s="454" t="n"/>
      <c r="O3" s="454" t="n"/>
      <c r="P3" s="454" t="n"/>
      <c r="Q3" s="454" t="n"/>
      <c r="R3" s="454" t="n"/>
      <c r="S3" s="454" t="n"/>
      <c r="T3" s="455" t="n"/>
    </row>
    <row r="4" ht="13.5" customHeight="1" s="426">
      <c r="A4" s="445" t="inlineStr">
        <is>
          <t>Lines  of code</t>
        </is>
      </c>
      <c r="B4" s="428" t="n"/>
      <c r="C4" s="327" t="n">
        <v>71</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COUNTIF(F25:HQ25,"P")</f>
        <v/>
      </c>
      <c r="B7" s="465" t="n"/>
      <c r="C7" s="466">
        <f>COUNTIF(F26:HQ26,"F")</f>
        <v/>
      </c>
      <c r="D7" s="467" t="n"/>
      <c r="E7" s="465" t="n"/>
      <c r="F7" s="468">
        <f>SUM(O7,- A7,- C7)</f>
        <v/>
      </c>
      <c r="G7" s="467" t="n"/>
      <c r="H7" s="467" t="n"/>
      <c r="I7" s="467" t="n"/>
      <c r="J7" s="467" t="n"/>
      <c r="K7" s="469" t="n"/>
      <c r="L7" s="342">
        <f>COUNTIF(E24:HQ24,"N")</f>
        <v/>
      </c>
      <c r="M7" s="342">
        <f>COUNTIF(E24:HQ24,"A")</f>
        <v/>
      </c>
      <c r="N7" s="342">
        <f>COUNTIF(E24:HQ24,"B")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inlineStr">
        <is>
          <t>O</t>
        </is>
      </c>
      <c r="I13" s="148" t="n"/>
      <c r="J13" s="148" t="n"/>
      <c r="K13" s="148" t="n"/>
      <c r="L13" s="148" t="n"/>
      <c r="M13" s="148" t="n"/>
      <c r="N13" s="148" t="n"/>
      <c r="O13" s="148" t="n"/>
      <c r="P13" s="148" t="n"/>
      <c r="Q13" s="148" t="n"/>
      <c r="R13" s="148" t="n"/>
      <c r="S13" s="148" t="n"/>
      <c r="T13" s="170" t="n"/>
    </row>
    <row r="14" ht="13.5" customHeight="1" s="426">
      <c r="A14" s="171" t="n"/>
      <c r="B14" s="75" t="n"/>
      <c r="C14" s="76" t="n"/>
      <c r="D14" s="77" t="inlineStr">
        <is>
          <t>No Entry in Database</t>
        </is>
      </c>
      <c r="E14" s="80" t="n"/>
      <c r="F14" s="148" t="n"/>
      <c r="G14" s="148" t="inlineStr">
        <is>
          <t>O</t>
        </is>
      </c>
      <c r="H14" s="148" t="n"/>
      <c r="I14" s="148" t="n"/>
      <c r="J14" s="148" t="n"/>
      <c r="K14" s="148" t="n"/>
      <c r="L14" s="148" t="n"/>
      <c r="M14" s="148" t="n"/>
      <c r="N14" s="148" t="n"/>
      <c r="O14" s="148" t="n"/>
      <c r="P14" s="148" t="n"/>
      <c r="Q14" s="148" t="n"/>
      <c r="R14" s="148" t="n"/>
      <c r="S14" s="148" t="n"/>
      <c r="T14" s="170" t="n"/>
    </row>
    <row r="15" ht="13.5" customHeight="1" s="426">
      <c r="A15" s="171" t="n"/>
      <c r="B15" s="75" t="inlineStr">
        <is>
          <t>roomFacilityId</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thickBot="1">
      <c r="A16" s="171" t="n"/>
      <c r="B16" s="75" t="n"/>
      <c r="C16" s="76" t="n"/>
      <c r="D16" s="77" t="inlineStr">
        <is>
          <t>Guid</t>
        </is>
      </c>
      <c r="E16" s="80" t="n"/>
      <c r="F16" s="148" t="inlineStr">
        <is>
          <t>O</t>
        </is>
      </c>
      <c r="G16" s="148" t="inlineStr">
        <is>
          <t>O</t>
        </is>
      </c>
      <c r="H16" s="148" t="inlineStr">
        <is>
          <t>O</t>
        </is>
      </c>
      <c r="I16" s="148" t="n"/>
      <c r="J16" s="148" t="n"/>
      <c r="K16" s="148" t="n"/>
      <c r="L16" s="148" t="n"/>
      <c r="M16" s="148" t="n"/>
      <c r="N16" s="148" t="n"/>
      <c r="O16" s="148" t="n"/>
      <c r="P16" s="148" t="n"/>
      <c r="Q16" s="148" t="n"/>
      <c r="R16" s="148" t="n"/>
      <c r="S16" s="148" t="n"/>
      <c r="T16" s="170" t="n"/>
    </row>
    <row r="17" ht="13.5" customHeight="1" s="426">
      <c r="A17" s="182" t="inlineStr">
        <is>
          <t>Confirm</t>
        </is>
      </c>
      <c r="B17" s="208" t="inlineStr">
        <is>
          <t>Return</t>
        </is>
      </c>
      <c r="C17" s="239" t="n"/>
      <c r="D17" s="210" t="n"/>
      <c r="E17" s="86" t="n"/>
      <c r="F17" s="87" t="n"/>
      <c r="G17" s="87" t="n"/>
      <c r="H17" s="87" t="n"/>
      <c r="I17" s="87" t="n"/>
      <c r="J17" s="87" t="n"/>
      <c r="K17" s="87" t="n"/>
      <c r="L17" s="87" t="n"/>
      <c r="M17" s="87" t="n"/>
      <c r="N17" s="87" t="n"/>
      <c r="O17" s="87" t="n"/>
      <c r="P17" s="87" t="n"/>
      <c r="Q17" s="87" t="n"/>
      <c r="R17" s="87" t="n"/>
      <c r="S17" s="87" t="n"/>
      <c r="T17" s="196" t="n"/>
    </row>
    <row r="18" ht="13.5" customHeight="1" s="426">
      <c r="A18" s="181" t="n"/>
      <c r="B18" s="208" t="n"/>
      <c r="C18" s="209" t="n"/>
      <c r="D18" s="210" t="inlineStr">
        <is>
          <t>Room Facility</t>
        </is>
      </c>
      <c r="E18" s="91" t="n"/>
      <c r="F18" s="148" t="inlineStr">
        <is>
          <t>O</t>
        </is>
      </c>
      <c r="G18" s="79" t="n"/>
      <c r="H18" s="79" t="n"/>
      <c r="I18" s="79" t="n"/>
      <c r="J18" s="79" t="n"/>
      <c r="K18" s="79" t="n"/>
      <c r="L18" s="148" t="n"/>
      <c r="M18" s="79" t="n"/>
      <c r="N18" s="148" t="n"/>
      <c r="O18" s="79" t="n"/>
      <c r="P18" s="79" t="n"/>
      <c r="Q18" s="79" t="n"/>
      <c r="R18" s="79" t="n"/>
      <c r="S18" s="79" t="n"/>
      <c r="T18" s="195" t="n"/>
    </row>
    <row r="19" ht="13.5" customHeight="1" s="426">
      <c r="A19" s="181" t="n"/>
      <c r="B19" s="126" t="n"/>
      <c r="C19" s="89" t="n"/>
      <c r="D19" s="90" t="inlineStr">
        <is>
          <t>Null</t>
        </is>
      </c>
      <c r="E19" s="91" t="n"/>
      <c r="F19" s="79" t="n"/>
      <c r="G19" s="148" t="inlineStr">
        <is>
          <t>O</t>
        </is>
      </c>
      <c r="H19" s="148" t="n"/>
      <c r="I19" s="148" t="n"/>
      <c r="J19" s="148" t="n"/>
      <c r="K19" s="79" t="n"/>
      <c r="L19" s="79" t="n"/>
      <c r="M19" s="148" t="n"/>
      <c r="N19" s="79" t="n"/>
      <c r="O19" s="148" t="n"/>
      <c r="P19" s="79" t="n"/>
      <c r="Q19" s="79" t="n"/>
      <c r="R19" s="79" t="n"/>
      <c r="S19" s="79" t="n"/>
      <c r="T19" s="195" t="n"/>
    </row>
    <row r="20" ht="13.5" customHeight="1" s="426">
      <c r="A20" s="181" t="n"/>
      <c r="B20" s="116" t="inlineStr">
        <is>
          <t>Exception</t>
        </is>
      </c>
      <c r="C20" s="120" t="n"/>
      <c r="D20" s="118" t="n"/>
      <c r="E20" s="91" t="n"/>
      <c r="F20" s="79" t="n"/>
      <c r="G20" s="79" t="n"/>
      <c r="H20" s="79" t="n"/>
      <c r="I20" s="79" t="n"/>
      <c r="J20" s="79" t="n"/>
      <c r="K20" s="79" t="n"/>
      <c r="L20" s="79" t="n"/>
      <c r="M20" s="79" t="n"/>
      <c r="N20" s="79" t="n"/>
      <c r="O20" s="79" t="n"/>
      <c r="P20" s="79" t="n"/>
      <c r="Q20" s="79" t="n"/>
      <c r="R20" s="79" t="n"/>
      <c r="S20" s="79" t="n"/>
      <c r="T20" s="195" t="n"/>
    </row>
    <row r="21" ht="13.5" customHeight="1" s="426">
      <c r="A21" s="181" t="n"/>
      <c r="B21" s="116" t="n"/>
      <c r="C21" s="120" t="n"/>
      <c r="D21" s="118" t="inlineStr">
        <is>
          <t>InvalidOperationException</t>
        </is>
      </c>
      <c r="E21" s="91" t="n"/>
      <c r="F21" s="79" t="n"/>
      <c r="G21" s="79" t="n"/>
      <c r="H21" s="148" t="inlineStr">
        <is>
          <t>O</t>
        </is>
      </c>
      <c r="I21" s="148" t="n"/>
      <c r="J21" s="79" t="n"/>
      <c r="K21" s="148" t="n"/>
      <c r="L21" s="79" t="n"/>
      <c r="M21" s="79" t="n"/>
      <c r="N21" s="79" t="n"/>
      <c r="O21" s="79" t="n"/>
      <c r="P21" s="79" t="n"/>
      <c r="Q21" s="79" t="n"/>
      <c r="R21" s="79" t="n"/>
      <c r="S21" s="79" t="n"/>
      <c r="T21" s="195" t="n"/>
    </row>
    <row r="22" ht="13.5" customHeight="1" s="426">
      <c r="A22" s="181" t="n"/>
      <c r="B22" s="88" t="inlineStr">
        <is>
          <t>Log message</t>
        </is>
      </c>
      <c r="C22" s="89" t="n"/>
      <c r="D22" s="90" t="n"/>
      <c r="E22" s="91" t="n"/>
      <c r="F22" s="79" t="n"/>
      <c r="G22" s="79" t="n"/>
      <c r="H22" s="79" t="n"/>
      <c r="I22" s="79" t="n"/>
      <c r="J22" s="79" t="n"/>
      <c r="K22" s="79" t="n"/>
      <c r="L22" s="79" t="n"/>
      <c r="M22" s="79" t="n"/>
      <c r="N22" s="79" t="n"/>
      <c r="O22" s="79" t="n"/>
      <c r="P22" s="79" t="n"/>
      <c r="Q22" s="79" t="n"/>
      <c r="R22" s="79" t="n"/>
      <c r="S22" s="79" t="n"/>
      <c r="T22" s="195" t="n"/>
    </row>
    <row r="23" ht="13.5" customHeight="1" s="426" thickBot="1">
      <c r="A23" s="181" t="n"/>
      <c r="B23" s="88" t="n"/>
      <c r="C23" s="89" t="n"/>
      <c r="D23" s="90" t="inlineStr">
        <is>
          <t>"Simulated DB error"</t>
        </is>
      </c>
      <c r="E23" s="91" t="n"/>
      <c r="F23" s="148" t="n"/>
      <c r="G23" s="79" t="n"/>
      <c r="H23" s="148" t="inlineStr">
        <is>
          <t>O</t>
        </is>
      </c>
      <c r="I23" s="79" t="n"/>
      <c r="J23" s="79" t="n"/>
      <c r="K23" s="79" t="n"/>
      <c r="L23" s="79" t="n"/>
      <c r="M23" s="79" t="n"/>
      <c r="N23" s="79" t="n"/>
      <c r="O23" s="79" t="n"/>
      <c r="P23" s="79" t="n"/>
      <c r="Q23" s="79" t="n"/>
      <c r="R23" s="79" t="n"/>
      <c r="S23" s="79" t="n"/>
      <c r="T23" s="195" t="n"/>
    </row>
    <row r="24" ht="13.5" customHeight="1" s="426" thickTop="1">
      <c r="A24" s="182" t="inlineStr">
        <is>
          <t>Result</t>
        </is>
      </c>
      <c r="B24" s="331" t="inlineStr">
        <is>
          <t>Type(N : Normal, A : Abnormal, B : Boundary)</t>
        </is>
      </c>
      <c r="C24" s="472" t="n"/>
      <c r="D24" s="473" t="n"/>
      <c r="E24" s="331" t="n"/>
      <c r="F24" s="188" t="inlineStr">
        <is>
          <t>N</t>
        </is>
      </c>
      <c r="G24" s="188" t="inlineStr">
        <is>
          <t>N</t>
        </is>
      </c>
      <c r="H24" s="188" t="inlineStr">
        <is>
          <t>A</t>
        </is>
      </c>
      <c r="I24" s="188" t="n"/>
      <c r="J24" s="188" t="n"/>
      <c r="K24" s="188" t="n"/>
      <c r="L24" s="188" t="n"/>
      <c r="M24" s="188" t="n"/>
      <c r="N24" s="188" t="n"/>
      <c r="O24" s="188" t="n"/>
      <c r="P24" s="188" t="n"/>
      <c r="Q24" s="188" t="n"/>
      <c r="R24" s="188" t="n"/>
      <c r="S24" s="188" t="n"/>
      <c r="T24" s="198" t="n"/>
    </row>
    <row r="25" ht="13.5" customHeight="1" s="426">
      <c r="A25" s="174" t="n"/>
      <c r="B25" s="320" t="inlineStr">
        <is>
          <t>Passed/Failed</t>
        </is>
      </c>
      <c r="C25" s="449" t="n"/>
      <c r="D25" s="450" t="n"/>
      <c r="E25" s="95" t="n"/>
      <c r="F25" s="94" t="inlineStr">
        <is>
          <t>P</t>
        </is>
      </c>
      <c r="G25" s="94" t="inlineStr">
        <is>
          <t>P</t>
        </is>
      </c>
      <c r="H25" s="94" t="inlineStr">
        <is>
          <t>P</t>
        </is>
      </c>
      <c r="I25" s="94" t="n"/>
      <c r="J25" s="94" t="n"/>
      <c r="K25" s="94" t="n"/>
      <c r="L25" s="94" t="n"/>
      <c r="M25" s="94" t="n"/>
      <c r="N25" s="94" t="n"/>
      <c r="O25" s="94" t="n"/>
      <c r="P25" s="94" t="n"/>
      <c r="Q25" s="94" t="n"/>
      <c r="R25" s="94" t="n"/>
      <c r="S25" s="94" t="n"/>
      <c r="T25" s="199" t="n"/>
    </row>
    <row r="26" ht="71.5" customHeight="1" s="426">
      <c r="A26" s="174" t="n"/>
      <c r="B26" s="329" t="inlineStr">
        <is>
          <t>Executed Date</t>
        </is>
      </c>
      <c r="C26" s="449" t="n"/>
      <c r="D26" s="450" t="n"/>
      <c r="E26" s="96" t="n"/>
      <c r="F26" s="97" t="n">
        <v>45700</v>
      </c>
      <c r="G26" s="97" t="n">
        <v>45700</v>
      </c>
      <c r="H26" s="97" t="n">
        <v>45700</v>
      </c>
      <c r="I26" s="97" t="n"/>
      <c r="J26" s="97" t="n"/>
      <c r="K26" s="97" t="n"/>
      <c r="L26" s="97" t="n"/>
      <c r="M26" s="97" t="n"/>
      <c r="N26" s="97" t="n"/>
      <c r="O26" s="97" t="n"/>
      <c r="P26" s="97" t="n"/>
      <c r="Q26" s="97" t="n"/>
      <c r="R26" s="97" t="n"/>
      <c r="S26" s="97" t="n"/>
      <c r="T26" s="176" t="n"/>
    </row>
    <row r="27" ht="10.5" customHeight="1" s="426" thickBot="1">
      <c r="A27" s="177" t="n"/>
      <c r="B27" s="330" t="inlineStr">
        <is>
          <t>Defect ID</t>
        </is>
      </c>
      <c r="C27" s="474" t="n"/>
      <c r="D27" s="475" t="n"/>
      <c r="E27" s="178" t="n"/>
      <c r="F27" s="179" t="n"/>
      <c r="G27" s="179" t="n"/>
      <c r="H27" s="179" t="n"/>
      <c r="I27" s="179" t="n"/>
      <c r="J27" s="179" t="n"/>
      <c r="K27" s="179" t="n"/>
      <c r="L27" s="179" t="n"/>
      <c r="M27" s="179" t="n"/>
      <c r="N27" s="179" t="n"/>
      <c r="O27" s="179" t="n"/>
      <c r="P27" s="179" t="n"/>
      <c r="Q27" s="179" t="n"/>
      <c r="R27" s="179" t="n"/>
      <c r="S27" s="179" t="n"/>
      <c r="T27" s="180" t="n"/>
    </row>
    <row r="28" ht="10.5" customHeight="1" s="426" thickTop="1">
      <c r="A28" s="73" t="n"/>
      <c r="B28" s="69" t="n"/>
      <c r="C28" s="413" t="n"/>
      <c r="D28" s="69" t="n"/>
    </row>
  </sheetData>
  <mergeCells count="27">
    <mergeCell ref="F2:K2"/>
    <mergeCell ref="A6:B6"/>
    <mergeCell ref="C4:D4"/>
    <mergeCell ref="C2:E2"/>
    <mergeCell ref="L4:T4"/>
    <mergeCell ref="A7:B7"/>
    <mergeCell ref="C7:E7"/>
    <mergeCell ref="L6:N6"/>
    <mergeCell ref="A3:B3"/>
    <mergeCell ref="B24:D24"/>
    <mergeCell ref="A2:B2"/>
    <mergeCell ref="A5:B5"/>
    <mergeCell ref="B26:D26"/>
    <mergeCell ref="C3:E3"/>
    <mergeCell ref="O7:T7"/>
    <mergeCell ref="F4:K4"/>
    <mergeCell ref="B25:D25"/>
    <mergeCell ref="C6:E6"/>
    <mergeCell ref="A4:B4"/>
    <mergeCell ref="L2:T2"/>
    <mergeCell ref="O6:T6"/>
    <mergeCell ref="F6:K6"/>
    <mergeCell ref="B27:D27"/>
    <mergeCell ref="C5:T5"/>
    <mergeCell ref="F7:K7"/>
    <mergeCell ref="L3:T3"/>
    <mergeCell ref="F3:K3"/>
  </mergeCells>
  <dataValidations count="3">
    <dataValidation sqref="F10:T23" showDropDown="0" showInputMessage="1" showErrorMessage="1" allowBlank="1" type="list">
      <formula1>"O, "</formula1>
    </dataValidation>
    <dataValidation sqref="F25:T25" showDropDown="0" showInputMessage="1" showErrorMessage="1" allowBlank="1" type="list">
      <formula1>"P,F, "</formula1>
    </dataValidation>
    <dataValidation sqref="F24:T24" showDropDown="0" showInputMessage="1" showErrorMessage="1" allowBlank="1" type="list">
      <formula1>"N,A,B,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V29"/>
  <sheetViews>
    <sheetView topLeftCell="A5" zoomScale="115" zoomScaleNormal="115" workbookViewId="0">
      <selection activeCell="W18" sqref="W18"/>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User - 1</t>
        </is>
      </c>
      <c r="D2" s="439" t="n"/>
      <c r="E2" s="441" t="n"/>
      <c r="F2" s="410" t="inlineStr">
        <is>
          <t>Function Name</t>
        </is>
      </c>
      <c r="G2" s="496" t="n"/>
      <c r="H2" s="496" t="n"/>
      <c r="I2" s="496" t="n"/>
      <c r="J2" s="496" t="n"/>
      <c r="K2" s="496" t="n"/>
      <c r="L2" s="443" t="inlineStr">
        <is>
          <t>Get User By Email</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79</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COUNTIF(F26:HQ26,"P")</f>
        <v/>
      </c>
      <c r="B7" s="465" t="n"/>
      <c r="C7" s="466">
        <f>COUNTIF(F27:HQ27,"F")</f>
        <v/>
      </c>
      <c r="D7" s="467" t="n"/>
      <c r="E7" s="465" t="n"/>
      <c r="F7" s="468">
        <f>SUM(O7,- A7,- C7)</f>
        <v/>
      </c>
      <c r="G7" s="467" t="n"/>
      <c r="H7" s="467" t="n"/>
      <c r="I7" s="467" t="n"/>
      <c r="J7" s="467" t="n"/>
      <c r="K7" s="469" t="n"/>
      <c r="L7" s="342">
        <f>COUNTIF(E25:HQ25,"N")</f>
        <v/>
      </c>
      <c r="M7" s="342">
        <f>COUNTIF(E25:HQ25,"A")</f>
        <v/>
      </c>
      <c r="N7" s="342">
        <f>COUNTIF(E25:HQ25,"B")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inlineStr">
        <is>
          <t>O</t>
        </is>
      </c>
      <c r="I13" s="148" t="n"/>
      <c r="J13" s="148" t="n"/>
      <c r="K13" s="148" t="n"/>
      <c r="L13" s="148" t="n"/>
      <c r="M13" s="148" t="n"/>
      <c r="N13" s="148" t="n"/>
      <c r="O13" s="148" t="n"/>
      <c r="P13" s="148" t="n"/>
      <c r="Q13" s="148" t="n"/>
      <c r="R13" s="148" t="n"/>
      <c r="S13" s="148" t="n"/>
      <c r="T13" s="170" t="n"/>
    </row>
    <row r="14" ht="13.5" customHeight="1" s="426">
      <c r="A14" s="171" t="n"/>
      <c r="B14" s="75" t="n"/>
      <c r="C14" s="76" t="n"/>
      <c r="D14" s="77" t="inlineStr">
        <is>
          <t>No Entry in Database</t>
        </is>
      </c>
      <c r="E14" s="80" t="n"/>
      <c r="F14" s="148" t="n"/>
      <c r="G14" s="148" t="inlineStr">
        <is>
          <t>O</t>
        </is>
      </c>
      <c r="H14" s="148" t="n"/>
      <c r="I14" s="148" t="n"/>
      <c r="J14" s="148" t="n"/>
      <c r="K14" s="148" t="n"/>
      <c r="L14" s="148" t="n"/>
      <c r="M14" s="148" t="n"/>
      <c r="N14" s="148" t="n"/>
      <c r="O14" s="148" t="n"/>
      <c r="P14" s="148" t="n"/>
      <c r="Q14" s="148" t="n"/>
      <c r="R14" s="148" t="n"/>
      <c r="S14" s="148" t="n"/>
      <c r="T14" s="170" t="n"/>
    </row>
    <row r="15" ht="13.5" customHeight="1" s="426">
      <c r="A15" s="171" t="n"/>
      <c r="B15" s="75" t="inlineStr">
        <is>
          <t>Email</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c r="A16" s="171" t="n"/>
      <c r="B16" s="75" t="n"/>
      <c r="C16" s="76" t="n"/>
      <c r="D16" s="278" t="inlineStr">
        <is>
          <t>test@example.com</t>
        </is>
      </c>
      <c r="E16" s="80" t="n"/>
      <c r="F16" s="148" t="n"/>
      <c r="G16" s="148" t="n"/>
      <c r="H16" s="148" t="n"/>
      <c r="I16" s="148" t="n"/>
      <c r="J16" s="148" t="n"/>
      <c r="K16" s="148" t="n"/>
      <c r="L16" s="148" t="n"/>
      <c r="M16" s="148" t="n"/>
      <c r="N16" s="148" t="n"/>
      <c r="O16" s="148" t="n"/>
      <c r="P16" s="148" t="n"/>
      <c r="Q16" s="148" t="n"/>
      <c r="R16" s="148" t="n"/>
      <c r="S16" s="148" t="n"/>
      <c r="T16" s="170" t="n"/>
    </row>
    <row r="17" ht="13.5" customHeight="1" s="426" thickBot="1">
      <c r="A17" s="171" t="n"/>
      <c r="B17" s="75" t="n"/>
      <c r="C17" s="76" t="n"/>
      <c r="D17" s="278" t="inlineStr">
        <is>
          <t>nonexistent@example.com</t>
        </is>
      </c>
      <c r="E17" s="80" t="n"/>
      <c r="F17" s="148" t="inlineStr">
        <is>
          <t>O</t>
        </is>
      </c>
      <c r="G17" s="148" t="inlineStr">
        <is>
          <t>O</t>
        </is>
      </c>
      <c r="H17" s="148" t="inlineStr">
        <is>
          <t>O</t>
        </is>
      </c>
      <c r="I17" s="148" t="n"/>
      <c r="J17" s="148" t="n"/>
      <c r="K17" s="148" t="n"/>
      <c r="L17" s="148" t="n"/>
      <c r="M17" s="148" t="n"/>
      <c r="N17" s="148" t="n"/>
      <c r="O17" s="148" t="n"/>
      <c r="P17" s="148" t="n"/>
      <c r="Q17" s="148" t="n"/>
      <c r="R17" s="148" t="n"/>
      <c r="S17" s="148" t="n"/>
      <c r="T17" s="170" t="n"/>
    </row>
    <row r="18" ht="13.5" customHeight="1" s="426">
      <c r="A18" s="182" t="inlineStr">
        <is>
          <t>Confirm</t>
        </is>
      </c>
      <c r="B18" s="208" t="inlineStr">
        <is>
          <t>Return</t>
        </is>
      </c>
      <c r="C18" s="239" t="n"/>
      <c r="D18" s="210" t="n"/>
      <c r="E18" s="86" t="n"/>
      <c r="F18" s="87" t="n"/>
      <c r="G18" s="87" t="n"/>
      <c r="H18" s="87" t="n"/>
      <c r="I18" s="87" t="n"/>
      <c r="J18" s="87" t="n"/>
      <c r="K18" s="87" t="n"/>
      <c r="L18" s="87" t="n"/>
      <c r="M18" s="87" t="n"/>
      <c r="N18" s="87" t="n"/>
      <c r="O18" s="87" t="n"/>
      <c r="P18" s="87" t="n"/>
      <c r="Q18" s="87" t="n"/>
      <c r="R18" s="87" t="n"/>
      <c r="S18" s="87" t="n"/>
      <c r="T18" s="196" t="n"/>
    </row>
    <row r="19" ht="13.5" customHeight="1" s="426">
      <c r="A19" s="181" t="n"/>
      <c r="B19" s="208" t="n"/>
      <c r="C19" s="209" t="n"/>
      <c r="D19" s="210" t="inlineStr">
        <is>
          <t>User Detail</t>
        </is>
      </c>
      <c r="E19" s="91" t="n"/>
      <c r="F19" s="148" t="inlineStr">
        <is>
          <t>O</t>
        </is>
      </c>
      <c r="G19" s="79" t="n"/>
      <c r="H19" s="79" t="n"/>
      <c r="I19" s="79" t="n"/>
      <c r="J19" s="79" t="n"/>
      <c r="K19" s="79" t="n"/>
      <c r="L19" s="148" t="n"/>
      <c r="M19" s="79" t="n"/>
      <c r="N19" s="148" t="n"/>
      <c r="O19" s="79" t="n"/>
      <c r="P19" s="79" t="n"/>
      <c r="Q19" s="79" t="n"/>
      <c r="R19" s="79" t="n"/>
      <c r="S19" s="79" t="n"/>
      <c r="T19" s="195" t="n"/>
    </row>
    <row r="20" ht="13.5" customHeight="1" s="426">
      <c r="A20" s="181" t="n"/>
      <c r="B20" s="126" t="n"/>
      <c r="C20" s="89" t="n"/>
      <c r="D20" s="90" t="inlineStr">
        <is>
          <t>Null</t>
        </is>
      </c>
      <c r="E20" s="91" t="n"/>
      <c r="F20" s="79" t="n"/>
      <c r="G20" s="148" t="inlineStr">
        <is>
          <t>O</t>
        </is>
      </c>
      <c r="H20" s="148" t="n"/>
      <c r="I20" s="148" t="n"/>
      <c r="J20" s="148" t="n"/>
      <c r="K20" s="79" t="n"/>
      <c r="L20" s="79" t="n"/>
      <c r="M20" s="148" t="n"/>
      <c r="N20" s="79" t="n"/>
      <c r="O20" s="148" t="n"/>
      <c r="P20" s="79" t="n"/>
      <c r="Q20" s="79" t="n"/>
      <c r="R20" s="79" t="n"/>
      <c r="S20" s="79" t="n"/>
      <c r="T20" s="195" t="n"/>
    </row>
    <row r="21" ht="13.5" customHeight="1" s="426">
      <c r="A21" s="181" t="n"/>
      <c r="B21" s="116" t="inlineStr">
        <is>
          <t>Exception</t>
        </is>
      </c>
      <c r="C21" s="120" t="n"/>
      <c r="D21" s="118" t="n"/>
      <c r="E21" s="91" t="n"/>
      <c r="F21" s="79" t="n"/>
      <c r="G21" s="79" t="n"/>
      <c r="H21" s="79" t="n"/>
      <c r="I21" s="79" t="n"/>
      <c r="J21" s="79" t="n"/>
      <c r="K21" s="79" t="n"/>
      <c r="L21" s="79" t="n"/>
      <c r="M21" s="79" t="n"/>
      <c r="N21" s="79" t="n"/>
      <c r="O21" s="79" t="n"/>
      <c r="P21" s="79" t="n"/>
      <c r="Q21" s="79" t="n"/>
      <c r="R21" s="79" t="n"/>
      <c r="S21" s="79" t="n"/>
      <c r="T21" s="195" t="n"/>
    </row>
    <row r="22" ht="13.5" customHeight="1" s="426">
      <c r="A22" s="181" t="n"/>
      <c r="B22" s="116" t="n"/>
      <c r="C22" s="120" t="n"/>
      <c r="D22" s="118" t="inlineStr">
        <is>
          <t>InvalidOperationException</t>
        </is>
      </c>
      <c r="E22" s="91" t="n"/>
      <c r="F22" s="79" t="n"/>
      <c r="G22" s="79" t="n"/>
      <c r="H22" s="148" t="inlineStr">
        <is>
          <t>O</t>
        </is>
      </c>
      <c r="I22" s="148" t="n"/>
      <c r="J22" s="79" t="n"/>
      <c r="K22" s="148" t="n"/>
      <c r="L22" s="79" t="n"/>
      <c r="M22" s="79" t="n"/>
      <c r="N22" s="79" t="n"/>
      <c r="O22" s="79" t="n"/>
      <c r="P22" s="79" t="n"/>
      <c r="Q22" s="79" t="n"/>
      <c r="R22" s="79" t="n"/>
      <c r="S22" s="79" t="n"/>
      <c r="T22" s="195" t="n"/>
    </row>
    <row r="23" ht="13.5" customHeight="1" s="426">
      <c r="A23" s="181" t="n"/>
      <c r="B23" s="88" t="inlineStr">
        <is>
          <t>Log message</t>
        </is>
      </c>
      <c r="C23" s="89" t="n"/>
      <c r="D23" s="90" t="n"/>
      <c r="E23" s="91" t="n"/>
      <c r="F23" s="79" t="n"/>
      <c r="G23" s="79" t="n"/>
      <c r="H23" s="79" t="n"/>
      <c r="I23" s="79" t="n"/>
      <c r="J23" s="79" t="n"/>
      <c r="K23" s="79" t="n"/>
      <c r="L23" s="79" t="n"/>
      <c r="M23" s="79" t="n"/>
      <c r="N23" s="79" t="n"/>
      <c r="O23" s="79" t="n"/>
      <c r="P23" s="79" t="n"/>
      <c r="Q23" s="79" t="n"/>
      <c r="R23" s="79" t="n"/>
      <c r="S23" s="79" t="n"/>
      <c r="T23" s="195" t="n"/>
    </row>
    <row r="24" ht="13.5" customHeight="1" s="426" thickBot="1">
      <c r="A24" s="181" t="n"/>
      <c r="B24" s="88" t="n"/>
      <c r="C24" s="89" t="n"/>
      <c r="D24" s="90" t="inlineStr">
        <is>
          <t>"Simulated DB error"</t>
        </is>
      </c>
      <c r="E24" s="91" t="n"/>
      <c r="F24" s="148" t="n"/>
      <c r="G24" s="79" t="n"/>
      <c r="H24" s="148" t="inlineStr">
        <is>
          <t>O</t>
        </is>
      </c>
      <c r="I24" s="79" t="n"/>
      <c r="J24" s="79" t="n"/>
      <c r="K24" s="79" t="n"/>
      <c r="L24" s="79" t="n"/>
      <c r="M24" s="79" t="n"/>
      <c r="N24" s="79" t="n"/>
      <c r="O24" s="79" t="n"/>
      <c r="P24" s="79" t="n"/>
      <c r="Q24" s="79" t="n"/>
      <c r="R24" s="79" t="n"/>
      <c r="S24" s="79" t="n"/>
      <c r="T24" s="195" t="n"/>
    </row>
    <row r="25" ht="13.5" customHeight="1" s="426" thickTop="1">
      <c r="A25" s="182" t="inlineStr">
        <is>
          <t>Result</t>
        </is>
      </c>
      <c r="B25" s="331" t="inlineStr">
        <is>
          <t>Type(N : Normal, A : Abnormal, B : Boundary)</t>
        </is>
      </c>
      <c r="C25" s="472" t="n"/>
      <c r="D25" s="473" t="n"/>
      <c r="E25" s="331" t="n"/>
      <c r="F25" s="188" t="inlineStr">
        <is>
          <t>N</t>
        </is>
      </c>
      <c r="G25" s="188" t="inlineStr">
        <is>
          <t>N</t>
        </is>
      </c>
      <c r="H25" s="188" t="inlineStr">
        <is>
          <t>A</t>
        </is>
      </c>
      <c r="I25" s="188" t="n"/>
      <c r="J25" s="188" t="n"/>
      <c r="K25" s="188" t="n"/>
      <c r="L25" s="188" t="n"/>
      <c r="M25" s="188" t="n"/>
      <c r="N25" s="188" t="n"/>
      <c r="O25" s="188" t="n"/>
      <c r="P25" s="188" t="n"/>
      <c r="Q25" s="188" t="n"/>
      <c r="R25" s="188" t="n"/>
      <c r="S25" s="188" t="n"/>
      <c r="T25" s="198" t="n"/>
    </row>
    <row r="26" ht="13.5" customHeight="1" s="426">
      <c r="A26" s="174" t="n"/>
      <c r="B26" s="320" t="inlineStr">
        <is>
          <t>Passed/Failed</t>
        </is>
      </c>
      <c r="C26" s="449" t="n"/>
      <c r="D26" s="450" t="n"/>
      <c r="E26" s="95" t="n"/>
      <c r="F26" s="94" t="inlineStr">
        <is>
          <t>P</t>
        </is>
      </c>
      <c r="G26" s="94" t="inlineStr">
        <is>
          <t>P</t>
        </is>
      </c>
      <c r="H26" s="94" t="inlineStr">
        <is>
          <t>P</t>
        </is>
      </c>
      <c r="I26" s="94" t="n"/>
      <c r="J26" s="94" t="n"/>
      <c r="K26" s="94" t="n"/>
      <c r="L26" s="94" t="n"/>
      <c r="M26" s="94" t="n"/>
      <c r="N26" s="94" t="n"/>
      <c r="O26" s="94" t="n"/>
      <c r="P26" s="94" t="n"/>
      <c r="Q26" s="94" t="n"/>
      <c r="R26" s="94" t="n"/>
      <c r="S26" s="94" t="n"/>
      <c r="T26" s="199" t="n"/>
    </row>
    <row r="27" ht="71.5" customHeight="1" s="426">
      <c r="A27" s="174" t="n"/>
      <c r="B27" s="329" t="inlineStr">
        <is>
          <t>Executed Date</t>
        </is>
      </c>
      <c r="C27" s="449" t="n"/>
      <c r="D27" s="450" t="n"/>
      <c r="E27" s="96" t="n"/>
      <c r="F27" s="97" t="n">
        <v>45706</v>
      </c>
      <c r="G27" s="97" t="n">
        <v>45706</v>
      </c>
      <c r="H27" s="97" t="n">
        <v>45706</v>
      </c>
      <c r="I27" s="97" t="n"/>
      <c r="J27" s="97" t="n"/>
      <c r="K27" s="97" t="n"/>
      <c r="L27" s="97" t="n"/>
      <c r="M27" s="97" t="n"/>
      <c r="N27" s="97" t="n"/>
      <c r="O27" s="97" t="n"/>
      <c r="P27" s="97" t="n"/>
      <c r="Q27" s="97" t="n"/>
      <c r="R27" s="97" t="n"/>
      <c r="S27" s="97" t="n"/>
      <c r="T27" s="176" t="n"/>
    </row>
    <row r="28" ht="10.5" customHeight="1" s="426" thickBot="1">
      <c r="A28" s="177" t="n"/>
      <c r="B28" s="330" t="inlineStr">
        <is>
          <t>Defect ID</t>
        </is>
      </c>
      <c r="C28" s="474" t="n"/>
      <c r="D28" s="475" t="n"/>
      <c r="E28" s="178" t="n"/>
      <c r="F28" s="179" t="n"/>
      <c r="G28" s="179" t="n"/>
      <c r="H28" s="179" t="n"/>
      <c r="I28" s="179" t="n"/>
      <c r="J28" s="179" t="n"/>
      <c r="K28" s="179" t="n"/>
      <c r="L28" s="179" t="n"/>
      <c r="M28" s="179" t="n"/>
      <c r="N28" s="179" t="n"/>
      <c r="O28" s="179" t="n"/>
      <c r="P28" s="179" t="n"/>
      <c r="Q28" s="179" t="n"/>
      <c r="R28" s="179" t="n"/>
      <c r="S28" s="179" t="n"/>
      <c r="T28" s="180" t="n"/>
    </row>
    <row r="29" ht="10.5" customHeight="1" s="426" thickTop="1">
      <c r="A29" s="73" t="n"/>
      <c r="B29" s="69" t="n"/>
      <c r="C29" s="413" t="n"/>
      <c r="D29" s="69" t="n"/>
    </row>
  </sheetData>
  <mergeCells count="27">
    <mergeCell ref="F2:K2"/>
    <mergeCell ref="A6:B6"/>
    <mergeCell ref="C4:D4"/>
    <mergeCell ref="L4:T4"/>
    <mergeCell ref="B28:D28"/>
    <mergeCell ref="C2:E2"/>
    <mergeCell ref="A7:B7"/>
    <mergeCell ref="C7:E7"/>
    <mergeCell ref="L6:N6"/>
    <mergeCell ref="A3:B3"/>
    <mergeCell ref="A2:B2"/>
    <mergeCell ref="A5:B5"/>
    <mergeCell ref="B26:D26"/>
    <mergeCell ref="C3:E3"/>
    <mergeCell ref="O7:T7"/>
    <mergeCell ref="F4:K4"/>
    <mergeCell ref="B25:D25"/>
    <mergeCell ref="C6:E6"/>
    <mergeCell ref="A4:B4"/>
    <mergeCell ref="L2:T2"/>
    <mergeCell ref="O6:T6"/>
    <mergeCell ref="F6:K6"/>
    <mergeCell ref="B27:D27"/>
    <mergeCell ref="F7:K7"/>
    <mergeCell ref="C5:T5"/>
    <mergeCell ref="L3:T3"/>
    <mergeCell ref="F3:K3"/>
  </mergeCells>
  <dataValidations count="3">
    <dataValidation sqref="F25:T25" showDropDown="0" showInputMessage="1" showErrorMessage="1" allowBlank="1" type="list">
      <formula1>"N,A,B, "</formula1>
    </dataValidation>
    <dataValidation sqref="F26:T26" showDropDown="0" showInputMessage="1" showErrorMessage="1" allowBlank="1" type="list">
      <formula1>"P,F, "</formula1>
    </dataValidation>
    <dataValidation sqref="F10:T24" showDropDown="0" showInputMessage="1" showErrorMessage="1" allowBlank="1" type="list">
      <formula1>"O, "</formula1>
    </dataValidation>
  </dataValidations>
  <hyperlinks>
    <hyperlink xmlns:r="http://schemas.openxmlformats.org/officeDocument/2006/relationships" ref="D16" r:id="rId1"/>
    <hyperlink xmlns:r="http://schemas.openxmlformats.org/officeDocument/2006/relationships" ref="D17" r:id="rId2"/>
  </hyperlink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A1:V29"/>
  <sheetViews>
    <sheetView topLeftCell="A6" zoomScale="115" zoomScaleNormal="115" workbookViewId="0">
      <selection activeCell="AD29" sqref="AD29"/>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User - 7</t>
        </is>
      </c>
      <c r="D2" s="439" t="n"/>
      <c r="E2" s="441" t="n"/>
      <c r="F2" s="410" t="inlineStr">
        <is>
          <t>Function Name</t>
        </is>
      </c>
      <c r="G2" s="496" t="n"/>
      <c r="H2" s="496" t="n"/>
      <c r="I2" s="496" t="n"/>
      <c r="J2" s="496" t="n"/>
      <c r="K2" s="496" t="n"/>
      <c r="L2" s="443" t="inlineStr">
        <is>
          <t>Get User By Usercode</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77</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COUNTIF(F26:HQ26,"P")</f>
        <v/>
      </c>
      <c r="B7" s="465" t="n"/>
      <c r="C7" s="466">
        <f>COUNTIF(F27:HQ27,"F")</f>
        <v/>
      </c>
      <c r="D7" s="467" t="n"/>
      <c r="E7" s="465" t="n"/>
      <c r="F7" s="468">
        <f>SUM(O7,- A7,- C7)</f>
        <v/>
      </c>
      <c r="G7" s="467" t="n"/>
      <c r="H7" s="467" t="n"/>
      <c r="I7" s="467" t="n"/>
      <c r="J7" s="467" t="n"/>
      <c r="K7" s="469" t="n"/>
      <c r="L7" s="342">
        <f>COUNTIF(E25:HQ25,"N")</f>
        <v/>
      </c>
      <c r="M7" s="342">
        <f>COUNTIF(E25:HQ25,"A")</f>
        <v/>
      </c>
      <c r="N7" s="342">
        <f>COUNTIF(E25:HQ25,"B")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inlineStr">
        <is>
          <t>O</t>
        </is>
      </c>
      <c r="I13" s="148" t="n"/>
      <c r="J13" s="148" t="n"/>
      <c r="K13" s="148" t="n"/>
      <c r="L13" s="148" t="n"/>
      <c r="M13" s="148" t="n"/>
      <c r="N13" s="148" t="n"/>
      <c r="O13" s="148" t="n"/>
      <c r="P13" s="148" t="n"/>
      <c r="Q13" s="148" t="n"/>
      <c r="R13" s="148" t="n"/>
      <c r="S13" s="148" t="n"/>
      <c r="T13" s="170" t="n"/>
    </row>
    <row r="14" ht="13.5" customHeight="1" s="426">
      <c r="A14" s="171" t="n"/>
      <c r="B14" s="75" t="n"/>
      <c r="C14" s="76" t="n"/>
      <c r="D14" s="77" t="inlineStr">
        <is>
          <t>No Entry in Database</t>
        </is>
      </c>
      <c r="E14" s="80" t="n"/>
      <c r="F14" s="148" t="n"/>
      <c r="G14" s="148" t="inlineStr">
        <is>
          <t>O</t>
        </is>
      </c>
      <c r="H14" s="148" t="n"/>
      <c r="I14" s="148" t="n"/>
      <c r="J14" s="148" t="n"/>
      <c r="K14" s="148" t="n"/>
      <c r="L14" s="148" t="n"/>
      <c r="M14" s="148" t="n"/>
      <c r="N14" s="148" t="n"/>
      <c r="O14" s="148" t="n"/>
      <c r="P14" s="148" t="n"/>
      <c r="Q14" s="148" t="n"/>
      <c r="R14" s="148" t="n"/>
      <c r="S14" s="148" t="n"/>
      <c r="T14" s="170" t="n"/>
    </row>
    <row r="15" ht="13.5" customHeight="1" s="426">
      <c r="A15" s="171" t="n"/>
      <c r="B15" s="75" t="inlineStr">
        <is>
          <t>Usercode</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c r="A16" s="171" t="n"/>
      <c r="B16" s="75" t="n"/>
      <c r="C16" s="76" t="n"/>
      <c r="D16" s="210" t="inlineStr">
        <is>
          <t>"USER001"</t>
        </is>
      </c>
      <c r="E16" s="80" t="n"/>
      <c r="F16" s="148" t="inlineStr">
        <is>
          <t>O</t>
        </is>
      </c>
      <c r="G16" s="148" t="n"/>
      <c r="H16" s="148" t="inlineStr">
        <is>
          <t>O</t>
        </is>
      </c>
      <c r="I16" s="148" t="n"/>
      <c r="J16" s="148" t="n"/>
      <c r="K16" s="148" t="n"/>
      <c r="L16" s="148" t="n"/>
      <c r="M16" s="148" t="n"/>
      <c r="N16" s="148" t="n"/>
      <c r="O16" s="148" t="n"/>
      <c r="P16" s="148" t="n"/>
      <c r="Q16" s="148" t="n"/>
      <c r="R16" s="148" t="n"/>
      <c r="S16" s="148" t="n"/>
      <c r="T16" s="170" t="n"/>
    </row>
    <row r="17" ht="13.5" customHeight="1" s="426" thickBot="1">
      <c r="A17" s="171" t="n"/>
      <c r="B17" s="75" t="n"/>
      <c r="C17" s="76" t="n"/>
      <c r="D17" s="210" t="inlineStr">
        <is>
          <t>"INVALID_USER"</t>
        </is>
      </c>
      <c r="E17" s="80" t="n"/>
      <c r="F17" s="148" t="n"/>
      <c r="G17" s="148" t="inlineStr">
        <is>
          <t>O</t>
        </is>
      </c>
      <c r="H17" s="148" t="n"/>
      <c r="I17" s="148" t="n"/>
      <c r="J17" s="148" t="n"/>
      <c r="K17" s="148" t="n"/>
      <c r="L17" s="148" t="n"/>
      <c r="M17" s="148" t="n"/>
      <c r="N17" s="148" t="n"/>
      <c r="O17" s="148" t="n"/>
      <c r="P17" s="148" t="n"/>
      <c r="Q17" s="148" t="n"/>
      <c r="R17" s="148" t="n"/>
      <c r="S17" s="148" t="n"/>
      <c r="T17" s="170" t="n"/>
    </row>
    <row r="18" ht="13.5" customHeight="1" s="426">
      <c r="A18" s="182" t="inlineStr">
        <is>
          <t>Confirm</t>
        </is>
      </c>
      <c r="B18" s="208" t="inlineStr">
        <is>
          <t>Return</t>
        </is>
      </c>
      <c r="C18" s="239" t="n"/>
      <c r="D18" s="210" t="n"/>
      <c r="E18" s="86" t="n"/>
      <c r="F18" s="87" t="n"/>
      <c r="G18" s="87" t="n"/>
      <c r="H18" s="87" t="n"/>
      <c r="I18" s="87" t="n"/>
      <c r="J18" s="87" t="n"/>
      <c r="K18" s="87" t="n"/>
      <c r="L18" s="87" t="n"/>
      <c r="M18" s="87" t="n"/>
      <c r="N18" s="87" t="n"/>
      <c r="O18" s="87" t="n"/>
      <c r="P18" s="87" t="n"/>
      <c r="Q18" s="87" t="n"/>
      <c r="R18" s="87" t="n"/>
      <c r="S18" s="87" t="n"/>
      <c r="T18" s="196" t="n"/>
    </row>
    <row r="19" ht="13.5" customHeight="1" s="426">
      <c r="A19" s="181" t="n"/>
      <c r="B19" s="208" t="n"/>
      <c r="C19" s="209" t="n"/>
      <c r="D19" s="210" t="inlineStr">
        <is>
          <t>User Detail</t>
        </is>
      </c>
      <c r="E19" s="91" t="n"/>
      <c r="F19" s="148" t="inlineStr">
        <is>
          <t>O</t>
        </is>
      </c>
      <c r="G19" s="79" t="n"/>
      <c r="H19" s="79" t="n"/>
      <c r="I19" s="79" t="n"/>
      <c r="J19" s="79" t="n"/>
      <c r="K19" s="79" t="n"/>
      <c r="L19" s="148" t="n"/>
      <c r="M19" s="79" t="n"/>
      <c r="N19" s="148" t="n"/>
      <c r="O19" s="79" t="n"/>
      <c r="P19" s="79" t="n"/>
      <c r="Q19" s="79" t="n"/>
      <c r="R19" s="79" t="n"/>
      <c r="S19" s="79" t="n"/>
      <c r="T19" s="195" t="n"/>
    </row>
    <row r="20" ht="13.5" customHeight="1" s="426">
      <c r="A20" s="181" t="n"/>
      <c r="B20" s="126" t="n"/>
      <c r="C20" s="89" t="n"/>
      <c r="D20" s="90" t="inlineStr">
        <is>
          <t>Null</t>
        </is>
      </c>
      <c r="E20" s="91" t="n"/>
      <c r="F20" s="79" t="n"/>
      <c r="G20" s="148" t="inlineStr">
        <is>
          <t>O</t>
        </is>
      </c>
      <c r="H20" s="148" t="n"/>
      <c r="I20" s="148" t="n"/>
      <c r="J20" s="148" t="n"/>
      <c r="K20" s="79" t="n"/>
      <c r="L20" s="79" t="n"/>
      <c r="M20" s="148" t="n"/>
      <c r="N20" s="79" t="n"/>
      <c r="O20" s="148" t="n"/>
      <c r="P20" s="79" t="n"/>
      <c r="Q20" s="79" t="n"/>
      <c r="R20" s="79" t="n"/>
      <c r="S20" s="79" t="n"/>
      <c r="T20" s="195" t="n"/>
    </row>
    <row r="21" ht="13.5" customHeight="1" s="426">
      <c r="A21" s="181" t="n"/>
      <c r="B21" s="116" t="inlineStr">
        <is>
          <t>Exception</t>
        </is>
      </c>
      <c r="C21" s="120" t="n"/>
      <c r="D21" s="118" t="n"/>
      <c r="E21" s="91" t="n"/>
      <c r="F21" s="79" t="n"/>
      <c r="G21" s="79" t="n"/>
      <c r="H21" s="79" t="n"/>
      <c r="I21" s="79" t="n"/>
      <c r="J21" s="79" t="n"/>
      <c r="K21" s="79" t="n"/>
      <c r="L21" s="79" t="n"/>
      <c r="M21" s="79" t="n"/>
      <c r="N21" s="79" t="n"/>
      <c r="O21" s="79" t="n"/>
      <c r="P21" s="79" t="n"/>
      <c r="Q21" s="79" t="n"/>
      <c r="R21" s="79" t="n"/>
      <c r="S21" s="79" t="n"/>
      <c r="T21" s="195" t="n"/>
    </row>
    <row r="22" ht="13.5" customHeight="1" s="426">
      <c r="A22" s="181" t="n"/>
      <c r="B22" s="116" t="n"/>
      <c r="C22" s="120" t="n"/>
      <c r="D22" s="118" t="inlineStr">
        <is>
          <t>InvalidOperationException</t>
        </is>
      </c>
      <c r="E22" s="91" t="n"/>
      <c r="F22" s="79" t="n"/>
      <c r="G22" s="79" t="n"/>
      <c r="H22" s="148" t="inlineStr">
        <is>
          <t>O</t>
        </is>
      </c>
      <c r="I22" s="148" t="n"/>
      <c r="J22" s="79" t="n"/>
      <c r="K22" s="148" t="n"/>
      <c r="L22" s="79" t="n"/>
      <c r="M22" s="79" t="n"/>
      <c r="N22" s="79" t="n"/>
      <c r="O22" s="79" t="n"/>
      <c r="P22" s="79" t="n"/>
      <c r="Q22" s="79" t="n"/>
      <c r="R22" s="79" t="n"/>
      <c r="S22" s="79" t="n"/>
      <c r="T22" s="195" t="n"/>
    </row>
    <row r="23" ht="13.5" customHeight="1" s="426">
      <c r="A23" s="181" t="n"/>
      <c r="B23" s="88" t="inlineStr">
        <is>
          <t>Log message</t>
        </is>
      </c>
      <c r="C23" s="89" t="n"/>
      <c r="D23" s="90" t="n"/>
      <c r="E23" s="91" t="n"/>
      <c r="F23" s="79" t="n"/>
      <c r="G23" s="79" t="n"/>
      <c r="H23" s="79" t="n"/>
      <c r="I23" s="79" t="n"/>
      <c r="J23" s="79" t="n"/>
      <c r="K23" s="79" t="n"/>
      <c r="L23" s="79" t="n"/>
      <c r="M23" s="79" t="n"/>
      <c r="N23" s="79" t="n"/>
      <c r="O23" s="79" t="n"/>
      <c r="P23" s="79" t="n"/>
      <c r="Q23" s="79" t="n"/>
      <c r="R23" s="79" t="n"/>
      <c r="S23" s="79" t="n"/>
      <c r="T23" s="195" t="n"/>
    </row>
    <row r="24" ht="13.5" customHeight="1" s="426" thickBot="1">
      <c r="A24" s="181" t="n"/>
      <c r="B24" s="88" t="n"/>
      <c r="C24" s="89" t="n"/>
      <c r="D24" s="90" t="inlineStr">
        <is>
          <t>"Simulated DB error"</t>
        </is>
      </c>
      <c r="E24" s="91" t="n"/>
      <c r="F24" s="148" t="n"/>
      <c r="G24" s="79" t="n"/>
      <c r="H24" s="148" t="inlineStr">
        <is>
          <t>O</t>
        </is>
      </c>
      <c r="I24" s="79" t="n"/>
      <c r="J24" s="79" t="n"/>
      <c r="K24" s="79" t="n"/>
      <c r="L24" s="79" t="n"/>
      <c r="M24" s="79" t="n"/>
      <c r="N24" s="79" t="n"/>
      <c r="O24" s="79" t="n"/>
      <c r="P24" s="79" t="n"/>
      <c r="Q24" s="79" t="n"/>
      <c r="R24" s="79" t="n"/>
      <c r="S24" s="79" t="n"/>
      <c r="T24" s="195" t="n"/>
    </row>
    <row r="25" ht="13.5" customHeight="1" s="426" thickTop="1">
      <c r="A25" s="182" t="inlineStr">
        <is>
          <t>Result</t>
        </is>
      </c>
      <c r="B25" s="331" t="inlineStr">
        <is>
          <t>Type(N : Normal, A : Abnormal, B : Boundary)</t>
        </is>
      </c>
      <c r="C25" s="472" t="n"/>
      <c r="D25" s="473" t="n"/>
      <c r="E25" s="331" t="n"/>
      <c r="F25" s="188" t="inlineStr">
        <is>
          <t>N</t>
        </is>
      </c>
      <c r="G25" s="188" t="inlineStr">
        <is>
          <t>N</t>
        </is>
      </c>
      <c r="H25" s="188" t="inlineStr">
        <is>
          <t>A</t>
        </is>
      </c>
      <c r="I25" s="188" t="n"/>
      <c r="J25" s="188" t="n"/>
      <c r="K25" s="188" t="n"/>
      <c r="L25" s="188" t="n"/>
      <c r="M25" s="188" t="n"/>
      <c r="N25" s="188" t="n"/>
      <c r="O25" s="188" t="n"/>
      <c r="P25" s="188" t="n"/>
      <c r="Q25" s="188" t="n"/>
      <c r="R25" s="188" t="n"/>
      <c r="S25" s="188" t="n"/>
      <c r="T25" s="198" t="n"/>
    </row>
    <row r="26" ht="13.5" customHeight="1" s="426">
      <c r="A26" s="174" t="n"/>
      <c r="B26" s="320" t="inlineStr">
        <is>
          <t>Passed/Failed</t>
        </is>
      </c>
      <c r="C26" s="449" t="n"/>
      <c r="D26" s="450" t="n"/>
      <c r="E26" s="95" t="n"/>
      <c r="F26" s="94" t="inlineStr">
        <is>
          <t>P</t>
        </is>
      </c>
      <c r="G26" s="94" t="inlineStr">
        <is>
          <t>P</t>
        </is>
      </c>
      <c r="H26" s="94" t="inlineStr">
        <is>
          <t>P</t>
        </is>
      </c>
      <c r="I26" s="94" t="n"/>
      <c r="J26" s="94" t="n"/>
      <c r="K26" s="94" t="n"/>
      <c r="L26" s="94" t="n"/>
      <c r="M26" s="94" t="n"/>
      <c r="N26" s="94" t="n"/>
      <c r="O26" s="94" t="n"/>
      <c r="P26" s="94" t="n"/>
      <c r="Q26" s="94" t="n"/>
      <c r="R26" s="94" t="n"/>
      <c r="S26" s="94" t="n"/>
      <c r="T26" s="199" t="n"/>
    </row>
    <row r="27" ht="71.5" customHeight="1" s="426">
      <c r="A27" s="174" t="n"/>
      <c r="B27" s="329" t="inlineStr">
        <is>
          <t>Executed Date</t>
        </is>
      </c>
      <c r="C27" s="449" t="n"/>
      <c r="D27" s="450" t="n"/>
      <c r="E27" s="96" t="n"/>
      <c r="F27" s="97" t="n">
        <v>45706</v>
      </c>
      <c r="G27" s="97" t="n">
        <v>45706</v>
      </c>
      <c r="H27" s="97" t="n">
        <v>45706</v>
      </c>
      <c r="I27" s="97" t="n"/>
      <c r="J27" s="97" t="n"/>
      <c r="K27" s="97" t="n"/>
      <c r="L27" s="97" t="n"/>
      <c r="M27" s="97" t="n"/>
      <c r="N27" s="97" t="n"/>
      <c r="O27" s="97" t="n"/>
      <c r="P27" s="97" t="n"/>
      <c r="Q27" s="97" t="n"/>
      <c r="R27" s="97" t="n"/>
      <c r="S27" s="97" t="n"/>
      <c r="T27" s="176" t="n"/>
    </row>
    <row r="28" ht="10.5" customHeight="1" s="426" thickBot="1">
      <c r="A28" s="177" t="n"/>
      <c r="B28" s="330" t="inlineStr">
        <is>
          <t>Defect ID</t>
        </is>
      </c>
      <c r="C28" s="474" t="n"/>
      <c r="D28" s="475" t="n"/>
      <c r="E28" s="178" t="n"/>
      <c r="F28" s="179" t="n"/>
      <c r="G28" s="179" t="n"/>
      <c r="H28" s="179" t="n"/>
      <c r="I28" s="179" t="n"/>
      <c r="J28" s="179" t="n"/>
      <c r="K28" s="179" t="n"/>
      <c r="L28" s="179" t="n"/>
      <c r="M28" s="179" t="n"/>
      <c r="N28" s="179" t="n"/>
      <c r="O28" s="179" t="n"/>
      <c r="P28" s="179" t="n"/>
      <c r="Q28" s="179" t="n"/>
      <c r="R28" s="179" t="n"/>
      <c r="S28" s="179" t="n"/>
      <c r="T28" s="180" t="n"/>
    </row>
    <row r="29" ht="10.5" customHeight="1" s="426" thickTop="1">
      <c r="A29" s="73" t="n"/>
      <c r="B29" s="69" t="n"/>
      <c r="C29" s="413" t="n"/>
      <c r="D29" s="69" t="n"/>
    </row>
  </sheetData>
  <mergeCells count="27">
    <mergeCell ref="F2:K2"/>
    <mergeCell ref="A6:B6"/>
    <mergeCell ref="C4:D4"/>
    <mergeCell ref="L4:T4"/>
    <mergeCell ref="B28:D28"/>
    <mergeCell ref="C2:E2"/>
    <mergeCell ref="A7:B7"/>
    <mergeCell ref="C7:E7"/>
    <mergeCell ref="L6:N6"/>
    <mergeCell ref="A3:B3"/>
    <mergeCell ref="A2:B2"/>
    <mergeCell ref="A5:B5"/>
    <mergeCell ref="B26:D26"/>
    <mergeCell ref="C3:E3"/>
    <mergeCell ref="O7:T7"/>
    <mergeCell ref="F4:K4"/>
    <mergeCell ref="B25:D25"/>
    <mergeCell ref="C6:E6"/>
    <mergeCell ref="A4:B4"/>
    <mergeCell ref="L2:T2"/>
    <mergeCell ref="O6:T6"/>
    <mergeCell ref="F6:K6"/>
    <mergeCell ref="B27:D27"/>
    <mergeCell ref="F7:K7"/>
    <mergeCell ref="C5:T5"/>
    <mergeCell ref="L3:T3"/>
    <mergeCell ref="F3:K3"/>
  </mergeCells>
  <dataValidations count="3">
    <dataValidation sqref="F10:T24" showDropDown="0" showInputMessage="1" showErrorMessage="1" allowBlank="1" type="list">
      <formula1>"O, "</formula1>
    </dataValidation>
    <dataValidation sqref="F26:T26" showDropDown="0" showInputMessage="1" showErrorMessage="1" allowBlank="1" type="list">
      <formula1>"P,F, "</formula1>
    </dataValidation>
    <dataValidation sqref="F25:T25" showDropDown="0" showInputMessage="1" showErrorMessage="1" allowBlank="1" type="list">
      <formula1>"N,A,B,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A1:V49"/>
  <sheetViews>
    <sheetView topLeftCell="A29" zoomScale="115" zoomScaleNormal="115" workbookViewId="0">
      <selection activeCell="X40" sqref="X40"/>
    </sheetView>
  </sheetViews>
  <sheetFormatPr baseColWidth="8" defaultColWidth="9" defaultRowHeight="13.5" customHeight="1"/>
  <cols>
    <col width="8.1796875" customWidth="1" style="69" min="1" max="1"/>
    <col width="13.453125" customWidth="1" style="73" min="2" max="2"/>
    <col width="10.81640625" customWidth="1" style="69" min="3" max="3"/>
    <col width="32.72656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User - 4</t>
        </is>
      </c>
      <c r="D2" s="439" t="n"/>
      <c r="E2" s="441" t="n"/>
      <c r="F2" s="410" t="inlineStr">
        <is>
          <t>Function Name</t>
        </is>
      </c>
      <c r="G2" s="496" t="n"/>
      <c r="H2" s="496" t="n"/>
      <c r="I2" s="496" t="n"/>
      <c r="J2" s="496" t="n"/>
      <c r="K2" s="496" t="n"/>
      <c r="L2" s="443" t="inlineStr">
        <is>
          <t>Edit Password</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235</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COUNTIF(F46:HQ46,"P")</f>
        <v/>
      </c>
      <c r="B7" s="465" t="n"/>
      <c r="C7" s="466">
        <f>COUNTIF(F47:HQ47,"F")</f>
        <v/>
      </c>
      <c r="D7" s="467" t="n"/>
      <c r="E7" s="465" t="n"/>
      <c r="F7" s="468">
        <f>SUM(O7,- A7,- C7)</f>
        <v/>
      </c>
      <c r="G7" s="467" t="n"/>
      <c r="H7" s="467" t="n"/>
      <c r="I7" s="467" t="n"/>
      <c r="J7" s="467" t="n"/>
      <c r="K7" s="469" t="n"/>
      <c r="L7" s="342">
        <f>COUNTIF(E45:HQ45,"N")</f>
        <v/>
      </c>
      <c r="M7" s="342">
        <f>COUNTIF(E45:HQ45,"A")</f>
        <v/>
      </c>
      <c r="N7" s="342">
        <f>COUNTIF(E45:HQ45,"B")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inlineStr">
        <is>
          <t>UTCID07</t>
        </is>
      </c>
      <c r="M9" s="168" t="inlineStr">
        <is>
          <t>UTCID08</t>
        </is>
      </c>
      <c r="N9" s="168" t="inlineStr">
        <is>
          <t>UTCID09</t>
        </is>
      </c>
      <c r="O9" s="168" t="inlineStr">
        <is>
          <t>UTCID10</t>
        </is>
      </c>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inlineStr">
        <is>
          <t>O</t>
        </is>
      </c>
      <c r="K11" s="148" t="inlineStr">
        <is>
          <t>O</t>
        </is>
      </c>
      <c r="L11" s="148" t="inlineStr">
        <is>
          <t>O</t>
        </is>
      </c>
      <c r="M11" s="148" t="inlineStr">
        <is>
          <t>O</t>
        </is>
      </c>
      <c r="N11" s="148" t="inlineStr">
        <is>
          <t>O</t>
        </is>
      </c>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inlineStr">
        <is>
          <t>O</t>
        </is>
      </c>
      <c r="M12" s="148" t="inlineStr">
        <is>
          <t>O</t>
        </is>
      </c>
      <c r="N12" s="148" t="inlineStr">
        <is>
          <t>O</t>
        </is>
      </c>
      <c r="O12" s="148" t="inlineStr">
        <is>
          <t>O</t>
        </is>
      </c>
      <c r="P12" s="148" t="n"/>
      <c r="Q12" s="148" t="n"/>
      <c r="R12" s="148" t="n"/>
      <c r="S12" s="148" t="n"/>
      <c r="T12" s="170" t="n"/>
    </row>
    <row r="13" ht="13.5" customHeight="1" s="426">
      <c r="A13" s="171" t="n"/>
      <c r="B13" s="75" t="n"/>
      <c r="C13" s="76" t="n"/>
      <c r="D13" s="77" t="inlineStr">
        <is>
          <t>Have Email in Database</t>
        </is>
      </c>
      <c r="E13" s="80" t="n"/>
      <c r="F13" s="148" t="inlineStr">
        <is>
          <t>O</t>
        </is>
      </c>
      <c r="G13" s="148" t="n"/>
      <c r="H13" s="148" t="n"/>
      <c r="I13" s="148" t="inlineStr">
        <is>
          <t>O</t>
        </is>
      </c>
      <c r="J13" s="148" t="inlineStr">
        <is>
          <t>O</t>
        </is>
      </c>
      <c r="K13" s="148" t="n"/>
      <c r="L13" s="148" t="inlineStr">
        <is>
          <t>O</t>
        </is>
      </c>
      <c r="M13" s="148" t="inlineStr">
        <is>
          <t>O</t>
        </is>
      </c>
      <c r="N13" s="148" t="inlineStr">
        <is>
          <t>O</t>
        </is>
      </c>
      <c r="O13" s="148" t="n"/>
      <c r="P13" s="148" t="n"/>
      <c r="Q13" s="148" t="n"/>
      <c r="R13" s="148" t="n"/>
      <c r="S13" s="148" t="n"/>
      <c r="T13" s="170" t="n"/>
    </row>
    <row r="14" ht="13.5" customHeight="1" s="426">
      <c r="A14" s="171" t="n"/>
      <c r="B14" s="75" t="n"/>
      <c r="C14" s="76" t="n"/>
      <c r="D14" s="77" t="inlineStr">
        <is>
          <t>No Email in Database</t>
        </is>
      </c>
      <c r="E14" s="80" t="n"/>
      <c r="F14" s="148" t="n"/>
      <c r="G14" s="148" t="inlineStr">
        <is>
          <t>O</t>
        </is>
      </c>
      <c r="H14" s="148" t="inlineStr">
        <is>
          <t>O</t>
        </is>
      </c>
      <c r="I14" s="148" t="n"/>
      <c r="J14" s="148" t="n"/>
      <c r="K14" s="148" t="inlineStr">
        <is>
          <t>O</t>
        </is>
      </c>
      <c r="L14" s="148" t="n"/>
      <c r="M14" s="148" t="n"/>
      <c r="N14" s="148" t="n"/>
      <c r="O14" s="148" t="inlineStr">
        <is>
          <t>O</t>
        </is>
      </c>
      <c r="P14" s="148" t="n"/>
      <c r="Q14" s="148" t="n"/>
      <c r="R14" s="148" t="n"/>
      <c r="S14" s="148" t="n"/>
      <c r="T14" s="170" t="n"/>
    </row>
    <row r="15" ht="13.5" customHeight="1" s="426">
      <c r="A15" s="171" t="n"/>
      <c r="B15" s="75" t="inlineStr">
        <is>
          <t>Email</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c r="A16" s="171" t="n"/>
      <c r="B16" s="75" t="n"/>
      <c r="C16" s="76" t="n"/>
      <c r="D16" s="278" t="inlineStr">
        <is>
          <t>test@example.com</t>
        </is>
      </c>
      <c r="E16" s="80" t="n"/>
      <c r="F16" s="148" t="inlineStr">
        <is>
          <t>O</t>
        </is>
      </c>
      <c r="G16" s="148" t="n"/>
      <c r="H16" s="148" t="inlineStr">
        <is>
          <t>O</t>
        </is>
      </c>
      <c r="I16" s="148" t="inlineStr">
        <is>
          <t>O</t>
        </is>
      </c>
      <c r="J16" s="148" t="inlineStr">
        <is>
          <t>O</t>
        </is>
      </c>
      <c r="K16" s="148" t="n"/>
      <c r="L16" s="148" t="inlineStr">
        <is>
          <t>O</t>
        </is>
      </c>
      <c r="M16" s="148" t="inlineStr">
        <is>
          <t>O</t>
        </is>
      </c>
      <c r="N16" s="148" t="inlineStr">
        <is>
          <t>O</t>
        </is>
      </c>
      <c r="O16" s="148" t="inlineStr">
        <is>
          <t>O</t>
        </is>
      </c>
      <c r="P16" s="148" t="n"/>
      <c r="Q16" s="148" t="n"/>
      <c r="R16" s="148" t="n"/>
      <c r="S16" s="148" t="n"/>
      <c r="T16" s="170" t="n"/>
    </row>
    <row r="17" ht="13.5" customHeight="1" s="426">
      <c r="A17" s="171" t="n"/>
      <c r="B17" s="75" t="n"/>
      <c r="C17" s="76" t="n"/>
      <c r="D17" s="77" t="inlineStr">
        <is>
          <t>null</t>
        </is>
      </c>
      <c r="E17" s="80" t="n"/>
      <c r="F17" s="148" t="n"/>
      <c r="G17" s="148" t="inlineStr">
        <is>
          <t>O</t>
        </is>
      </c>
      <c r="H17" s="148" t="n"/>
      <c r="I17" s="148" t="n"/>
      <c r="J17" s="148" t="n"/>
      <c r="K17" s="148" t="inlineStr">
        <is>
          <t>O</t>
        </is>
      </c>
      <c r="L17" s="148" t="n"/>
      <c r="M17" s="148" t="n"/>
      <c r="N17" s="148" t="n"/>
      <c r="O17" s="148" t="n"/>
      <c r="P17" s="148" t="n"/>
      <c r="Q17" s="148" t="n"/>
      <c r="R17" s="148" t="n"/>
      <c r="S17" s="148" t="n"/>
      <c r="T17" s="170" t="n"/>
    </row>
    <row r="18" ht="13.5" customHeight="1" s="426">
      <c r="A18" s="171" t="n"/>
      <c r="B18" s="75" t="inlineStr">
        <is>
          <t>Password</t>
        </is>
      </c>
      <c r="C18" s="76" t="n"/>
      <c r="D18" s="77" t="n"/>
      <c r="E18" s="80" t="n"/>
      <c r="F18" s="148" t="n"/>
      <c r="G18" s="148" t="n"/>
      <c r="H18" s="148" t="n"/>
      <c r="I18" s="148" t="n"/>
      <c r="J18" s="148" t="n"/>
      <c r="K18" s="148" t="n"/>
      <c r="L18" s="148" t="n"/>
      <c r="M18" s="148" t="n"/>
      <c r="N18" s="148" t="n"/>
      <c r="O18" s="148" t="n"/>
      <c r="P18" s="148" t="n"/>
      <c r="Q18" s="148" t="n"/>
      <c r="R18" s="148" t="n"/>
      <c r="S18" s="148" t="n"/>
      <c r="T18" s="170" t="n"/>
    </row>
    <row r="19" ht="13.5" customHeight="1" s="426">
      <c r="A19" s="171" t="n"/>
      <c r="B19" s="75" t="n"/>
      <c r="C19" s="76" t="n"/>
      <c r="D19" s="77" t="inlineStr">
        <is>
          <t>"newPassword"</t>
        </is>
      </c>
      <c r="E19" s="80" t="n"/>
      <c r="F19" s="148" t="inlineStr">
        <is>
          <t>O</t>
        </is>
      </c>
      <c r="G19" s="148" t="n"/>
      <c r="H19" s="148" t="inlineStr">
        <is>
          <t>O</t>
        </is>
      </c>
      <c r="I19" s="148" t="inlineStr">
        <is>
          <t>O</t>
        </is>
      </c>
      <c r="J19" s="148" t="inlineStr">
        <is>
          <t>O</t>
        </is>
      </c>
      <c r="K19" s="148" t="inlineStr">
        <is>
          <t>O</t>
        </is>
      </c>
      <c r="L19" s="148" t="n"/>
      <c r="M19" s="148" t="inlineStr">
        <is>
          <t>O</t>
        </is>
      </c>
      <c r="N19" s="148" t="inlineStr">
        <is>
          <t>O</t>
        </is>
      </c>
      <c r="O19" s="148" t="inlineStr">
        <is>
          <t>O</t>
        </is>
      </c>
      <c r="P19" s="148" t="n"/>
      <c r="Q19" s="148" t="n"/>
      <c r="R19" s="148" t="n"/>
      <c r="S19" s="148" t="n"/>
      <c r="T19" s="170" t="n"/>
    </row>
    <row r="20" ht="13.5" customHeight="1" s="426">
      <c r="A20" s="171" t="n"/>
      <c r="B20" s="75" t="n"/>
      <c r="C20" s="76" t="n"/>
      <c r="D20" s="77" t="inlineStr">
        <is>
          <t>null</t>
        </is>
      </c>
      <c r="E20" s="80" t="n"/>
      <c r="F20" s="148" t="n"/>
      <c r="G20" s="148" t="inlineStr">
        <is>
          <t>O</t>
        </is>
      </c>
      <c r="H20" s="148" t="n"/>
      <c r="I20" s="148" t="n"/>
      <c r="J20" s="148" t="n"/>
      <c r="K20" s="148" t="n"/>
      <c r="L20" s="148" t="inlineStr">
        <is>
          <t>O</t>
        </is>
      </c>
      <c r="M20" s="148" t="n"/>
      <c r="N20" s="148" t="n"/>
      <c r="O20" s="148" t="n"/>
      <c r="P20" s="148" t="n"/>
      <c r="Q20" s="148" t="n"/>
      <c r="R20" s="148" t="n"/>
      <c r="S20" s="148" t="n"/>
      <c r="T20" s="170" t="n"/>
    </row>
    <row r="21" ht="13.5" customHeight="1" s="426">
      <c r="A21" s="171" t="n"/>
      <c r="B21" s="75" t="inlineStr">
        <is>
          <t>OldPassword</t>
        </is>
      </c>
      <c r="C21" s="76" t="n"/>
      <c r="D21" s="77" t="n"/>
      <c r="E21" s="80" t="n"/>
      <c r="F21" s="148" t="n"/>
      <c r="G21" s="148" t="n"/>
      <c r="H21" s="148" t="n"/>
      <c r="I21" s="148" t="n"/>
      <c r="J21" s="148" t="n"/>
      <c r="K21" s="148" t="n"/>
      <c r="L21" s="148" t="n"/>
      <c r="M21" s="148" t="n"/>
      <c r="N21" s="148" t="n"/>
      <c r="O21" s="148" t="n"/>
      <c r="P21" s="148" t="n"/>
      <c r="Q21" s="148" t="n"/>
      <c r="R21" s="148" t="n"/>
      <c r="S21" s="148" t="n"/>
      <c r="T21" s="170" t="n"/>
    </row>
    <row r="22" ht="13.5" customHeight="1" s="426">
      <c r="A22" s="171" t="n"/>
      <c r="B22" s="75" t="n"/>
      <c r="C22" s="76" t="n"/>
      <c r="D22" s="77" t="inlineStr">
        <is>
          <t>"oldPassword"</t>
        </is>
      </c>
      <c r="E22" s="80" t="n"/>
      <c r="F22" s="148" t="inlineStr">
        <is>
          <t>O</t>
        </is>
      </c>
      <c r="G22" s="148" t="n"/>
      <c r="H22" s="148" t="inlineStr">
        <is>
          <t>O</t>
        </is>
      </c>
      <c r="I22" s="148" t="n"/>
      <c r="J22" s="148" t="inlineStr">
        <is>
          <t>O</t>
        </is>
      </c>
      <c r="K22" s="148" t="inlineStr">
        <is>
          <t>O</t>
        </is>
      </c>
      <c r="L22" s="148" t="inlineStr">
        <is>
          <t>O</t>
        </is>
      </c>
      <c r="M22" s="148" t="n"/>
      <c r="N22" s="148" t="inlineStr">
        <is>
          <t>O</t>
        </is>
      </c>
      <c r="O22" s="148" t="inlineStr">
        <is>
          <t>O</t>
        </is>
      </c>
      <c r="P22" s="148" t="n"/>
      <c r="Q22" s="148" t="n"/>
      <c r="R22" s="148" t="n"/>
      <c r="S22" s="148" t="n"/>
      <c r="T22" s="170" t="n"/>
    </row>
    <row r="23" ht="13.5" customHeight="1" s="426">
      <c r="A23" s="171" t="n"/>
      <c r="B23" s="75" t="n"/>
      <c r="C23" s="76" t="n"/>
      <c r="D23" s="77" t="inlineStr">
        <is>
          <t>"wrongOldPassword"</t>
        </is>
      </c>
      <c r="E23" s="80" t="n"/>
      <c r="F23" s="148" t="n"/>
      <c r="G23" s="148" t="n"/>
      <c r="H23" s="148" t="n"/>
      <c r="I23" s="148" t="inlineStr">
        <is>
          <t>O</t>
        </is>
      </c>
      <c r="J23" s="148" t="n"/>
      <c r="K23" s="148" t="n"/>
      <c r="L23" s="148" t="n"/>
      <c r="M23" s="148" t="n"/>
      <c r="N23" s="148" t="n"/>
      <c r="O23" s="148" t="n"/>
      <c r="P23" s="148" t="n"/>
      <c r="Q23" s="148" t="n"/>
      <c r="R23" s="148" t="n"/>
      <c r="S23" s="148" t="n"/>
      <c r="T23" s="170" t="n"/>
    </row>
    <row r="24" ht="13.5" customHeight="1" s="426">
      <c r="A24" s="171" t="n"/>
      <c r="B24" s="75" t="n"/>
      <c r="C24" s="76" t="n"/>
      <c r="D24" s="77" t="inlineStr">
        <is>
          <t>null</t>
        </is>
      </c>
      <c r="E24" s="80" t="n"/>
      <c r="F24" s="148" t="n"/>
      <c r="G24" s="148" t="inlineStr">
        <is>
          <t>O</t>
        </is>
      </c>
      <c r="H24" s="148" t="n"/>
      <c r="I24" s="148" t="n"/>
      <c r="J24" s="148" t="n"/>
      <c r="K24" s="148" t="n"/>
      <c r="L24" s="148" t="n"/>
      <c r="M24" s="148" t="inlineStr">
        <is>
          <t>O</t>
        </is>
      </c>
      <c r="N24" s="148" t="n"/>
      <c r="O24" s="148" t="n"/>
      <c r="P24" s="148" t="n"/>
      <c r="Q24" s="148" t="n"/>
      <c r="R24" s="148" t="n"/>
      <c r="S24" s="148" t="n"/>
      <c r="T24" s="170" t="n"/>
    </row>
    <row r="25" ht="13.5" customHeight="1" s="426">
      <c r="A25" s="171" t="n"/>
      <c r="B25" s="75" t="inlineStr">
        <is>
          <t>RePassword</t>
        </is>
      </c>
      <c r="C25" s="76" t="n"/>
      <c r="D25" s="77" t="n"/>
      <c r="E25" s="80" t="n"/>
      <c r="F25" s="148" t="n"/>
      <c r="G25" s="148" t="n"/>
      <c r="H25" s="148" t="n"/>
      <c r="I25" s="148" t="n"/>
      <c r="J25" s="148" t="n"/>
      <c r="K25" s="148" t="n"/>
      <c r="L25" s="148" t="n"/>
      <c r="M25" s="148" t="n"/>
      <c r="N25" s="148" t="n"/>
      <c r="O25" s="148" t="n"/>
      <c r="P25" s="148" t="n"/>
      <c r="Q25" s="148" t="n"/>
      <c r="R25" s="148" t="n"/>
      <c r="S25" s="148" t="n"/>
      <c r="T25" s="170" t="n"/>
    </row>
    <row r="26" ht="13.5" customHeight="1" s="426">
      <c r="A26" s="171" t="n"/>
      <c r="B26" s="75" t="n"/>
      <c r="C26" s="76" t="n"/>
      <c r="D26" s="77" t="inlineStr">
        <is>
          <t>"newPassword"</t>
        </is>
      </c>
      <c r="E26" s="80" t="n"/>
      <c r="F26" s="148" t="inlineStr">
        <is>
          <t>O</t>
        </is>
      </c>
      <c r="G26" s="148" t="n"/>
      <c r="H26" s="148" t="inlineStr">
        <is>
          <t>O</t>
        </is>
      </c>
      <c r="I26" s="148" t="inlineStr">
        <is>
          <t>O</t>
        </is>
      </c>
      <c r="J26" s="148" t="n"/>
      <c r="K26" s="148" t="inlineStr">
        <is>
          <t>O</t>
        </is>
      </c>
      <c r="L26" s="148" t="inlineStr">
        <is>
          <t>O</t>
        </is>
      </c>
      <c r="M26" s="148" t="inlineStr">
        <is>
          <t>O</t>
        </is>
      </c>
      <c r="N26" s="148" t="n"/>
      <c r="O26" s="148" t="inlineStr">
        <is>
          <t>O</t>
        </is>
      </c>
      <c r="P26" s="148" t="n"/>
      <c r="Q26" s="148" t="n"/>
      <c r="R26" s="148" t="n"/>
      <c r="S26" s="148" t="n"/>
      <c r="T26" s="170" t="n"/>
    </row>
    <row r="27" ht="13.5" customHeight="1" s="426">
      <c r="A27" s="171" t="n"/>
      <c r="B27" s="75" t="n"/>
      <c r="C27" s="76" t="n"/>
      <c r="D27" s="77" t="inlineStr">
        <is>
          <t>"differentPassword"</t>
        </is>
      </c>
      <c r="E27" s="80" t="n"/>
      <c r="F27" s="148" t="n"/>
      <c r="G27" s="148" t="n"/>
      <c r="H27" s="148" t="n"/>
      <c r="I27" s="148" t="n"/>
      <c r="J27" s="148" t="inlineStr">
        <is>
          <t>O</t>
        </is>
      </c>
      <c r="K27" s="148" t="n"/>
      <c r="L27" s="148" t="n"/>
      <c r="M27" s="148" t="n"/>
      <c r="N27" s="148" t="n"/>
      <c r="O27" s="148" t="n"/>
      <c r="P27" s="148" t="n"/>
      <c r="Q27" s="148" t="n"/>
      <c r="R27" s="148" t="n"/>
      <c r="S27" s="148" t="n"/>
      <c r="T27" s="170" t="n"/>
    </row>
    <row r="28" ht="13.5" customHeight="1" s="426" thickBot="1">
      <c r="A28" s="171" t="n"/>
      <c r="B28" s="75" t="n"/>
      <c r="C28" s="76" t="n"/>
      <c r="D28" s="77" t="inlineStr">
        <is>
          <t>null</t>
        </is>
      </c>
      <c r="E28" s="80" t="n"/>
      <c r="F28" s="148" t="n"/>
      <c r="G28" s="148" t="inlineStr">
        <is>
          <t>O</t>
        </is>
      </c>
      <c r="H28" s="148" t="n"/>
      <c r="I28" s="148" t="n"/>
      <c r="J28" s="148" t="n"/>
      <c r="K28" s="148" t="n"/>
      <c r="L28" s="148" t="n"/>
      <c r="M28" s="148" t="n"/>
      <c r="N28" s="148" t="inlineStr">
        <is>
          <t>O</t>
        </is>
      </c>
      <c r="O28" s="148" t="n"/>
      <c r="P28" s="148" t="n"/>
      <c r="Q28" s="148" t="n"/>
      <c r="R28" s="148" t="n"/>
      <c r="S28" s="148" t="n"/>
      <c r="T28" s="170" t="n"/>
    </row>
    <row r="29" ht="13.5" customHeight="1" s="426">
      <c r="A29" s="182" t="inlineStr">
        <is>
          <t>Confirm</t>
        </is>
      </c>
      <c r="B29" s="208" t="inlineStr">
        <is>
          <t>Return</t>
        </is>
      </c>
      <c r="C29" s="239" t="n"/>
      <c r="D29" s="210" t="n"/>
      <c r="E29" s="86" t="n"/>
      <c r="F29" s="87" t="n"/>
      <c r="G29" s="87" t="n"/>
      <c r="H29" s="87" t="n"/>
      <c r="I29" s="87" t="n"/>
      <c r="J29" s="87" t="n"/>
      <c r="K29" s="87" t="n"/>
      <c r="L29" s="87" t="n"/>
      <c r="M29" s="87" t="n"/>
      <c r="N29" s="87" t="n"/>
      <c r="O29" s="87" t="n"/>
      <c r="P29" s="87" t="n"/>
      <c r="Q29" s="87" t="n"/>
      <c r="R29" s="87" t="n"/>
      <c r="S29" s="87" t="n"/>
      <c r="T29" s="196" t="n"/>
    </row>
    <row r="30" ht="13.5" customHeight="1" s="426">
      <c r="A30" s="181" t="n"/>
      <c r="B30" s="208" t="n"/>
      <c r="C30" s="209" t="n"/>
      <c r="D30" s="210" t="inlineStr">
        <is>
          <t>T</t>
        </is>
      </c>
      <c r="E30" s="91" t="n"/>
      <c r="F30" s="148" t="inlineStr">
        <is>
          <t>O</t>
        </is>
      </c>
      <c r="G30" s="79" t="n"/>
      <c r="H30" s="79" t="n"/>
      <c r="I30" s="79" t="n"/>
      <c r="J30" s="79" t="n"/>
      <c r="K30" s="79" t="n"/>
      <c r="L30" s="148" t="n"/>
      <c r="M30" s="79" t="n"/>
      <c r="N30" s="148" t="n"/>
      <c r="O30" s="79" t="n"/>
      <c r="P30" s="79" t="n"/>
      <c r="Q30" s="79" t="n"/>
      <c r="R30" s="79" t="n"/>
      <c r="S30" s="79" t="n"/>
      <c r="T30" s="195" t="n"/>
    </row>
    <row r="31" ht="13.5" customHeight="1" s="426">
      <c r="A31" s="181" t="n"/>
      <c r="B31" s="126" t="n"/>
      <c r="C31" s="89" t="n"/>
      <c r="D31" s="90" t="inlineStr">
        <is>
          <t>F</t>
        </is>
      </c>
      <c r="E31" s="91" t="n"/>
      <c r="F31" s="79" t="n"/>
      <c r="G31" s="148" t="inlineStr">
        <is>
          <t>O</t>
        </is>
      </c>
      <c r="H31" s="148" t="inlineStr">
        <is>
          <t>O</t>
        </is>
      </c>
      <c r="I31" s="148" t="inlineStr">
        <is>
          <t>O</t>
        </is>
      </c>
      <c r="J31" s="148" t="inlineStr">
        <is>
          <t>O</t>
        </is>
      </c>
      <c r="K31" s="148" t="inlineStr">
        <is>
          <t>O</t>
        </is>
      </c>
      <c r="L31" s="148" t="inlineStr">
        <is>
          <t>O</t>
        </is>
      </c>
      <c r="M31" s="148" t="inlineStr">
        <is>
          <t>O</t>
        </is>
      </c>
      <c r="N31" s="148" t="inlineStr">
        <is>
          <t>O</t>
        </is>
      </c>
      <c r="O31" s="148" t="n"/>
      <c r="P31" s="79" t="n"/>
      <c r="Q31" s="79" t="n"/>
      <c r="R31" s="79" t="n"/>
      <c r="S31" s="79" t="n"/>
      <c r="T31" s="195" t="n"/>
    </row>
    <row r="32" ht="13.5" customHeight="1" s="426">
      <c r="A32" s="181" t="n"/>
      <c r="B32" s="116" t="inlineStr">
        <is>
          <t>Exception</t>
        </is>
      </c>
      <c r="C32" s="120" t="n"/>
      <c r="D32" s="118" t="n"/>
      <c r="E32" s="91" t="n"/>
      <c r="F32" s="79" t="n"/>
      <c r="G32" s="79" t="n"/>
      <c r="H32" s="79" t="n"/>
      <c r="I32" s="79" t="n"/>
      <c r="J32" s="79" t="n"/>
      <c r="K32" s="79" t="n"/>
      <c r="L32" s="148" t="n"/>
      <c r="M32" s="79" t="n"/>
      <c r="N32" s="79" t="n"/>
      <c r="O32" s="79" t="n"/>
      <c r="P32" s="79" t="n"/>
      <c r="Q32" s="79" t="n"/>
      <c r="R32" s="79" t="n"/>
      <c r="S32" s="79" t="n"/>
      <c r="T32" s="195" t="n"/>
    </row>
    <row r="33" ht="13.5" customHeight="1" s="426">
      <c r="A33" s="181" t="n"/>
      <c r="B33" s="116" t="n"/>
      <c r="C33" s="120" t="n"/>
      <c r="D33" s="118" t="inlineStr">
        <is>
          <t>InvalidOperationException</t>
        </is>
      </c>
      <c r="E33" s="91" t="n"/>
      <c r="F33" s="79" t="n"/>
      <c r="G33" s="79" t="n"/>
      <c r="H33" s="148" t="n"/>
      <c r="I33" s="148" t="n"/>
      <c r="J33" s="79" t="n"/>
      <c r="K33" s="148" t="n"/>
      <c r="L33" s="79" t="n"/>
      <c r="M33" s="79" t="n"/>
      <c r="N33" s="79" t="n"/>
      <c r="O33" s="148" t="inlineStr">
        <is>
          <t>O</t>
        </is>
      </c>
      <c r="P33" s="79" t="n"/>
      <c r="Q33" s="79" t="n"/>
      <c r="R33" s="79" t="n"/>
      <c r="S33" s="79" t="n"/>
      <c r="T33" s="195" t="n"/>
    </row>
    <row r="34" ht="13.5" customHeight="1" s="426">
      <c r="A34" s="181" t="n"/>
      <c r="B34" s="88" t="inlineStr">
        <is>
          <t>Log message</t>
        </is>
      </c>
      <c r="C34" s="89" t="n"/>
      <c r="D34" s="90" t="n"/>
      <c r="E34" s="91" t="n"/>
      <c r="F34" s="79" t="n"/>
      <c r="G34" s="79" t="n"/>
      <c r="H34" s="79" t="n"/>
      <c r="I34" s="79" t="n"/>
      <c r="J34" s="79" t="n"/>
      <c r="K34" s="79" t="n"/>
      <c r="L34" s="79" t="n"/>
      <c r="M34" s="79" t="n"/>
      <c r="N34" s="79" t="n"/>
      <c r="O34" s="79" t="n"/>
      <c r="P34" s="79" t="n"/>
      <c r="Q34" s="79" t="n"/>
      <c r="R34" s="79" t="n"/>
      <c r="S34" s="79" t="n"/>
      <c r="T34" s="195" t="n"/>
    </row>
    <row r="35" ht="13.5" customHeight="1" s="426">
      <c r="A35" s="181" t="n"/>
      <c r="B35" s="88" t="n"/>
      <c r="C35" s="89" t="n"/>
      <c r="D35" s="90" t="inlineStr">
        <is>
          <t>"Expected EditPassword to return true for a valid password change."</t>
        </is>
      </c>
      <c r="E35" s="91" t="n"/>
      <c r="F35" s="148" t="inlineStr">
        <is>
          <t>O</t>
        </is>
      </c>
      <c r="G35" s="79" t="n"/>
      <c r="H35" s="79" t="n"/>
      <c r="I35" s="79" t="n"/>
      <c r="J35" s="79" t="n"/>
      <c r="K35" s="79" t="n"/>
      <c r="L35" s="79" t="n"/>
      <c r="M35" s="79" t="n"/>
      <c r="N35" s="79" t="n"/>
      <c r="O35" s="79" t="n"/>
      <c r="P35" s="79" t="n"/>
      <c r="Q35" s="79" t="n"/>
      <c r="R35" s="79" t="n"/>
      <c r="S35" s="79" t="n"/>
      <c r="T35" s="195" t="n"/>
    </row>
    <row r="36" ht="13.5" customHeight="1" s="426">
      <c r="A36" s="181" t="n"/>
      <c r="B36" s="88" t="n"/>
      <c r="C36" s="89" t="n"/>
      <c r="D36" s="90" t="inlineStr">
        <is>
          <t>"Expected EditPassword to return false for a null user DTO."</t>
        </is>
      </c>
      <c r="E36" s="91" t="n"/>
      <c r="F36" s="79" t="n"/>
      <c r="G36" s="148" t="inlineStr">
        <is>
          <t>O</t>
        </is>
      </c>
      <c r="H36" s="79" t="n"/>
      <c r="I36" s="79" t="n"/>
      <c r="J36" s="79" t="n"/>
      <c r="K36" s="79" t="n"/>
      <c r="L36" s="79" t="n"/>
      <c r="M36" s="79" t="n"/>
      <c r="N36" s="79" t="n"/>
      <c r="O36" s="79" t="n"/>
      <c r="P36" s="79" t="n"/>
      <c r="Q36" s="79" t="n"/>
      <c r="R36" s="79" t="n"/>
      <c r="S36" s="79" t="n"/>
      <c r="T36" s="195" t="n"/>
    </row>
    <row r="37" ht="13.5" customHeight="1" s="426">
      <c r="A37" s="181" t="n"/>
      <c r="B37" s="88" t="n"/>
      <c r="C37" s="89" t="n"/>
      <c r="D37" s="90" t="inlineStr">
        <is>
          <t>"Expected EditPassword to return false for a non existence email."</t>
        </is>
      </c>
      <c r="E37" s="91" t="n"/>
      <c r="F37" s="79" t="n"/>
      <c r="G37" s="79" t="n"/>
      <c r="H37" s="148" t="inlineStr">
        <is>
          <t>O</t>
        </is>
      </c>
      <c r="I37" s="79" t="n"/>
      <c r="J37" s="79" t="n"/>
      <c r="K37" s="79" t="n"/>
      <c r="L37" s="79" t="n"/>
      <c r="M37" s="79" t="n"/>
      <c r="N37" s="79" t="n"/>
      <c r="O37" s="79" t="n"/>
      <c r="P37" s="79" t="n"/>
      <c r="Q37" s="79" t="n"/>
      <c r="R37" s="79" t="n"/>
      <c r="S37" s="79" t="n"/>
      <c r="T37" s="195" t="n"/>
    </row>
    <row r="38" ht="13.5" customHeight="1" s="426">
      <c r="A38" s="181" t="n"/>
      <c r="B38" s="88" t="n"/>
      <c r="C38" s="89" t="n"/>
      <c r="D38" s="90" t="inlineStr">
        <is>
          <t>"Expected EditPassword to return false for an incorrect old password."</t>
        </is>
      </c>
      <c r="E38" s="91" t="n"/>
      <c r="F38" s="79" t="n"/>
      <c r="G38" s="79" t="n"/>
      <c r="H38" s="79" t="n"/>
      <c r="I38" s="148" t="inlineStr">
        <is>
          <t>O</t>
        </is>
      </c>
      <c r="J38" s="79" t="n"/>
      <c r="K38" s="79" t="n"/>
      <c r="L38" s="79" t="n"/>
      <c r="M38" s="79" t="n"/>
      <c r="N38" s="79" t="n"/>
      <c r="O38" s="79" t="n"/>
      <c r="P38" s="79" t="n"/>
      <c r="Q38" s="79" t="n"/>
      <c r="R38" s="79" t="n"/>
      <c r="S38" s="79" t="n"/>
      <c r="T38" s="195" t="n"/>
    </row>
    <row r="39" ht="13.5" customHeight="1" s="426">
      <c r="A39" s="181" t="n"/>
      <c r="B39" s="88" t="n"/>
      <c r="C39" s="89" t="n"/>
      <c r="D39" s="90" t="inlineStr">
        <is>
          <t>"Expected EditPassword to return false when new password and re-password do not match."</t>
        </is>
      </c>
      <c r="E39" s="91" t="n"/>
      <c r="F39" s="79" t="n"/>
      <c r="G39" s="79" t="n"/>
      <c r="H39" s="79" t="n"/>
      <c r="I39" s="79" t="n"/>
      <c r="J39" s="148" t="inlineStr">
        <is>
          <t>O</t>
        </is>
      </c>
      <c r="K39" s="79" t="n"/>
      <c r="L39" s="79" t="n"/>
      <c r="M39" s="79" t="n"/>
      <c r="N39" s="79" t="n"/>
      <c r="O39" s="79" t="n"/>
      <c r="P39" s="79" t="n"/>
      <c r="Q39" s="79" t="n"/>
      <c r="R39" s="79" t="n"/>
      <c r="S39" s="79" t="n"/>
      <c r="T39" s="195" t="n"/>
    </row>
    <row r="40" ht="13.5" customHeight="1" s="426">
      <c r="A40" s="181" t="n"/>
      <c r="B40" s="88" t="n"/>
      <c r="C40" s="89" t="n"/>
      <c r="D40" s="90" t="inlineStr">
        <is>
          <t>"Expected EditPassword to return false for an empty email."</t>
        </is>
      </c>
      <c r="E40" s="91" t="n"/>
      <c r="F40" s="79" t="n"/>
      <c r="G40" s="79" t="n"/>
      <c r="H40" s="79" t="n"/>
      <c r="I40" s="79" t="n"/>
      <c r="J40" s="79" t="n"/>
      <c r="K40" s="148" t="inlineStr">
        <is>
          <t>O</t>
        </is>
      </c>
      <c r="L40" s="79" t="n"/>
      <c r="M40" s="79" t="n"/>
      <c r="N40" s="79" t="n"/>
      <c r="O40" s="79" t="n"/>
      <c r="P40" s="79" t="n"/>
      <c r="Q40" s="79" t="n"/>
      <c r="R40" s="79" t="n"/>
      <c r="S40" s="79" t="n"/>
      <c r="T40" s="195" t="n"/>
    </row>
    <row r="41" ht="13.5" customHeight="1" s="426">
      <c r="A41" s="181" t="n"/>
      <c r="B41" s="88" t="n"/>
      <c r="C41" s="89" t="n"/>
      <c r="D41" s="90" t="inlineStr">
        <is>
          <t>"Expected EditPassword to return false for an empty old password."</t>
        </is>
      </c>
      <c r="E41" s="91" t="n"/>
      <c r="F41" s="79" t="n"/>
      <c r="G41" s="79" t="n"/>
      <c r="H41" s="79" t="n"/>
      <c r="I41" s="79" t="n"/>
      <c r="J41" s="79" t="n"/>
      <c r="K41" s="79" t="n"/>
      <c r="L41" s="148" t="inlineStr">
        <is>
          <t>O</t>
        </is>
      </c>
      <c r="M41" s="79" t="n"/>
      <c r="N41" s="79" t="n"/>
      <c r="O41" s="79" t="n"/>
      <c r="P41" s="79" t="n"/>
      <c r="Q41" s="79" t="n"/>
      <c r="R41" s="79" t="n"/>
      <c r="S41" s="79" t="n"/>
      <c r="T41" s="195" t="n"/>
    </row>
    <row r="42" ht="13.5" customHeight="1" s="426">
      <c r="A42" s="181" t="n"/>
      <c r="B42" s="88" t="n"/>
      <c r="C42" s="89" t="n"/>
      <c r="D42" s="90" t="inlineStr">
        <is>
          <t>"Expected EditPassword to return false for an empty new password."</t>
        </is>
      </c>
      <c r="E42" s="91" t="n"/>
      <c r="F42" s="79" t="n"/>
      <c r="G42" s="79" t="n"/>
      <c r="H42" s="79" t="n"/>
      <c r="I42" s="79" t="n"/>
      <c r="J42" s="79" t="n"/>
      <c r="K42" s="79" t="n"/>
      <c r="L42" s="79" t="n"/>
      <c r="M42" s="148" t="inlineStr">
        <is>
          <t>O</t>
        </is>
      </c>
      <c r="N42" s="79" t="n"/>
      <c r="O42" s="79" t="n"/>
      <c r="P42" s="79" t="n"/>
      <c r="Q42" s="79" t="n"/>
      <c r="R42" s="79" t="n"/>
      <c r="S42" s="79" t="n"/>
      <c r="T42" s="195" t="n"/>
    </row>
    <row r="43" ht="13.5" customHeight="1" s="426">
      <c r="A43" s="181" t="n"/>
      <c r="B43" s="88" t="n"/>
      <c r="C43" s="89" t="n"/>
      <c r="D43" s="90" t="inlineStr">
        <is>
          <t>Expected EditPassword to return false for an empty repassword.</t>
        </is>
      </c>
      <c r="E43" s="91" t="n"/>
      <c r="F43" s="79" t="n"/>
      <c r="G43" s="79" t="n"/>
      <c r="H43" s="79" t="n"/>
      <c r="I43" s="79" t="n"/>
      <c r="J43" s="79" t="n"/>
      <c r="K43" s="79" t="n"/>
      <c r="L43" s="79" t="n"/>
      <c r="M43" s="79" t="n"/>
      <c r="N43" s="148" t="inlineStr">
        <is>
          <t>O</t>
        </is>
      </c>
      <c r="O43" s="79" t="n"/>
      <c r="P43" s="79" t="n"/>
      <c r="Q43" s="79" t="n"/>
      <c r="R43" s="79" t="n"/>
      <c r="S43" s="79" t="n"/>
      <c r="T43" s="195" t="n"/>
    </row>
    <row r="44" ht="13.5" customHeight="1" s="426" thickBot="1">
      <c r="A44" s="181" t="n"/>
      <c r="B44" s="88" t="n"/>
      <c r="C44" s="89" t="n"/>
      <c r="D44" s="90" t="inlineStr">
        <is>
          <t>"Simulated DB error"</t>
        </is>
      </c>
      <c r="E44" s="91" t="n"/>
      <c r="F44" s="148" t="n"/>
      <c r="G44" s="79" t="n"/>
      <c r="H44" s="148" t="n"/>
      <c r="I44" s="79" t="n"/>
      <c r="J44" s="79" t="n"/>
      <c r="K44" s="79" t="n"/>
      <c r="L44" s="79" t="n"/>
      <c r="M44" s="79" t="n"/>
      <c r="N44" s="79" t="n"/>
      <c r="O44" s="148" t="inlineStr">
        <is>
          <t>O</t>
        </is>
      </c>
      <c r="P44" s="79" t="n"/>
      <c r="Q44" s="79" t="n"/>
      <c r="R44" s="79" t="n"/>
      <c r="S44" s="79" t="n"/>
      <c r="T44" s="195" t="n"/>
    </row>
    <row r="45" ht="13.5" customHeight="1" s="426" thickTop="1">
      <c r="A45" s="182" t="inlineStr">
        <is>
          <t>Result</t>
        </is>
      </c>
      <c r="B45" s="331" t="inlineStr">
        <is>
          <t>Type(N : Normal, A : Abnormal, B : Boundary)</t>
        </is>
      </c>
      <c r="C45" s="472" t="n"/>
      <c r="D45" s="473" t="n"/>
      <c r="E45" s="331" t="n"/>
      <c r="F45" s="188" t="inlineStr">
        <is>
          <t>N</t>
        </is>
      </c>
      <c r="G45" s="188" t="inlineStr">
        <is>
          <t>A</t>
        </is>
      </c>
      <c r="H45" s="188" t="inlineStr">
        <is>
          <t>A</t>
        </is>
      </c>
      <c r="I45" s="188" t="inlineStr">
        <is>
          <t>A</t>
        </is>
      </c>
      <c r="J45" s="188" t="inlineStr">
        <is>
          <t>A</t>
        </is>
      </c>
      <c r="K45" s="188" t="inlineStr">
        <is>
          <t>A</t>
        </is>
      </c>
      <c r="L45" s="188" t="inlineStr">
        <is>
          <t>A</t>
        </is>
      </c>
      <c r="M45" s="188" t="inlineStr">
        <is>
          <t>A</t>
        </is>
      </c>
      <c r="N45" s="188" t="inlineStr">
        <is>
          <t>A</t>
        </is>
      </c>
      <c r="O45" s="188" t="inlineStr">
        <is>
          <t>A</t>
        </is>
      </c>
      <c r="P45" s="188" t="n"/>
      <c r="Q45" s="188" t="n"/>
      <c r="R45" s="188" t="n"/>
      <c r="S45" s="188" t="n"/>
      <c r="T45" s="198" t="n"/>
    </row>
    <row r="46" ht="13.5" customHeight="1" s="426">
      <c r="A46" s="174" t="n"/>
      <c r="B46" s="320" t="inlineStr">
        <is>
          <t>Passed/Failed</t>
        </is>
      </c>
      <c r="C46" s="449" t="n"/>
      <c r="D46" s="450" t="n"/>
      <c r="E46" s="95" t="n"/>
      <c r="F46" s="94" t="inlineStr">
        <is>
          <t>P</t>
        </is>
      </c>
      <c r="G46" s="94" t="inlineStr">
        <is>
          <t>P</t>
        </is>
      </c>
      <c r="H46" s="94" t="inlineStr">
        <is>
          <t>P</t>
        </is>
      </c>
      <c r="I46" s="94" t="inlineStr">
        <is>
          <t>P</t>
        </is>
      </c>
      <c r="J46" s="94" t="inlineStr">
        <is>
          <t>P</t>
        </is>
      </c>
      <c r="K46" s="94" t="inlineStr">
        <is>
          <t>P</t>
        </is>
      </c>
      <c r="L46" s="94" t="inlineStr">
        <is>
          <t>P</t>
        </is>
      </c>
      <c r="M46" s="94" t="inlineStr">
        <is>
          <t>P</t>
        </is>
      </c>
      <c r="N46" s="94" t="inlineStr">
        <is>
          <t>P</t>
        </is>
      </c>
      <c r="O46" s="94" t="inlineStr">
        <is>
          <t>P</t>
        </is>
      </c>
      <c r="P46" s="94" t="n"/>
      <c r="Q46" s="94" t="n"/>
      <c r="R46" s="94" t="n"/>
      <c r="S46" s="94" t="n"/>
      <c r="T46" s="199" t="n"/>
    </row>
    <row r="47" ht="71.5" customHeight="1" s="426">
      <c r="A47" s="174" t="n"/>
      <c r="B47" s="329" t="inlineStr">
        <is>
          <t>Executed Date</t>
        </is>
      </c>
      <c r="C47" s="449" t="n"/>
      <c r="D47" s="450" t="n"/>
      <c r="E47" s="96" t="n"/>
      <c r="F47" s="97" t="n">
        <v>45706</v>
      </c>
      <c r="G47" s="97" t="n">
        <v>45706</v>
      </c>
      <c r="H47" s="97" t="n">
        <v>45706</v>
      </c>
      <c r="I47" s="97" t="n">
        <v>45706</v>
      </c>
      <c r="J47" s="97" t="n">
        <v>45706</v>
      </c>
      <c r="K47" s="97" t="n">
        <v>45706</v>
      </c>
      <c r="L47" s="97" t="n">
        <v>45706</v>
      </c>
      <c r="M47" s="97" t="n">
        <v>45706</v>
      </c>
      <c r="N47" s="97" t="n">
        <v>45706</v>
      </c>
      <c r="O47" s="97" t="n">
        <v>45706</v>
      </c>
      <c r="P47" s="97" t="n"/>
      <c r="Q47" s="97" t="n"/>
      <c r="R47" s="97" t="n"/>
      <c r="S47" s="97" t="n"/>
      <c r="T47" s="176" t="n"/>
    </row>
    <row r="48" ht="10.5" customHeight="1" s="426" thickBot="1">
      <c r="A48" s="177" t="n"/>
      <c r="B48" s="330" t="inlineStr">
        <is>
          <t>Defect ID</t>
        </is>
      </c>
      <c r="C48" s="474" t="n"/>
      <c r="D48" s="475" t="n"/>
      <c r="E48" s="178" t="n"/>
      <c r="F48" s="179" t="n"/>
      <c r="G48" s="179" t="n"/>
      <c r="H48" s="179" t="n"/>
      <c r="I48" s="179" t="n"/>
      <c r="J48" s="179" t="n"/>
      <c r="K48" s="179" t="n"/>
      <c r="L48" s="179" t="n"/>
      <c r="M48" s="179" t="n"/>
      <c r="N48" s="179" t="n"/>
      <c r="O48" s="179" t="n"/>
      <c r="P48" s="179" t="n"/>
      <c r="Q48" s="179" t="n"/>
      <c r="R48" s="179" t="n"/>
      <c r="S48" s="179" t="n"/>
      <c r="T48" s="180" t="n"/>
    </row>
    <row r="49" ht="10.5" customHeight="1" s="426" thickTop="1">
      <c r="A49" s="73" t="n"/>
      <c r="B49" s="69" t="n"/>
      <c r="C49" s="413" t="n"/>
      <c r="D49" s="69" t="n"/>
    </row>
  </sheetData>
  <mergeCells count="27">
    <mergeCell ref="B48:D48"/>
    <mergeCell ref="F2:K2"/>
    <mergeCell ref="A6:B6"/>
    <mergeCell ref="C4:D4"/>
    <mergeCell ref="L4:T4"/>
    <mergeCell ref="C2:E2"/>
    <mergeCell ref="A7:B7"/>
    <mergeCell ref="C7:E7"/>
    <mergeCell ref="L6:N6"/>
    <mergeCell ref="A3:B3"/>
    <mergeCell ref="A2:B2"/>
    <mergeCell ref="B45:D45"/>
    <mergeCell ref="A5:B5"/>
    <mergeCell ref="C3:E3"/>
    <mergeCell ref="O7:T7"/>
    <mergeCell ref="F4:K4"/>
    <mergeCell ref="B47:D47"/>
    <mergeCell ref="C6:E6"/>
    <mergeCell ref="A4:B4"/>
    <mergeCell ref="L2:T2"/>
    <mergeCell ref="O6:T6"/>
    <mergeCell ref="B46:D46"/>
    <mergeCell ref="F6:K6"/>
    <mergeCell ref="F7:K7"/>
    <mergeCell ref="C5:T5"/>
    <mergeCell ref="L3:T3"/>
    <mergeCell ref="F3:K3"/>
  </mergeCells>
  <dataValidations count="3">
    <dataValidation sqref="F45:T45" showDropDown="0" showInputMessage="1" showErrorMessage="1" allowBlank="1" type="list">
      <formula1>"N,A,B, "</formula1>
    </dataValidation>
    <dataValidation sqref="F46:T46" showDropDown="0" showInputMessage="1" showErrorMessage="1" allowBlank="1" type="list">
      <formula1>"P,F, "</formula1>
    </dataValidation>
    <dataValidation sqref="F10:T44" showDropDown="0" showInputMessage="1" showErrorMessage="1" allowBlank="1" type="list">
      <formula1>"O, "</formula1>
    </dataValidation>
  </dataValidations>
  <hyperlinks>
    <hyperlink xmlns:r="http://schemas.openxmlformats.org/officeDocument/2006/relationships" ref="D16" r:id="rId1"/>
  </hyperlink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A1:V28"/>
  <sheetViews>
    <sheetView topLeftCell="A26" zoomScale="115" zoomScaleNormal="115" workbookViewId="0">
      <selection activeCell="X28" sqref="X28"/>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User - 5</t>
        </is>
      </c>
      <c r="D2" s="439" t="n"/>
      <c r="E2" s="441" t="n"/>
      <c r="F2" s="410" t="inlineStr">
        <is>
          <t>Function Name</t>
        </is>
      </c>
      <c r="G2" s="496" t="n"/>
      <c r="H2" s="496" t="n"/>
      <c r="I2" s="496" t="n"/>
      <c r="J2" s="496" t="n"/>
      <c r="K2" s="496" t="n"/>
      <c r="L2" s="443" t="inlineStr">
        <is>
          <t>Get User Profile</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72</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COUNTIF(F25:HQ25,"P")</f>
        <v/>
      </c>
      <c r="B7" s="465" t="n"/>
      <c r="C7" s="466">
        <f>COUNTIF(F26:HQ26,"F")</f>
        <v/>
      </c>
      <c r="D7" s="467" t="n"/>
      <c r="E7" s="465" t="n"/>
      <c r="F7" s="468">
        <f>SUM(O7,- A7,- C7)</f>
        <v/>
      </c>
      <c r="G7" s="467" t="n"/>
      <c r="H7" s="467" t="n"/>
      <c r="I7" s="467" t="n"/>
      <c r="J7" s="467" t="n"/>
      <c r="K7" s="469" t="n"/>
      <c r="L7" s="342">
        <f>COUNTIF(E24:HQ24,"N")</f>
        <v/>
      </c>
      <c r="M7" s="342">
        <f>COUNTIF(E24:HQ24,"A")</f>
        <v/>
      </c>
      <c r="N7" s="342">
        <f>COUNTIF(E24:HQ24,"B")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inlineStr">
        <is>
          <t>O</t>
        </is>
      </c>
      <c r="I13" s="148" t="n"/>
      <c r="J13" s="148" t="n"/>
      <c r="K13" s="148" t="n"/>
      <c r="L13" s="148" t="n"/>
      <c r="M13" s="148" t="n"/>
      <c r="N13" s="148" t="n"/>
      <c r="O13" s="148" t="n"/>
      <c r="P13" s="148" t="n"/>
      <c r="Q13" s="148" t="n"/>
      <c r="R13" s="148" t="n"/>
      <c r="S13" s="148" t="n"/>
      <c r="T13" s="170" t="n"/>
    </row>
    <row r="14" ht="13.5" customHeight="1" s="426">
      <c r="A14" s="171" t="n"/>
      <c r="B14" s="75" t="n"/>
      <c r="C14" s="76" t="n"/>
      <c r="D14" s="77" t="inlineStr">
        <is>
          <t>No Entry in Database</t>
        </is>
      </c>
      <c r="E14" s="80" t="n"/>
      <c r="F14" s="148" t="n"/>
      <c r="G14" s="148" t="inlineStr">
        <is>
          <t>O</t>
        </is>
      </c>
      <c r="H14" s="148" t="n"/>
      <c r="I14" s="148" t="n"/>
      <c r="J14" s="148" t="n"/>
      <c r="K14" s="148" t="n"/>
      <c r="L14" s="148" t="n"/>
      <c r="M14" s="148" t="n"/>
      <c r="N14" s="148" t="n"/>
      <c r="O14" s="148" t="n"/>
      <c r="P14" s="148" t="n"/>
      <c r="Q14" s="148" t="n"/>
      <c r="R14" s="148" t="n"/>
      <c r="S14" s="148" t="n"/>
      <c r="T14" s="170" t="n"/>
    </row>
    <row r="15" ht="13.5" customHeight="1" s="426">
      <c r="A15" s="171" t="n"/>
      <c r="B15" s="75" t="inlineStr">
        <is>
          <t>Usercode</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thickBot="1">
      <c r="A16" s="171" t="n"/>
      <c r="B16" s="75" t="n"/>
      <c r="C16" s="76" t="n"/>
      <c r="D16" s="210" t="inlineStr">
        <is>
          <t>Guid</t>
        </is>
      </c>
      <c r="E16" s="80" t="n"/>
      <c r="F16" s="148" t="inlineStr">
        <is>
          <t>O</t>
        </is>
      </c>
      <c r="G16" s="148" t="inlineStr">
        <is>
          <t>O</t>
        </is>
      </c>
      <c r="H16" s="148" t="n"/>
      <c r="I16" s="148" t="n"/>
      <c r="J16" s="148" t="n"/>
      <c r="K16" s="148" t="n"/>
      <c r="L16" s="148" t="n"/>
      <c r="M16" s="148" t="n"/>
      <c r="N16" s="148" t="n"/>
      <c r="O16" s="148" t="n"/>
      <c r="P16" s="148" t="n"/>
      <c r="Q16" s="148" t="n"/>
      <c r="R16" s="148" t="n"/>
      <c r="S16" s="148" t="n"/>
      <c r="T16" s="170" t="n"/>
    </row>
    <row r="17" ht="13.5" customHeight="1" s="426">
      <c r="A17" s="182" t="inlineStr">
        <is>
          <t>Confirm</t>
        </is>
      </c>
      <c r="B17" s="208" t="inlineStr">
        <is>
          <t>Return</t>
        </is>
      </c>
      <c r="C17" s="239" t="n"/>
      <c r="D17" s="210" t="n"/>
      <c r="E17" s="86" t="n"/>
      <c r="F17" s="87" t="n"/>
      <c r="G17" s="87" t="n"/>
      <c r="H17" s="87" t="n"/>
      <c r="I17" s="87" t="n"/>
      <c r="J17" s="87" t="n"/>
      <c r="K17" s="87" t="n"/>
      <c r="L17" s="87" t="n"/>
      <c r="M17" s="87" t="n"/>
      <c r="N17" s="87" t="n"/>
      <c r="O17" s="87" t="n"/>
      <c r="P17" s="87" t="n"/>
      <c r="Q17" s="87" t="n"/>
      <c r="R17" s="87" t="n"/>
      <c r="S17" s="87" t="n"/>
      <c r="T17" s="196" t="n"/>
    </row>
    <row r="18" ht="13.5" customHeight="1" s="426">
      <c r="A18" s="181" t="n"/>
      <c r="B18" s="208" t="n"/>
      <c r="C18" s="209" t="n"/>
      <c r="D18" s="210" t="inlineStr">
        <is>
          <t>User Detail</t>
        </is>
      </c>
      <c r="E18" s="91" t="n"/>
      <c r="F18" s="148" t="inlineStr">
        <is>
          <t>O</t>
        </is>
      </c>
      <c r="G18" s="79" t="n"/>
      <c r="H18" s="79" t="n"/>
      <c r="I18" s="79" t="n"/>
      <c r="J18" s="79" t="n"/>
      <c r="K18" s="79" t="n"/>
      <c r="L18" s="148" t="n"/>
      <c r="M18" s="79" t="n"/>
      <c r="N18" s="148" t="n"/>
      <c r="O18" s="79" t="n"/>
      <c r="P18" s="79" t="n"/>
      <c r="Q18" s="79" t="n"/>
      <c r="R18" s="79" t="n"/>
      <c r="S18" s="79" t="n"/>
      <c r="T18" s="195" t="n"/>
    </row>
    <row r="19" ht="13.5" customHeight="1" s="426">
      <c r="A19" s="181" t="n"/>
      <c r="B19" s="126" t="n"/>
      <c r="C19" s="89" t="n"/>
      <c r="D19" s="90" t="inlineStr">
        <is>
          <t>Null</t>
        </is>
      </c>
      <c r="E19" s="91" t="n"/>
      <c r="F19" s="79" t="n"/>
      <c r="G19" s="148" t="inlineStr">
        <is>
          <t>O</t>
        </is>
      </c>
      <c r="H19" s="148" t="n"/>
      <c r="I19" s="148" t="n"/>
      <c r="J19" s="148" t="n"/>
      <c r="K19" s="79" t="n"/>
      <c r="L19" s="79" t="n"/>
      <c r="M19" s="148" t="n"/>
      <c r="N19" s="79" t="n"/>
      <c r="O19" s="148" t="n"/>
      <c r="P19" s="79" t="n"/>
      <c r="Q19" s="79" t="n"/>
      <c r="R19" s="79" t="n"/>
      <c r="S19" s="79" t="n"/>
      <c r="T19" s="195" t="n"/>
    </row>
    <row r="20" ht="13.5" customHeight="1" s="426">
      <c r="A20" s="181" t="n"/>
      <c r="B20" s="116" t="inlineStr">
        <is>
          <t>Exception</t>
        </is>
      </c>
      <c r="C20" s="120" t="n"/>
      <c r="D20" s="118" t="n"/>
      <c r="E20" s="91" t="n"/>
      <c r="F20" s="79" t="n"/>
      <c r="G20" s="79" t="n"/>
      <c r="H20" s="79" t="n"/>
      <c r="I20" s="79" t="n"/>
      <c r="J20" s="79" t="n"/>
      <c r="K20" s="79" t="n"/>
      <c r="L20" s="79" t="n"/>
      <c r="M20" s="79" t="n"/>
      <c r="N20" s="79" t="n"/>
      <c r="O20" s="79" t="n"/>
      <c r="P20" s="79" t="n"/>
      <c r="Q20" s="79" t="n"/>
      <c r="R20" s="79" t="n"/>
      <c r="S20" s="79" t="n"/>
      <c r="T20" s="195" t="n"/>
    </row>
    <row r="21" ht="13.5" customHeight="1" s="426">
      <c r="A21" s="181" t="n"/>
      <c r="B21" s="116" t="n"/>
      <c r="C21" s="120" t="n"/>
      <c r="D21" s="118" t="inlineStr">
        <is>
          <t>InvalidOperationException</t>
        </is>
      </c>
      <c r="E21" s="91" t="n"/>
      <c r="F21" s="79" t="n"/>
      <c r="G21" s="79" t="n"/>
      <c r="H21" s="148" t="inlineStr">
        <is>
          <t>O</t>
        </is>
      </c>
      <c r="I21" s="148" t="n"/>
      <c r="J21" s="79" t="n"/>
      <c r="K21" s="148" t="n"/>
      <c r="L21" s="79" t="n"/>
      <c r="M21" s="79" t="n"/>
      <c r="N21" s="79" t="n"/>
      <c r="O21" s="79" t="n"/>
      <c r="P21" s="79" t="n"/>
      <c r="Q21" s="79" t="n"/>
      <c r="R21" s="79" t="n"/>
      <c r="S21" s="79" t="n"/>
      <c r="T21" s="195" t="n"/>
    </row>
    <row r="22" ht="13.5" customHeight="1" s="426">
      <c r="A22" s="181" t="n"/>
      <c r="B22" s="88" t="inlineStr">
        <is>
          <t>Log message</t>
        </is>
      </c>
      <c r="C22" s="89" t="n"/>
      <c r="D22" s="90" t="n"/>
      <c r="E22" s="91" t="n"/>
      <c r="F22" s="79" t="n"/>
      <c r="G22" s="79" t="n"/>
      <c r="H22" s="79" t="n"/>
      <c r="I22" s="79" t="n"/>
      <c r="J22" s="79" t="n"/>
      <c r="K22" s="79" t="n"/>
      <c r="L22" s="79" t="n"/>
      <c r="M22" s="79" t="n"/>
      <c r="N22" s="79" t="n"/>
      <c r="O22" s="79" t="n"/>
      <c r="P22" s="79" t="n"/>
      <c r="Q22" s="79" t="n"/>
      <c r="R22" s="79" t="n"/>
      <c r="S22" s="79" t="n"/>
      <c r="T22" s="195" t="n"/>
    </row>
    <row r="23" ht="13.5" customHeight="1" s="426" thickBot="1">
      <c r="A23" s="181" t="n"/>
      <c r="B23" s="88" t="n"/>
      <c r="C23" s="89" t="n"/>
      <c r="D23" s="90" t="inlineStr">
        <is>
          <t>"Simulated DB error"</t>
        </is>
      </c>
      <c r="E23" s="91" t="n"/>
      <c r="F23" s="148" t="n"/>
      <c r="G23" s="79" t="n"/>
      <c r="H23" s="148" t="inlineStr">
        <is>
          <t>O</t>
        </is>
      </c>
      <c r="I23" s="79" t="n"/>
      <c r="J23" s="79" t="n"/>
      <c r="K23" s="79" t="n"/>
      <c r="L23" s="79" t="n"/>
      <c r="M23" s="79" t="n"/>
      <c r="N23" s="79" t="n"/>
      <c r="O23" s="79" t="n"/>
      <c r="P23" s="79" t="n"/>
      <c r="Q23" s="79" t="n"/>
      <c r="R23" s="79" t="n"/>
      <c r="S23" s="79" t="n"/>
      <c r="T23" s="195" t="n"/>
    </row>
    <row r="24" ht="13.5" customHeight="1" s="426" thickTop="1">
      <c r="A24" s="182" t="inlineStr">
        <is>
          <t>Result</t>
        </is>
      </c>
      <c r="B24" s="331" t="inlineStr">
        <is>
          <t>Type(N : Normal, A : Abnormal, B : Boundary)</t>
        </is>
      </c>
      <c r="C24" s="472" t="n"/>
      <c r="D24" s="473" t="n"/>
      <c r="E24" s="331" t="n"/>
      <c r="F24" s="188" t="inlineStr">
        <is>
          <t>N</t>
        </is>
      </c>
      <c r="G24" s="188" t="inlineStr">
        <is>
          <t>N</t>
        </is>
      </c>
      <c r="H24" s="188" t="inlineStr">
        <is>
          <t>A</t>
        </is>
      </c>
      <c r="I24" s="188" t="n"/>
      <c r="J24" s="188" t="n"/>
      <c r="K24" s="188" t="n"/>
      <c r="L24" s="188" t="n"/>
      <c r="M24" s="188" t="n"/>
      <c r="N24" s="188" t="n"/>
      <c r="O24" s="188" t="n"/>
      <c r="P24" s="188" t="n"/>
      <c r="Q24" s="188" t="n"/>
      <c r="R24" s="188" t="n"/>
      <c r="S24" s="188" t="n"/>
      <c r="T24" s="198" t="n"/>
    </row>
    <row r="25" ht="13.5" customHeight="1" s="426">
      <c r="A25" s="174" t="n"/>
      <c r="B25" s="320" t="inlineStr">
        <is>
          <t>Passed/Failed</t>
        </is>
      </c>
      <c r="C25" s="449" t="n"/>
      <c r="D25" s="450" t="n"/>
      <c r="E25" s="95" t="n"/>
      <c r="F25" s="94" t="inlineStr">
        <is>
          <t>P</t>
        </is>
      </c>
      <c r="G25" s="94" t="inlineStr">
        <is>
          <t>P</t>
        </is>
      </c>
      <c r="H25" s="94" t="inlineStr">
        <is>
          <t>P</t>
        </is>
      </c>
      <c r="I25" s="94" t="n"/>
      <c r="J25" s="94" t="n"/>
      <c r="K25" s="94" t="n"/>
      <c r="L25" s="94" t="n"/>
      <c r="M25" s="94" t="n"/>
      <c r="N25" s="94" t="n"/>
      <c r="O25" s="94" t="n"/>
      <c r="P25" s="94" t="n"/>
      <c r="Q25" s="94" t="n"/>
      <c r="R25" s="94" t="n"/>
      <c r="S25" s="94" t="n"/>
      <c r="T25" s="199" t="n"/>
    </row>
    <row r="26" ht="71.5" customHeight="1" s="426">
      <c r="A26" s="174" t="n"/>
      <c r="B26" s="329" t="inlineStr">
        <is>
          <t>Executed Date</t>
        </is>
      </c>
      <c r="C26" s="449" t="n"/>
      <c r="D26" s="450" t="n"/>
      <c r="E26" s="96" t="n"/>
      <c r="F26" s="97" t="n">
        <v>45706</v>
      </c>
      <c r="G26" s="97" t="n">
        <v>45706</v>
      </c>
      <c r="H26" s="97" t="n">
        <v>45706</v>
      </c>
      <c r="I26" s="97" t="n"/>
      <c r="J26" s="97" t="n"/>
      <c r="K26" s="97" t="n"/>
      <c r="L26" s="97" t="n"/>
      <c r="M26" s="97" t="n"/>
      <c r="N26" s="97" t="n"/>
      <c r="O26" s="97" t="n"/>
      <c r="P26" s="97" t="n"/>
      <c r="Q26" s="97" t="n"/>
      <c r="R26" s="97" t="n"/>
      <c r="S26" s="97" t="n"/>
      <c r="T26" s="176" t="n"/>
    </row>
    <row r="27" ht="10.5" customHeight="1" s="426" thickBot="1">
      <c r="A27" s="177" t="n"/>
      <c r="B27" s="330" t="inlineStr">
        <is>
          <t>Defect ID</t>
        </is>
      </c>
      <c r="C27" s="474" t="n"/>
      <c r="D27" s="475" t="n"/>
      <c r="E27" s="178" t="n"/>
      <c r="F27" s="179" t="n"/>
      <c r="G27" s="179" t="n"/>
      <c r="H27" s="179" t="n"/>
      <c r="I27" s="179" t="n"/>
      <c r="J27" s="179" t="n"/>
      <c r="K27" s="179" t="n"/>
      <c r="L27" s="179" t="n"/>
      <c r="M27" s="179" t="n"/>
      <c r="N27" s="179" t="n"/>
      <c r="O27" s="179" t="n"/>
      <c r="P27" s="179" t="n"/>
      <c r="Q27" s="179" t="n"/>
      <c r="R27" s="179" t="n"/>
      <c r="S27" s="179" t="n"/>
      <c r="T27" s="180" t="n"/>
    </row>
    <row r="28" ht="10.5" customHeight="1" s="426" thickTop="1">
      <c r="A28" s="73" t="n"/>
      <c r="B28" s="69" t="n"/>
      <c r="C28" s="413" t="n"/>
      <c r="D28" s="69" t="n"/>
    </row>
  </sheetData>
  <mergeCells count="27">
    <mergeCell ref="F2:K2"/>
    <mergeCell ref="A6:B6"/>
    <mergeCell ref="C4:D4"/>
    <mergeCell ref="L4:T4"/>
    <mergeCell ref="C2:E2"/>
    <mergeCell ref="A7:B7"/>
    <mergeCell ref="C7:E7"/>
    <mergeCell ref="L6:N6"/>
    <mergeCell ref="A3:B3"/>
    <mergeCell ref="B24:D24"/>
    <mergeCell ref="A2:B2"/>
    <mergeCell ref="A5:B5"/>
    <mergeCell ref="B26:D26"/>
    <mergeCell ref="C3:E3"/>
    <mergeCell ref="O7:T7"/>
    <mergeCell ref="F4:K4"/>
    <mergeCell ref="B25:D25"/>
    <mergeCell ref="C6:E6"/>
    <mergeCell ref="A4:B4"/>
    <mergeCell ref="L2:T2"/>
    <mergeCell ref="O6:T6"/>
    <mergeCell ref="F6:K6"/>
    <mergeCell ref="B27:D27"/>
    <mergeCell ref="F7:K7"/>
    <mergeCell ref="C5:T5"/>
    <mergeCell ref="L3:T3"/>
    <mergeCell ref="F3:K3"/>
  </mergeCells>
  <dataValidations count="3">
    <dataValidation sqref="F24:T24" showDropDown="0" showInputMessage="1" showErrorMessage="1" allowBlank="1" type="list">
      <formula1>"N,A,B, "</formula1>
    </dataValidation>
    <dataValidation sqref="F25:T25" showDropDown="0" showInputMessage="1" showErrorMessage="1" allowBlank="1" type="list">
      <formula1>"P,F, "</formula1>
    </dataValidation>
    <dataValidation sqref="F10:T23"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sheetPr>
  <dimension ref="A1:V40"/>
  <sheetViews>
    <sheetView topLeftCell="A36" zoomScale="115" zoomScaleNormal="115" workbookViewId="0">
      <selection activeCell="X38" sqref="X38"/>
    </sheetView>
  </sheetViews>
  <sheetFormatPr baseColWidth="8" defaultColWidth="9" defaultRowHeight="13.5" customHeight="1"/>
  <cols>
    <col width="8.1796875" customWidth="1" style="69" min="1" max="1"/>
    <col width="13.453125" customWidth="1" style="73" min="2" max="2"/>
    <col width="10.81640625" customWidth="1" style="69" min="3" max="3"/>
    <col width="32.72656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User - 6</t>
        </is>
      </c>
      <c r="D2" s="439" t="n"/>
      <c r="E2" s="441" t="n"/>
      <c r="F2" s="410" t="inlineStr">
        <is>
          <t>Function Name</t>
        </is>
      </c>
      <c r="G2" s="496" t="n"/>
      <c r="H2" s="496" t="n"/>
      <c r="I2" s="496" t="n"/>
      <c r="J2" s="496" t="n"/>
      <c r="K2" s="496" t="n"/>
      <c r="L2" s="443" t="inlineStr">
        <is>
          <t>Change User Status</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137</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COUNTIF(F37:HQ37,"P")</f>
        <v/>
      </c>
      <c r="B7" s="465" t="n"/>
      <c r="C7" s="466">
        <f>COUNTIF(F38:HQ38,"F")</f>
        <v/>
      </c>
      <c r="D7" s="467" t="n"/>
      <c r="E7" s="465" t="n"/>
      <c r="F7" s="468">
        <f>SUM(O7,- A7,- C7)</f>
        <v/>
      </c>
      <c r="G7" s="467" t="n"/>
      <c r="H7" s="467" t="n"/>
      <c r="I7" s="467" t="n"/>
      <c r="J7" s="467" t="n"/>
      <c r="K7" s="469" t="n"/>
      <c r="L7" s="342">
        <f>COUNTIF(E36:HQ36,"N")</f>
        <v/>
      </c>
      <c r="M7" s="342">
        <f>COUNTIF(E36:HQ36,"A")</f>
        <v/>
      </c>
      <c r="N7" s="342">
        <f>COUNTIF(E36:HQ36,"B")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inlineStr">
        <is>
          <t>O</t>
        </is>
      </c>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n"/>
      <c r="M12" s="148" t="n"/>
      <c r="N12" s="148" t="n"/>
      <c r="O12" s="148" t="n"/>
      <c r="P12" s="148" t="n"/>
      <c r="Q12" s="148" t="n"/>
      <c r="R12" s="148" t="n"/>
      <c r="S12" s="148" t="n"/>
      <c r="T12" s="170" t="n"/>
    </row>
    <row r="13" ht="13.5" customHeight="1" s="426">
      <c r="A13" s="171" t="n"/>
      <c r="B13" s="75" t="n"/>
      <c r="C13" s="76" t="n"/>
      <c r="D13" s="77" t="inlineStr">
        <is>
          <t>UserID Existed</t>
        </is>
      </c>
      <c r="E13" s="80" t="n"/>
      <c r="F13" s="148" t="inlineStr">
        <is>
          <t>O</t>
        </is>
      </c>
      <c r="G13" s="148" t="n"/>
      <c r="H13" s="148" t="n"/>
      <c r="I13" s="148" t="inlineStr">
        <is>
          <t>O</t>
        </is>
      </c>
      <c r="J13" s="148" t="inlineStr">
        <is>
          <t>O</t>
        </is>
      </c>
      <c r="K13" s="148" t="n"/>
      <c r="L13" s="148" t="n"/>
      <c r="M13" s="148" t="n"/>
      <c r="N13" s="148" t="n"/>
      <c r="O13" s="148" t="n"/>
      <c r="P13" s="148" t="n"/>
      <c r="Q13" s="148" t="n"/>
      <c r="R13" s="148" t="n"/>
      <c r="S13" s="148" t="n"/>
      <c r="T13" s="170" t="n"/>
    </row>
    <row r="14" ht="13.5" customHeight="1" s="426">
      <c r="A14" s="171" t="n"/>
      <c r="B14" s="75" t="n"/>
      <c r="C14" s="76" t="n"/>
      <c r="D14" s="77" t="inlineStr">
        <is>
          <t>UserID Doesn't Exist</t>
        </is>
      </c>
      <c r="E14" s="80" t="n"/>
      <c r="F14" s="148" t="n"/>
      <c r="G14" s="148" t="inlineStr">
        <is>
          <t>O</t>
        </is>
      </c>
      <c r="H14" s="148" t="inlineStr">
        <is>
          <t>O</t>
        </is>
      </c>
      <c r="I14" s="148" t="n"/>
      <c r="J14" s="148" t="n"/>
      <c r="K14" s="148" t="inlineStr">
        <is>
          <t>O</t>
        </is>
      </c>
      <c r="L14" s="148" t="n"/>
      <c r="M14" s="148" t="n"/>
      <c r="N14" s="148" t="n"/>
      <c r="O14" s="148" t="n"/>
      <c r="P14" s="148" t="n"/>
      <c r="Q14" s="148" t="n"/>
      <c r="R14" s="148" t="n"/>
      <c r="S14" s="148" t="n"/>
      <c r="T14" s="170" t="n"/>
    </row>
    <row r="15" ht="13.5" customHeight="1" s="426">
      <c r="A15" s="171" t="n"/>
      <c r="B15" s="75" t="n"/>
      <c r="C15" s="76" t="n"/>
      <c r="D15" s="77" t="inlineStr">
        <is>
          <t>Status Existed</t>
        </is>
      </c>
      <c r="E15" s="80" t="n"/>
      <c r="F15" s="148" t="inlineStr">
        <is>
          <t>O</t>
        </is>
      </c>
      <c r="G15" s="148" t="inlineStr">
        <is>
          <t>O</t>
        </is>
      </c>
      <c r="H15" s="148" t="n"/>
      <c r="I15" s="148" t="n"/>
      <c r="J15" s="148" t="inlineStr">
        <is>
          <t>O</t>
        </is>
      </c>
      <c r="K15" s="148" t="n"/>
      <c r="L15" s="148" t="n"/>
      <c r="M15" s="148" t="n"/>
      <c r="N15" s="148" t="n"/>
      <c r="O15" s="148" t="n"/>
      <c r="P15" s="148" t="n"/>
      <c r="Q15" s="148" t="n"/>
      <c r="R15" s="148" t="n"/>
      <c r="S15" s="148" t="n"/>
      <c r="T15" s="170" t="n"/>
    </row>
    <row r="16" ht="13.5" customHeight="1" s="426">
      <c r="A16" s="171" t="n"/>
      <c r="B16" s="75" t="n"/>
      <c r="C16" s="76" t="n"/>
      <c r="D16" s="77" t="inlineStr">
        <is>
          <t>Status Doesn't Exist</t>
        </is>
      </c>
      <c r="E16" s="80" t="n"/>
      <c r="F16" s="148" t="n"/>
      <c r="G16" s="148" t="n"/>
      <c r="H16" s="148" t="inlineStr">
        <is>
          <t>O</t>
        </is>
      </c>
      <c r="I16" s="148" t="inlineStr">
        <is>
          <t>O</t>
        </is>
      </c>
      <c r="J16" s="148" t="n"/>
      <c r="K16" s="148" t="inlineStr">
        <is>
          <t>O</t>
        </is>
      </c>
      <c r="L16" s="148" t="n"/>
      <c r="M16" s="148" t="n"/>
      <c r="N16" s="148" t="n"/>
      <c r="O16" s="148" t="n"/>
      <c r="P16" s="148" t="n"/>
      <c r="Q16" s="148" t="n"/>
      <c r="R16" s="148" t="n"/>
      <c r="S16" s="148" t="n"/>
      <c r="T16" s="170" t="n"/>
    </row>
    <row r="17" ht="13.5" customHeight="1" s="426">
      <c r="A17" s="171" t="n"/>
      <c r="B17" s="75" t="inlineStr">
        <is>
          <t>UserId</t>
        </is>
      </c>
      <c r="C17" s="76" t="n"/>
      <c r="D17" s="77" t="n"/>
      <c r="E17" s="80" t="n"/>
      <c r="F17" s="148" t="n"/>
      <c r="G17" s="148" t="n"/>
      <c r="H17" s="148" t="n"/>
      <c r="I17" s="148" t="n"/>
      <c r="J17" s="148" t="n"/>
      <c r="K17" s="148" t="n"/>
      <c r="L17" s="148" t="n"/>
      <c r="M17" s="148" t="n"/>
      <c r="N17" s="148" t="n"/>
      <c r="O17" s="148" t="n"/>
      <c r="P17" s="148" t="n"/>
      <c r="Q17" s="148" t="n"/>
      <c r="R17" s="148" t="n"/>
      <c r="S17" s="148" t="n"/>
      <c r="T17" s="170" t="n"/>
    </row>
    <row r="18" ht="13.5" customHeight="1" s="426">
      <c r="A18" s="171" t="n"/>
      <c r="B18" s="75" t="n"/>
      <c r="C18" s="76" t="n"/>
      <c r="D18" s="90" t="inlineStr">
        <is>
          <t>Guid</t>
        </is>
      </c>
      <c r="E18" s="80" t="n"/>
      <c r="F18" s="148" t="inlineStr">
        <is>
          <t>O</t>
        </is>
      </c>
      <c r="G18" s="148" t="inlineStr">
        <is>
          <t>O</t>
        </is>
      </c>
      <c r="H18" s="148" t="n"/>
      <c r="I18" s="148" t="inlineStr">
        <is>
          <t>O</t>
        </is>
      </c>
      <c r="J18" s="148" t="n"/>
      <c r="K18" s="148" t="inlineStr">
        <is>
          <t>O</t>
        </is>
      </c>
      <c r="L18" s="148" t="n"/>
      <c r="M18" s="148" t="n"/>
      <c r="N18" s="148" t="n"/>
      <c r="O18" s="148" t="n"/>
      <c r="P18" s="148" t="n"/>
      <c r="Q18" s="148" t="n"/>
      <c r="R18" s="148" t="n"/>
      <c r="S18" s="148" t="n"/>
      <c r="T18" s="170" t="n"/>
    </row>
    <row r="19" ht="13.5" customHeight="1" s="426">
      <c r="A19" s="171" t="n"/>
      <c r="B19" s="75" t="n"/>
      <c r="C19" s="76" t="n"/>
      <c r="D19" s="90" t="inlineStr">
        <is>
          <t>null</t>
        </is>
      </c>
      <c r="E19" s="80" t="n"/>
      <c r="F19" s="148" t="n"/>
      <c r="G19" s="148" t="n"/>
      <c r="H19" s="148" t="inlineStr">
        <is>
          <t>O</t>
        </is>
      </c>
      <c r="I19" s="148" t="n"/>
      <c r="J19" s="148" t="inlineStr">
        <is>
          <t>O</t>
        </is>
      </c>
      <c r="K19" s="148" t="n"/>
      <c r="L19" s="148" t="n"/>
      <c r="M19" s="148" t="n"/>
      <c r="N19" s="148" t="n"/>
      <c r="O19" s="148" t="n"/>
      <c r="P19" s="148" t="n"/>
      <c r="Q19" s="148" t="n"/>
      <c r="R19" s="148" t="n"/>
      <c r="S19" s="148" t="n"/>
      <c r="T19" s="170" t="n"/>
    </row>
    <row r="20" ht="13.5" customHeight="1" s="426">
      <c r="A20" s="171" t="n"/>
      <c r="B20" s="75" t="inlineStr">
        <is>
          <t>Status</t>
        </is>
      </c>
      <c r="C20" s="76" t="n"/>
      <c r="D20" s="77" t="n"/>
      <c r="E20" s="80" t="n"/>
      <c r="F20" s="148" t="n"/>
      <c r="G20" s="148" t="n"/>
      <c r="H20" s="148" t="n"/>
      <c r="I20" s="148" t="n"/>
      <c r="J20" s="148" t="n"/>
      <c r="K20" s="148" t="n"/>
      <c r="L20" s="148" t="n"/>
      <c r="M20" s="148" t="n"/>
      <c r="N20" s="148" t="n"/>
      <c r="O20" s="148" t="n"/>
      <c r="P20" s="148" t="n"/>
      <c r="Q20" s="148" t="n"/>
      <c r="R20" s="148" t="n"/>
      <c r="S20" s="148" t="n"/>
      <c r="T20" s="170" t="n"/>
    </row>
    <row r="21" ht="13.5" customHeight="1" s="426">
      <c r="A21" s="171" t="n"/>
      <c r="B21" s="75" t="n"/>
      <c r="C21" s="76" t="n"/>
      <c r="D21" s="77" t="n">
        <v>1</v>
      </c>
      <c r="E21" s="80" t="n"/>
      <c r="F21" s="148" t="inlineStr">
        <is>
          <t>O</t>
        </is>
      </c>
      <c r="G21" s="148" t="inlineStr">
        <is>
          <t>O</t>
        </is>
      </c>
      <c r="H21" s="148" t="n"/>
      <c r="I21" s="148" t="n"/>
      <c r="J21" s="148" t="inlineStr">
        <is>
          <t>O</t>
        </is>
      </c>
      <c r="K21" s="148" t="inlineStr">
        <is>
          <t>O</t>
        </is>
      </c>
      <c r="L21" s="148" t="n"/>
      <c r="M21" s="148" t="n"/>
      <c r="N21" s="148" t="n"/>
      <c r="O21" s="148" t="n"/>
      <c r="P21" s="148" t="n"/>
      <c r="Q21" s="148" t="n"/>
      <c r="R21" s="148" t="n"/>
      <c r="S21" s="148" t="n"/>
      <c r="T21" s="170" t="n"/>
    </row>
    <row r="22" ht="13.5" customHeight="1" s="426">
      <c r="A22" s="171" t="n"/>
      <c r="B22" s="75" t="n"/>
      <c r="C22" s="76" t="n"/>
      <c r="D22" s="77" t="n">
        <v>9999</v>
      </c>
      <c r="E22" s="80" t="n"/>
      <c r="F22" s="148" t="n"/>
      <c r="G22" s="148" t="n"/>
      <c r="H22" s="148" t="n"/>
      <c r="I22" s="148" t="inlineStr">
        <is>
          <t>O</t>
        </is>
      </c>
      <c r="J22" s="148" t="n"/>
      <c r="K22" s="148" t="n"/>
      <c r="L22" s="148" t="n"/>
      <c r="M22" s="148" t="n"/>
      <c r="N22" s="148" t="n"/>
      <c r="O22" s="148" t="n"/>
      <c r="P22" s="148" t="n"/>
      <c r="Q22" s="148" t="n"/>
      <c r="R22" s="148" t="n"/>
      <c r="S22" s="148" t="n"/>
      <c r="T22" s="170" t="n"/>
    </row>
    <row r="23" ht="13.5" customHeight="1" s="426" thickBot="1">
      <c r="A23" s="171" t="n"/>
      <c r="B23" s="75" t="n"/>
      <c r="C23" s="76" t="n"/>
      <c r="D23" s="77" t="inlineStr">
        <is>
          <t>null</t>
        </is>
      </c>
      <c r="E23" s="80" t="n"/>
      <c r="F23" s="148" t="n"/>
      <c r="G23" s="148" t="n"/>
      <c r="H23" s="148" t="inlineStr">
        <is>
          <t>O</t>
        </is>
      </c>
      <c r="I23" s="148" t="n"/>
      <c r="J23" s="148" t="n"/>
      <c r="K23" s="148" t="n"/>
      <c r="L23" s="148" t="n"/>
      <c r="M23" s="148" t="n"/>
      <c r="N23" s="148" t="n"/>
      <c r="O23" s="148" t="n"/>
      <c r="P23" s="148" t="n"/>
      <c r="Q23" s="148" t="n"/>
      <c r="R23" s="148" t="n"/>
      <c r="S23" s="148" t="n"/>
      <c r="T23" s="170" t="n"/>
    </row>
    <row r="24" ht="13.5" customHeight="1" s="426">
      <c r="A24" s="182" t="inlineStr">
        <is>
          <t>Confirm</t>
        </is>
      </c>
      <c r="B24" s="208" t="inlineStr">
        <is>
          <t>Return</t>
        </is>
      </c>
      <c r="C24" s="239" t="n"/>
      <c r="D24" s="210" t="n"/>
      <c r="E24" s="86" t="n"/>
      <c r="F24" s="87" t="n"/>
      <c r="G24" s="87" t="n"/>
      <c r="H24" s="87" t="n"/>
      <c r="I24" s="87" t="n"/>
      <c r="J24" s="87" t="n"/>
      <c r="K24" s="87" t="n"/>
      <c r="L24" s="87" t="n"/>
      <c r="M24" s="87" t="n"/>
      <c r="N24" s="87" t="n"/>
      <c r="O24" s="87" t="n"/>
      <c r="P24" s="87" t="n"/>
      <c r="Q24" s="87" t="n"/>
      <c r="R24" s="87" t="n"/>
      <c r="S24" s="87" t="n"/>
      <c r="T24" s="196" t="n"/>
    </row>
    <row r="25" ht="13.5" customHeight="1" s="426">
      <c r="A25" s="181" t="n"/>
      <c r="B25" s="208" t="n"/>
      <c r="C25" s="209" t="n"/>
      <c r="D25" s="210" t="inlineStr">
        <is>
          <t>T</t>
        </is>
      </c>
      <c r="E25" s="91" t="n"/>
      <c r="F25" s="148" t="inlineStr">
        <is>
          <t>O</t>
        </is>
      </c>
      <c r="G25" s="79" t="n"/>
      <c r="H25" s="79" t="n"/>
      <c r="I25" s="79" t="n"/>
      <c r="J25" s="79" t="n"/>
      <c r="K25" s="79" t="n"/>
      <c r="L25" s="148" t="n"/>
      <c r="M25" s="79" t="n"/>
      <c r="N25" s="148" t="n"/>
      <c r="O25" s="79" t="n"/>
      <c r="P25" s="79" t="n"/>
      <c r="Q25" s="79" t="n"/>
      <c r="R25" s="79" t="n"/>
      <c r="S25" s="79" t="n"/>
      <c r="T25" s="195" t="n"/>
    </row>
    <row r="26" ht="13.5" customHeight="1" s="426">
      <c r="A26" s="181" t="n"/>
      <c r="B26" s="126" t="n"/>
      <c r="C26" s="89" t="n"/>
      <c r="D26" s="90" t="inlineStr">
        <is>
          <t>F</t>
        </is>
      </c>
      <c r="E26" s="91" t="n"/>
      <c r="F26" s="79" t="n"/>
      <c r="G26" s="148" t="inlineStr">
        <is>
          <t>O</t>
        </is>
      </c>
      <c r="H26" s="148" t="inlineStr">
        <is>
          <t>O</t>
        </is>
      </c>
      <c r="I26" s="148" t="inlineStr">
        <is>
          <t>O</t>
        </is>
      </c>
      <c r="J26" s="148" t="inlineStr">
        <is>
          <t>O</t>
        </is>
      </c>
      <c r="K26" s="148" t="n"/>
      <c r="L26" s="148" t="n"/>
      <c r="M26" s="148" t="n"/>
      <c r="N26" s="148" t="n"/>
      <c r="O26" s="148" t="n"/>
      <c r="P26" s="79" t="n"/>
      <c r="Q26" s="79" t="n"/>
      <c r="R26" s="79" t="n"/>
      <c r="S26" s="79" t="n"/>
      <c r="T26" s="195" t="n"/>
    </row>
    <row r="27" ht="13.5" customHeight="1" s="426">
      <c r="A27" s="181" t="n"/>
      <c r="B27" s="116" t="inlineStr">
        <is>
          <t>Exception</t>
        </is>
      </c>
      <c r="C27" s="120" t="n"/>
      <c r="D27" s="118" t="n"/>
      <c r="E27" s="91" t="n"/>
      <c r="F27" s="79" t="n"/>
      <c r="G27" s="79" t="n"/>
      <c r="H27" s="79" t="n"/>
      <c r="I27" s="79" t="n"/>
      <c r="J27" s="79" t="n"/>
      <c r="K27" s="79" t="n"/>
      <c r="L27" s="148" t="n"/>
      <c r="M27" s="79" t="n"/>
      <c r="N27" s="79" t="n"/>
      <c r="O27" s="79" t="n"/>
      <c r="P27" s="79" t="n"/>
      <c r="Q27" s="79" t="n"/>
      <c r="R27" s="79" t="n"/>
      <c r="S27" s="79" t="n"/>
      <c r="T27" s="195" t="n"/>
    </row>
    <row r="28" ht="13.5" customHeight="1" s="426">
      <c r="A28" s="181" t="n"/>
      <c r="B28" s="116" t="n"/>
      <c r="C28" s="120" t="n"/>
      <c r="D28" s="118" t="inlineStr">
        <is>
          <t>InvalidOperationException</t>
        </is>
      </c>
      <c r="E28" s="91" t="n"/>
      <c r="F28" s="79" t="n"/>
      <c r="G28" s="79" t="n"/>
      <c r="H28" s="148" t="n"/>
      <c r="I28" s="148" t="n"/>
      <c r="J28" s="79" t="n"/>
      <c r="K28" s="148" t="inlineStr">
        <is>
          <t>O</t>
        </is>
      </c>
      <c r="L28" s="79" t="n"/>
      <c r="M28" s="79" t="n"/>
      <c r="N28" s="79" t="n"/>
      <c r="O28" s="148" t="n"/>
      <c r="P28" s="79" t="n"/>
      <c r="Q28" s="79" t="n"/>
      <c r="R28" s="79" t="n"/>
      <c r="S28" s="79" t="n"/>
      <c r="T28" s="195" t="n"/>
    </row>
    <row r="29" ht="13.5" customHeight="1" s="426">
      <c r="A29" s="181" t="n"/>
      <c r="B29" s="88" t="inlineStr">
        <is>
          <t>Log message</t>
        </is>
      </c>
      <c r="C29" s="89" t="n"/>
      <c r="D29" s="90" t="n"/>
      <c r="E29" s="91" t="n"/>
      <c r="F29" s="79" t="n"/>
      <c r="G29" s="79" t="n"/>
      <c r="H29" s="79" t="n"/>
      <c r="I29" s="79" t="n"/>
      <c r="J29" s="79" t="n"/>
      <c r="K29" s="79" t="n"/>
      <c r="L29" s="79" t="n"/>
      <c r="M29" s="79" t="n"/>
      <c r="N29" s="79" t="n"/>
      <c r="O29" s="79" t="n"/>
      <c r="P29" s="79" t="n"/>
      <c r="Q29" s="79" t="n"/>
      <c r="R29" s="79" t="n"/>
      <c r="S29" s="79" t="n"/>
      <c r="T29" s="195" t="n"/>
    </row>
    <row r="30" ht="13.5" customHeight="1" s="426">
      <c r="A30" s="181" t="n"/>
      <c r="B30" s="88" t="n"/>
      <c r="C30" s="89" t="n"/>
      <c r="D30" s="90" t="inlineStr">
        <is>
          <t>"Expected ChangeUserStatus to return true for a valid status change."</t>
        </is>
      </c>
      <c r="E30" s="91" t="n"/>
      <c r="F30" s="148" t="inlineStr">
        <is>
          <t>O</t>
        </is>
      </c>
      <c r="G30" s="79" t="n"/>
      <c r="H30" s="79" t="n"/>
      <c r="I30" s="79" t="n"/>
      <c r="J30" s="79" t="n"/>
      <c r="K30" s="79" t="n"/>
      <c r="L30" s="79" t="n"/>
      <c r="M30" s="79" t="n"/>
      <c r="N30" s="79" t="n"/>
      <c r="O30" s="79" t="n"/>
      <c r="P30" s="79" t="n"/>
      <c r="Q30" s="79" t="n"/>
      <c r="R30" s="79" t="n"/>
      <c r="S30" s="79" t="n"/>
      <c r="T30" s="195" t="n"/>
    </row>
    <row r="31" ht="13.5" customHeight="1" s="426">
      <c r="A31" s="181" t="n"/>
      <c r="B31" s="88" t="n"/>
      <c r="C31" s="89" t="n"/>
      <c r="D31" s="90" t="inlineStr">
        <is>
          <t>"Expected ChangeUserStatus to return false for an invalid user ID."</t>
        </is>
      </c>
      <c r="E31" s="91" t="n"/>
      <c r="F31" s="79" t="n"/>
      <c r="G31" s="148" t="inlineStr">
        <is>
          <t>O</t>
        </is>
      </c>
      <c r="H31" s="79" t="n"/>
      <c r="I31" s="79" t="n"/>
      <c r="J31" s="79" t="n"/>
      <c r="K31" s="79" t="n"/>
      <c r="L31" s="79" t="n"/>
      <c r="M31" s="79" t="n"/>
      <c r="N31" s="79" t="n"/>
      <c r="O31" s="79" t="n"/>
      <c r="P31" s="79" t="n"/>
      <c r="Q31" s="79" t="n"/>
      <c r="R31" s="79" t="n"/>
      <c r="S31" s="79" t="n"/>
      <c r="T31" s="195" t="n"/>
    </row>
    <row r="32" ht="13.5" customHeight="1" s="426">
      <c r="A32" s="181" t="n"/>
      <c r="B32" s="88" t="n"/>
      <c r="C32" s="89" t="n"/>
      <c r="D32" s="90" t="inlineStr">
        <is>
          <t>"Expected ChangeUserStatus to return false for a null ChangeUserStatus DTO."</t>
        </is>
      </c>
      <c r="E32" s="91" t="n"/>
      <c r="F32" s="79" t="n"/>
      <c r="G32" s="79" t="n"/>
      <c r="H32" s="148" t="inlineStr">
        <is>
          <t>O</t>
        </is>
      </c>
      <c r="I32" s="79" t="n"/>
      <c r="J32" s="79" t="n"/>
      <c r="K32" s="79" t="n"/>
      <c r="L32" s="79" t="n"/>
      <c r="M32" s="79" t="n"/>
      <c r="N32" s="79" t="n"/>
      <c r="O32" s="79" t="n"/>
      <c r="P32" s="79" t="n"/>
      <c r="Q32" s="79" t="n"/>
      <c r="R32" s="79" t="n"/>
      <c r="S32" s="79" t="n"/>
      <c r="T32" s="195" t="n"/>
    </row>
    <row r="33" ht="13.5" customHeight="1" s="426">
      <c r="A33" s="181" t="n"/>
      <c r="B33" s="88" t="n"/>
      <c r="C33" s="89" t="n"/>
      <c r="D33" s="90" t="inlineStr">
        <is>
          <t>"Expected ChangeUserStatus to return false for a non-existent status."</t>
        </is>
      </c>
      <c r="E33" s="91" t="n"/>
      <c r="F33" s="79" t="n"/>
      <c r="G33" s="79" t="n"/>
      <c r="H33" s="79" t="n"/>
      <c r="I33" s="148" t="inlineStr">
        <is>
          <t>O</t>
        </is>
      </c>
      <c r="J33" s="79" t="n"/>
      <c r="K33" s="79" t="n"/>
      <c r="L33" s="79" t="n"/>
      <c r="M33" s="79" t="n"/>
      <c r="N33" s="79" t="n"/>
      <c r="O33" s="79" t="n"/>
      <c r="P33" s="79" t="n"/>
      <c r="Q33" s="79" t="n"/>
      <c r="R33" s="79" t="n"/>
      <c r="S33" s="79" t="n"/>
      <c r="T33" s="195" t="n"/>
    </row>
    <row r="34" ht="13.5" customHeight="1" s="426">
      <c r="A34" s="181" t="n"/>
      <c r="B34" s="88" t="n"/>
      <c r="C34" s="89" t="n"/>
      <c r="D34" s="90" t="inlineStr">
        <is>
          <t>"Expected ChangeUserStatus to return false for an empty UserId."</t>
        </is>
      </c>
      <c r="E34" s="91" t="n"/>
      <c r="F34" s="79" t="n"/>
      <c r="G34" s="79" t="n"/>
      <c r="H34" s="79" t="n"/>
      <c r="I34" s="79" t="n"/>
      <c r="J34" s="148" t="inlineStr">
        <is>
          <t>O</t>
        </is>
      </c>
      <c r="K34" s="148" t="n"/>
      <c r="L34" s="79" t="n"/>
      <c r="M34" s="79" t="n"/>
      <c r="N34" s="79" t="n"/>
      <c r="O34" s="79" t="n"/>
      <c r="P34" s="79" t="n"/>
      <c r="Q34" s="79" t="n"/>
      <c r="R34" s="79" t="n"/>
      <c r="S34" s="79" t="n"/>
      <c r="T34" s="195" t="n"/>
    </row>
    <row r="35" ht="13.5" customHeight="1" s="426" thickBot="1">
      <c r="A35" s="181" t="n"/>
      <c r="B35" s="88" t="n"/>
      <c r="C35" s="89" t="n"/>
      <c r="D35" s="90" t="inlineStr">
        <is>
          <t>"Simulated DB error"</t>
        </is>
      </c>
      <c r="E35" s="91" t="n"/>
      <c r="F35" s="148" t="n"/>
      <c r="G35" s="79" t="n"/>
      <c r="H35" s="148" t="n"/>
      <c r="I35" s="79" t="n"/>
      <c r="J35" s="79" t="n"/>
      <c r="K35" s="148" t="inlineStr">
        <is>
          <t>O</t>
        </is>
      </c>
      <c r="L35" s="79" t="n"/>
      <c r="M35" s="79" t="n"/>
      <c r="N35" s="79" t="n"/>
      <c r="O35" s="148" t="n"/>
      <c r="P35" s="79" t="n"/>
      <c r="Q35" s="79" t="n"/>
      <c r="R35" s="79" t="n"/>
      <c r="S35" s="79" t="n"/>
      <c r="T35" s="195" t="n"/>
    </row>
    <row r="36" ht="13.5" customHeight="1" s="426" thickTop="1">
      <c r="A36" s="182" t="inlineStr">
        <is>
          <t>Result</t>
        </is>
      </c>
      <c r="B36" s="331" t="inlineStr">
        <is>
          <t>Type(N : Normal, A : Abnormal, B : Boundary)</t>
        </is>
      </c>
      <c r="C36" s="472" t="n"/>
      <c r="D36" s="473" t="n"/>
      <c r="E36" s="331" t="n"/>
      <c r="F36" s="188" t="inlineStr">
        <is>
          <t>N</t>
        </is>
      </c>
      <c r="G36" s="188" t="inlineStr">
        <is>
          <t>A</t>
        </is>
      </c>
      <c r="H36" s="188" t="inlineStr">
        <is>
          <t>A</t>
        </is>
      </c>
      <c r="I36" s="188" t="inlineStr">
        <is>
          <t>A</t>
        </is>
      </c>
      <c r="J36" s="188" t="inlineStr">
        <is>
          <t>A</t>
        </is>
      </c>
      <c r="K36" s="188" t="inlineStr">
        <is>
          <t>A</t>
        </is>
      </c>
      <c r="L36" s="188" t="n"/>
      <c r="M36" s="188" t="n"/>
      <c r="N36" s="188" t="n"/>
      <c r="O36" s="188" t="n"/>
      <c r="P36" s="188" t="n"/>
      <c r="Q36" s="188" t="n"/>
      <c r="R36" s="188" t="n"/>
      <c r="S36" s="188" t="n"/>
      <c r="T36" s="198" t="n"/>
    </row>
    <row r="37" ht="13.5" customHeight="1" s="426">
      <c r="A37" s="174" t="n"/>
      <c r="B37" s="320" t="inlineStr">
        <is>
          <t>Passed/Failed</t>
        </is>
      </c>
      <c r="C37" s="449" t="n"/>
      <c r="D37" s="450" t="n"/>
      <c r="E37" s="95" t="n"/>
      <c r="F37" s="94" t="inlineStr">
        <is>
          <t>P</t>
        </is>
      </c>
      <c r="G37" s="94" t="inlineStr">
        <is>
          <t>P</t>
        </is>
      </c>
      <c r="H37" s="94" t="inlineStr">
        <is>
          <t>P</t>
        </is>
      </c>
      <c r="I37" s="94" t="inlineStr">
        <is>
          <t>P</t>
        </is>
      </c>
      <c r="J37" s="94" t="inlineStr">
        <is>
          <t>P</t>
        </is>
      </c>
      <c r="K37" s="94" t="inlineStr">
        <is>
          <t>P</t>
        </is>
      </c>
      <c r="L37" s="94" t="n"/>
      <c r="M37" s="94" t="n"/>
      <c r="N37" s="94" t="n"/>
      <c r="O37" s="94" t="n"/>
      <c r="P37" s="94" t="n"/>
      <c r="Q37" s="94" t="n"/>
      <c r="R37" s="94" t="n"/>
      <c r="S37" s="94" t="n"/>
      <c r="T37" s="199" t="n"/>
    </row>
    <row r="38" ht="71.5" customHeight="1" s="426">
      <c r="A38" s="174" t="n"/>
      <c r="B38" s="329" t="inlineStr">
        <is>
          <t>Executed Date</t>
        </is>
      </c>
      <c r="C38" s="449" t="n"/>
      <c r="D38" s="450" t="n"/>
      <c r="E38" s="96" t="n"/>
      <c r="F38" s="97" t="n">
        <v>45706</v>
      </c>
      <c r="G38" s="97" t="n">
        <v>45706</v>
      </c>
      <c r="H38" s="97" t="n">
        <v>45706</v>
      </c>
      <c r="I38" s="97" t="n">
        <v>45706</v>
      </c>
      <c r="J38" s="97" t="n">
        <v>45706</v>
      </c>
      <c r="K38" s="97" t="n">
        <v>45706</v>
      </c>
      <c r="L38" s="97" t="n"/>
      <c r="M38" s="97" t="n"/>
      <c r="N38" s="97" t="n"/>
      <c r="O38" s="97" t="n"/>
      <c r="P38" s="97" t="n"/>
      <c r="Q38" s="97" t="n"/>
      <c r="R38" s="97" t="n"/>
      <c r="S38" s="97" t="n"/>
      <c r="T38" s="176" t="n"/>
    </row>
    <row r="39" ht="10.5" customHeight="1" s="426" thickBot="1">
      <c r="A39" s="177" t="n"/>
      <c r="B39" s="330" t="inlineStr">
        <is>
          <t>Defect ID</t>
        </is>
      </c>
      <c r="C39" s="474" t="n"/>
      <c r="D39" s="475" t="n"/>
      <c r="E39" s="178" t="n"/>
      <c r="F39" s="179" t="n"/>
      <c r="G39" s="179" t="n"/>
      <c r="H39" s="179" t="n"/>
      <c r="I39" s="179" t="n"/>
      <c r="J39" s="179" t="n"/>
      <c r="K39" s="179" t="n"/>
      <c r="L39" s="179" t="n"/>
      <c r="M39" s="179" t="n"/>
      <c r="N39" s="179" t="n"/>
      <c r="O39" s="179" t="n"/>
      <c r="P39" s="179" t="n"/>
      <c r="Q39" s="179" t="n"/>
      <c r="R39" s="179" t="n"/>
      <c r="S39" s="179" t="n"/>
      <c r="T39" s="180" t="n"/>
    </row>
    <row r="40" ht="10.5" customHeight="1" s="426" thickTop="1">
      <c r="A40" s="73" t="n"/>
      <c r="B40" s="69" t="n"/>
      <c r="C40" s="413" t="n"/>
      <c r="D40" s="69" t="n"/>
    </row>
  </sheetData>
  <mergeCells count="27">
    <mergeCell ref="F2:K2"/>
    <mergeCell ref="B38:D38"/>
    <mergeCell ref="A6:B6"/>
    <mergeCell ref="C4:D4"/>
    <mergeCell ref="L4:T4"/>
    <mergeCell ref="C2:E2"/>
    <mergeCell ref="B37:D37"/>
    <mergeCell ref="A7:B7"/>
    <mergeCell ref="C7:E7"/>
    <mergeCell ref="L6:N6"/>
    <mergeCell ref="A3:B3"/>
    <mergeCell ref="B36:D36"/>
    <mergeCell ref="A2:B2"/>
    <mergeCell ref="A5:B5"/>
    <mergeCell ref="C3:E3"/>
    <mergeCell ref="O7:T7"/>
    <mergeCell ref="F4:K4"/>
    <mergeCell ref="C6:E6"/>
    <mergeCell ref="A4:B4"/>
    <mergeCell ref="L2:T2"/>
    <mergeCell ref="O6:T6"/>
    <mergeCell ref="F6:K6"/>
    <mergeCell ref="F7:K7"/>
    <mergeCell ref="C5:T5"/>
    <mergeCell ref="B39:D39"/>
    <mergeCell ref="L3:T3"/>
    <mergeCell ref="F3:K3"/>
  </mergeCells>
  <dataValidations count="3">
    <dataValidation sqref="F37:T37" showDropDown="0" showInputMessage="1" showErrorMessage="1" allowBlank="1" type="list">
      <formula1>"P,F, "</formula1>
    </dataValidation>
    <dataValidation sqref="F36:T36" showDropDown="0" showInputMessage="1" showErrorMessage="1" allowBlank="1" type="list">
      <formula1>"N,A,B, "</formula1>
    </dataValidation>
    <dataValidation sqref="F10:T35"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A1:V35"/>
  <sheetViews>
    <sheetView topLeftCell="A10" zoomScale="115" zoomScaleNormal="115" workbookViewId="0">
      <selection activeCell="X25" sqref="X25"/>
    </sheetView>
  </sheetViews>
  <sheetFormatPr baseColWidth="8" defaultColWidth="9" defaultRowHeight="13.5" customHeight="1"/>
  <cols>
    <col width="8.1796875" customWidth="1" style="69" min="1" max="1"/>
    <col width="13.453125" customWidth="1" style="73" min="2" max="2"/>
    <col width="10.81640625" customWidth="1" style="69" min="3" max="3"/>
    <col width="32.72656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User - 8</t>
        </is>
      </c>
      <c r="D2" s="439" t="n"/>
      <c r="E2" s="441" t="n"/>
      <c r="F2" s="410" t="inlineStr">
        <is>
          <t>Function Name</t>
        </is>
      </c>
      <c r="G2" s="496" t="n"/>
      <c r="H2" s="496" t="n"/>
      <c r="I2" s="496" t="n"/>
      <c r="J2" s="496" t="n"/>
      <c r="K2" s="496" t="n"/>
      <c r="L2" s="443" t="inlineStr">
        <is>
          <t>Entry Excel to User</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137</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COUNTIF(F32:HQ32,"P")</f>
        <v/>
      </c>
      <c r="B7" s="465" t="n"/>
      <c r="C7" s="466">
        <f>COUNTIF(F33:HQ33,"F")</f>
        <v/>
      </c>
      <c r="D7" s="467" t="n"/>
      <c r="E7" s="465" t="n"/>
      <c r="F7" s="468">
        <f>SUM(O7,- A7,- C7)</f>
        <v/>
      </c>
      <c r="G7" s="467" t="n"/>
      <c r="H7" s="467" t="n"/>
      <c r="I7" s="467" t="n"/>
      <c r="J7" s="467" t="n"/>
      <c r="K7" s="469" t="n"/>
      <c r="L7" s="342">
        <f>COUNTIF(E31:HQ31,"N")</f>
        <v/>
      </c>
      <c r="M7" s="342">
        <f>COUNTIF(E31:HQ31,"A")</f>
        <v/>
      </c>
      <c r="N7" s="342">
        <f>COUNTIF(E31:HQ31,"B")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n"/>
      <c r="L12" s="148" t="n"/>
      <c r="M12" s="148" t="n"/>
      <c r="N12" s="148" t="n"/>
      <c r="O12" s="148" t="n"/>
      <c r="P12" s="148" t="n"/>
      <c r="Q12" s="148" t="n"/>
      <c r="R12" s="148" t="n"/>
      <c r="S12" s="148" t="n"/>
      <c r="T12" s="170" t="n"/>
    </row>
    <row r="13" ht="13.5" customHeight="1" s="426">
      <c r="A13" s="171" t="n"/>
      <c r="B13" s="75" t="n"/>
      <c r="C13" s="76" t="n"/>
      <c r="D13" s="77" t="inlineStr">
        <is>
          <t>Excel Existed</t>
        </is>
      </c>
      <c r="E13" s="80" t="n"/>
      <c r="F13" s="148" t="inlineStr">
        <is>
          <t>O</t>
        </is>
      </c>
      <c r="G13" s="148" t="n"/>
      <c r="H13" s="148" t="n"/>
      <c r="I13" s="148" t="n"/>
      <c r="J13" s="148" t="n"/>
      <c r="K13" s="148" t="n"/>
      <c r="L13" s="148" t="n"/>
      <c r="M13" s="148" t="n"/>
      <c r="N13" s="148" t="n"/>
      <c r="O13" s="148" t="n"/>
      <c r="P13" s="148" t="n"/>
      <c r="Q13" s="148" t="n"/>
      <c r="R13" s="148" t="n"/>
      <c r="S13" s="148" t="n"/>
      <c r="T13" s="170" t="n"/>
    </row>
    <row r="14" ht="13.5" customHeight="1" s="426">
      <c r="A14" s="171" t="n"/>
      <c r="B14" s="75" t="n"/>
      <c r="C14" s="76" t="n"/>
      <c r="D14" s="77" t="inlineStr">
        <is>
          <t>Excel Doesn't Exist</t>
        </is>
      </c>
      <c r="E14" s="80" t="n"/>
      <c r="F14" s="148" t="n"/>
      <c r="G14" s="148" t="inlineStr">
        <is>
          <t>O</t>
        </is>
      </c>
      <c r="H14" s="148" t="inlineStr">
        <is>
          <t>O</t>
        </is>
      </c>
      <c r="I14" s="148" t="inlineStr">
        <is>
          <t>O</t>
        </is>
      </c>
      <c r="J14" s="148" t="inlineStr">
        <is>
          <t>O</t>
        </is>
      </c>
      <c r="K14" s="148" t="n"/>
      <c r="L14" s="148" t="n"/>
      <c r="M14" s="148" t="n"/>
      <c r="N14" s="148" t="n"/>
      <c r="O14" s="148" t="n"/>
      <c r="P14" s="148" t="n"/>
      <c r="Q14" s="148" t="n"/>
      <c r="R14" s="148" t="n"/>
      <c r="S14" s="148" t="n"/>
      <c r="T14" s="170" t="n"/>
    </row>
    <row r="15" ht="13.5" customHeight="1" s="426">
      <c r="A15" s="171" t="n"/>
      <c r="B15" s="75" t="inlineStr">
        <is>
          <t>filePath</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c r="A16" s="171" t="n"/>
      <c r="B16" s="75" t="n"/>
      <c r="C16" s="76" t="n"/>
      <c r="D16" s="90" t="inlineStr">
        <is>
          <t>"validFilePath.xlsx"</t>
        </is>
      </c>
      <c r="E16" s="80" t="n"/>
      <c r="F16" s="148" t="inlineStr">
        <is>
          <t>O</t>
        </is>
      </c>
      <c r="G16" s="148" t="n"/>
      <c r="H16" s="148" t="n"/>
      <c r="I16" s="148" t="n"/>
      <c r="J16" s="148" t="inlineStr">
        <is>
          <t>O</t>
        </is>
      </c>
      <c r="K16" s="148" t="n"/>
      <c r="L16" s="148" t="n"/>
      <c r="M16" s="148" t="n"/>
      <c r="N16" s="148" t="n"/>
      <c r="O16" s="148" t="n"/>
      <c r="P16" s="148" t="n"/>
      <c r="Q16" s="148" t="n"/>
      <c r="R16" s="148" t="n"/>
      <c r="S16" s="148" t="n"/>
      <c r="T16" s="170" t="n"/>
    </row>
    <row r="17" ht="13.5" customHeight="1" s="426">
      <c r="A17" s="171" t="n"/>
      <c r="B17" s="75" t="n"/>
      <c r="C17" s="76" t="n"/>
      <c r="D17" s="90" t="inlineStr">
        <is>
          <t>"invalidFilePath.xlsx"</t>
        </is>
      </c>
      <c r="E17" s="80" t="n"/>
      <c r="F17" s="148" t="n"/>
      <c r="G17" s="148" t="inlineStr">
        <is>
          <t>O</t>
        </is>
      </c>
      <c r="H17" s="148" t="n"/>
      <c r="I17" s="148" t="n"/>
      <c r="J17" s="148" t="n"/>
      <c r="K17" s="148" t="n"/>
      <c r="L17" s="148" t="n"/>
      <c r="M17" s="148" t="n"/>
      <c r="N17" s="148" t="n"/>
      <c r="O17" s="148" t="n"/>
      <c r="P17" s="148" t="n"/>
      <c r="Q17" s="148" t="n"/>
      <c r="R17" s="148" t="n"/>
      <c r="S17" s="148" t="n"/>
      <c r="T17" s="170" t="n"/>
    </row>
    <row r="18" ht="13.5" customHeight="1" s="426">
      <c r="A18" s="171" t="n"/>
      <c r="B18" s="75" t="n"/>
      <c r="C18" s="76" t="n"/>
      <c r="D18" s="77" t="inlineStr">
        <is>
          <t>"nonExistentFilePath.xlsx"</t>
        </is>
      </c>
      <c r="E18" s="80" t="n"/>
      <c r="F18" s="148" t="n"/>
      <c r="G18" s="148" t="n"/>
      <c r="H18" s="148" t="inlineStr">
        <is>
          <t>O</t>
        </is>
      </c>
      <c r="I18" s="148" t="n"/>
      <c r="J18" s="148" t="n"/>
      <c r="K18" s="148" t="n"/>
      <c r="L18" s="148" t="n"/>
      <c r="M18" s="148" t="n"/>
      <c r="N18" s="148" t="n"/>
      <c r="O18" s="148" t="n"/>
      <c r="P18" s="148" t="n"/>
      <c r="Q18" s="148" t="n"/>
      <c r="R18" s="148" t="n"/>
      <c r="S18" s="148" t="n"/>
      <c r="T18" s="170" t="n"/>
    </row>
    <row r="19" ht="13.5" customHeight="1" s="426" thickBot="1">
      <c r="A19" s="171" t="n"/>
      <c r="B19" s="75" t="n"/>
      <c r="C19" s="76" t="n"/>
      <c r="D19" s="77" t="inlineStr">
        <is>
          <t>"nonExistentFilePath.exe"</t>
        </is>
      </c>
      <c r="E19" s="80" t="n"/>
      <c r="F19" s="148" t="n"/>
      <c r="G19" s="148" t="n"/>
      <c r="H19" s="148" t="n"/>
      <c r="I19" s="148" t="inlineStr">
        <is>
          <t>O</t>
        </is>
      </c>
      <c r="J19" s="148" t="n"/>
      <c r="K19" s="148" t="n"/>
      <c r="L19" s="148" t="n"/>
      <c r="M19" s="148" t="n"/>
      <c r="N19" s="148" t="n"/>
      <c r="O19" s="148" t="n"/>
      <c r="P19" s="148" t="n"/>
      <c r="Q19" s="148" t="n"/>
      <c r="R19" s="148" t="n"/>
      <c r="S19" s="148" t="n"/>
      <c r="T19" s="170" t="n"/>
    </row>
    <row r="20" ht="13.5" customHeight="1" s="426">
      <c r="A20" s="182" t="inlineStr">
        <is>
          <t>Confirm</t>
        </is>
      </c>
      <c r="B20" s="208" t="inlineStr">
        <is>
          <t>Return</t>
        </is>
      </c>
      <c r="C20" s="239" t="n"/>
      <c r="D20" s="210" t="n"/>
      <c r="E20" s="86" t="n"/>
      <c r="F20" s="87" t="n"/>
      <c r="G20" s="87" t="n"/>
      <c r="H20" s="87" t="n"/>
      <c r="I20" s="87" t="n"/>
      <c r="J20" s="87" t="n"/>
      <c r="K20" s="87" t="n"/>
      <c r="L20" s="87" t="n"/>
      <c r="M20" s="87" t="n"/>
      <c r="N20" s="87" t="n"/>
      <c r="O20" s="87" t="n"/>
      <c r="P20" s="87" t="n"/>
      <c r="Q20" s="87" t="n"/>
      <c r="R20" s="87" t="n"/>
      <c r="S20" s="87" t="n"/>
      <c r="T20" s="196" t="n"/>
    </row>
    <row r="21" ht="13.5" customHeight="1" s="426">
      <c r="A21" s="181" t="n"/>
      <c r="B21" s="208" t="n"/>
      <c r="C21" s="209" t="n"/>
      <c r="D21" s="210" t="inlineStr">
        <is>
          <t>T</t>
        </is>
      </c>
      <c r="E21" s="91" t="n"/>
      <c r="F21" s="148" t="inlineStr">
        <is>
          <t>O</t>
        </is>
      </c>
      <c r="G21" s="79" t="n"/>
      <c r="H21" s="79" t="n"/>
      <c r="I21" s="79" t="n"/>
      <c r="J21" s="79" t="n"/>
      <c r="K21" s="79" t="n"/>
      <c r="L21" s="148" t="n"/>
      <c r="M21" s="79" t="n"/>
      <c r="N21" s="148" t="n"/>
      <c r="O21" s="79" t="n"/>
      <c r="P21" s="79" t="n"/>
      <c r="Q21" s="79" t="n"/>
      <c r="R21" s="79" t="n"/>
      <c r="S21" s="79" t="n"/>
      <c r="T21" s="195" t="n"/>
    </row>
    <row r="22" ht="13.5" customHeight="1" s="426">
      <c r="A22" s="181" t="n"/>
      <c r="B22" s="126" t="n"/>
      <c r="C22" s="89" t="n"/>
      <c r="D22" s="90" t="inlineStr">
        <is>
          <t>F</t>
        </is>
      </c>
      <c r="E22" s="91" t="n"/>
      <c r="F22" s="79" t="n"/>
      <c r="G22" s="148" t="inlineStr">
        <is>
          <t>O</t>
        </is>
      </c>
      <c r="H22" s="148" t="inlineStr">
        <is>
          <t>O</t>
        </is>
      </c>
      <c r="I22" s="148" t="inlineStr">
        <is>
          <t>O</t>
        </is>
      </c>
      <c r="J22" s="148" t="inlineStr">
        <is>
          <t>O</t>
        </is>
      </c>
      <c r="K22" s="148" t="n"/>
      <c r="L22" s="148" t="n"/>
      <c r="M22" s="148" t="n"/>
      <c r="N22" s="148" t="n"/>
      <c r="O22" s="148" t="n"/>
      <c r="P22" s="79" t="n"/>
      <c r="Q22" s="79" t="n"/>
      <c r="R22" s="79" t="n"/>
      <c r="S22" s="79" t="n"/>
      <c r="T22" s="195" t="n"/>
    </row>
    <row r="23" ht="13.5" customHeight="1" s="426">
      <c r="A23" s="181" t="n"/>
      <c r="B23" s="116" t="inlineStr">
        <is>
          <t>Exception</t>
        </is>
      </c>
      <c r="C23" s="120" t="n"/>
      <c r="D23" s="118" t="n"/>
      <c r="E23" s="91" t="n"/>
      <c r="F23" s="79" t="n"/>
      <c r="G23" s="79" t="n"/>
      <c r="H23" s="79" t="n"/>
      <c r="I23" s="79" t="n"/>
      <c r="J23" s="79" t="n"/>
      <c r="K23" s="79" t="n"/>
      <c r="L23" s="148" t="n"/>
      <c r="M23" s="79" t="n"/>
      <c r="N23" s="79" t="n"/>
      <c r="O23" s="79" t="n"/>
      <c r="P23" s="79" t="n"/>
      <c r="Q23" s="79" t="n"/>
      <c r="R23" s="79" t="n"/>
      <c r="S23" s="79" t="n"/>
      <c r="T23" s="195" t="n"/>
    </row>
    <row r="24" ht="13.5" customHeight="1" s="426">
      <c r="A24" s="181" t="n"/>
      <c r="B24" s="116" t="n"/>
      <c r="C24" s="120" t="n"/>
      <c r="D24" s="118" t="inlineStr">
        <is>
          <t>InvalidOperationException</t>
        </is>
      </c>
      <c r="E24" s="91" t="n"/>
      <c r="F24" s="79" t="n"/>
      <c r="G24" s="79" t="n"/>
      <c r="H24" s="148" t="n"/>
      <c r="I24" s="148" t="n"/>
      <c r="J24" s="79" t="n"/>
      <c r="K24" s="148" t="n"/>
      <c r="L24" s="79" t="n"/>
      <c r="M24" s="79" t="n"/>
      <c r="N24" s="79" t="n"/>
      <c r="O24" s="148" t="n"/>
      <c r="P24" s="79" t="n"/>
      <c r="Q24" s="79" t="n"/>
      <c r="R24" s="79" t="n"/>
      <c r="S24" s="79" t="n"/>
      <c r="T24" s="195" t="n"/>
    </row>
    <row r="25" ht="13.5" customHeight="1" s="426">
      <c r="A25" s="181" t="n"/>
      <c r="B25" s="88" t="inlineStr">
        <is>
          <t>Log message</t>
        </is>
      </c>
      <c r="C25" s="89" t="n"/>
      <c r="D25" s="90" t="n"/>
      <c r="E25" s="91" t="n"/>
      <c r="F25" s="79" t="n"/>
      <c r="G25" s="79" t="n"/>
      <c r="H25" s="79" t="n"/>
      <c r="I25" s="79" t="n"/>
      <c r="J25" s="79" t="n"/>
      <c r="K25" s="79" t="n"/>
      <c r="L25" s="79" t="n"/>
      <c r="M25" s="79" t="n"/>
      <c r="N25" s="79" t="n"/>
      <c r="O25" s="79" t="n"/>
      <c r="P25" s="79" t="n"/>
      <c r="Q25" s="79" t="n"/>
      <c r="R25" s="79" t="n"/>
      <c r="S25" s="79" t="n"/>
      <c r="T25" s="195" t="n"/>
    </row>
    <row r="26" ht="13.5" customHeight="1" s="426">
      <c r="A26" s="181" t="n"/>
      <c r="B26" s="88" t="n"/>
      <c r="C26" s="89" t="n"/>
      <c r="D26" s="90" t="inlineStr">
        <is>
          <t>"Return true with valid file path"</t>
        </is>
      </c>
      <c r="E26" s="91" t="n"/>
      <c r="F26" s="148" t="inlineStr">
        <is>
          <t>O</t>
        </is>
      </c>
      <c r="G26" s="79" t="n"/>
      <c r="H26" s="79" t="n"/>
      <c r="I26" s="79" t="n"/>
      <c r="J26" s="79" t="n"/>
      <c r="K26" s="79" t="n"/>
      <c r="L26" s="79" t="n"/>
      <c r="M26" s="79" t="n"/>
      <c r="N26" s="79" t="n"/>
      <c r="O26" s="79" t="n"/>
      <c r="P26" s="79" t="n"/>
      <c r="Q26" s="79" t="n"/>
      <c r="R26" s="79" t="n"/>
      <c r="S26" s="79" t="n"/>
      <c r="T26" s="195" t="n"/>
    </row>
    <row r="27" ht="13.5" customHeight="1" s="426">
      <c r="A27" s="181" t="n"/>
      <c r="B27" s="88" t="n"/>
      <c r="C27" s="89" t="n"/>
      <c r="D27" s="90" t="inlineStr">
        <is>
          <t>"return false with invalid Excel Format"</t>
        </is>
      </c>
      <c r="E27" s="91" t="n"/>
      <c r="F27" s="79" t="n"/>
      <c r="G27" s="148" t="inlineStr">
        <is>
          <t>O</t>
        </is>
      </c>
      <c r="H27" s="79" t="n"/>
      <c r="I27" s="79" t="n"/>
      <c r="J27" s="79" t="n"/>
      <c r="K27" s="79" t="n"/>
      <c r="L27" s="79" t="n"/>
      <c r="M27" s="79" t="n"/>
      <c r="N27" s="79" t="n"/>
      <c r="O27" s="79" t="n"/>
      <c r="P27" s="79" t="n"/>
      <c r="Q27" s="79" t="n"/>
      <c r="R27" s="79" t="n"/>
      <c r="S27" s="79" t="n"/>
      <c r="T27" s="195" t="n"/>
    </row>
    <row r="28" ht="13.5" customHeight="1" s="426">
      <c r="A28" s="181" t="n"/>
      <c r="B28" s="88" t="n"/>
      <c r="C28" s="89" t="n"/>
      <c r="D28" s="90" t="inlineStr">
        <is>
          <t>"return false with non existent file path"</t>
        </is>
      </c>
      <c r="E28" s="91" t="n"/>
      <c r="F28" s="79" t="n"/>
      <c r="G28" s="79" t="n"/>
      <c r="H28" s="148" t="inlineStr">
        <is>
          <t>O</t>
        </is>
      </c>
      <c r="I28" s="79" t="n"/>
      <c r="J28" s="79" t="n"/>
      <c r="K28" s="79" t="n"/>
      <c r="L28" s="79" t="n"/>
      <c r="M28" s="79" t="n"/>
      <c r="N28" s="79" t="n"/>
      <c r="O28" s="79" t="n"/>
      <c r="P28" s="79" t="n"/>
      <c r="Q28" s="79" t="n"/>
      <c r="R28" s="79" t="n"/>
      <c r="S28" s="79" t="n"/>
      <c r="T28" s="195" t="n"/>
    </row>
    <row r="29" ht="13.5" customHeight="1" s="426">
      <c r="A29" s="181" t="n"/>
      <c r="B29" s="88" t="n"/>
      <c r="C29" s="89" t="n"/>
      <c r="D29" s="90" t="inlineStr">
        <is>
          <t>"return false not excel file"</t>
        </is>
      </c>
      <c r="E29" s="91" t="n"/>
      <c r="F29" s="79" t="n"/>
      <c r="G29" s="79" t="n"/>
      <c r="H29" s="79" t="n"/>
      <c r="I29" s="148" t="inlineStr">
        <is>
          <t>O</t>
        </is>
      </c>
      <c r="J29" s="79" t="n"/>
      <c r="K29" s="79" t="n"/>
      <c r="L29" s="79" t="n"/>
      <c r="M29" s="79" t="n"/>
      <c r="N29" s="79" t="n"/>
      <c r="O29" s="79" t="n"/>
      <c r="P29" s="79" t="n"/>
      <c r="Q29" s="79" t="n"/>
      <c r="R29" s="79" t="n"/>
      <c r="S29" s="79" t="n"/>
      <c r="T29" s="195" t="n"/>
    </row>
    <row r="30" ht="13.5" customHeight="1" s="426" thickBot="1">
      <c r="A30" s="181" t="n"/>
      <c r="B30" s="88" t="n"/>
      <c r="C30" s="89" t="n"/>
      <c r="D30" s="90" t="inlineStr">
        <is>
          <t>"Processing error"</t>
        </is>
      </c>
      <c r="E30" s="91" t="n"/>
      <c r="F30" s="148" t="n"/>
      <c r="G30" s="79" t="n"/>
      <c r="H30" s="148" t="n"/>
      <c r="I30" s="79" t="n"/>
      <c r="J30" s="148" t="inlineStr">
        <is>
          <t>O</t>
        </is>
      </c>
      <c r="K30" s="148" t="n"/>
      <c r="L30" s="79" t="n"/>
      <c r="M30" s="79" t="n"/>
      <c r="N30" s="79" t="n"/>
      <c r="O30" s="148" t="n"/>
      <c r="P30" s="79" t="n"/>
      <c r="Q30" s="79" t="n"/>
      <c r="R30" s="79" t="n"/>
      <c r="S30" s="79" t="n"/>
      <c r="T30" s="195" t="n"/>
    </row>
    <row r="31" ht="13.5" customHeight="1" s="426" thickTop="1">
      <c r="A31" s="182" t="inlineStr">
        <is>
          <t>Result</t>
        </is>
      </c>
      <c r="B31" s="331" t="inlineStr">
        <is>
          <t>Type(N : Normal, A : Abnormal, B : Boundary)</t>
        </is>
      </c>
      <c r="C31" s="472" t="n"/>
      <c r="D31" s="473" t="n"/>
      <c r="E31" s="331" t="n"/>
      <c r="F31" s="188" t="inlineStr">
        <is>
          <t>N</t>
        </is>
      </c>
      <c r="G31" s="188" t="inlineStr">
        <is>
          <t>A</t>
        </is>
      </c>
      <c r="H31" s="188" t="inlineStr">
        <is>
          <t>A</t>
        </is>
      </c>
      <c r="I31" s="188" t="inlineStr">
        <is>
          <t>A</t>
        </is>
      </c>
      <c r="J31" s="188" t="inlineStr">
        <is>
          <t>A</t>
        </is>
      </c>
      <c r="K31" s="188" t="n"/>
      <c r="L31" s="188" t="n"/>
      <c r="M31" s="188" t="n"/>
      <c r="N31" s="188" t="n"/>
      <c r="O31" s="188" t="n"/>
      <c r="P31" s="188" t="n"/>
      <c r="Q31" s="188" t="n"/>
      <c r="R31" s="188" t="n"/>
      <c r="S31" s="188" t="n"/>
      <c r="T31" s="198" t="n"/>
    </row>
    <row r="32" ht="13.5" customHeight="1" s="426">
      <c r="A32" s="174" t="n"/>
      <c r="B32" s="320" t="inlineStr">
        <is>
          <t>Passed/Failed</t>
        </is>
      </c>
      <c r="C32" s="449" t="n"/>
      <c r="D32" s="450" t="n"/>
      <c r="E32" s="95" t="n"/>
      <c r="F32" s="94" t="inlineStr">
        <is>
          <t>P</t>
        </is>
      </c>
      <c r="G32" s="94" t="inlineStr">
        <is>
          <t>P</t>
        </is>
      </c>
      <c r="H32" s="94" t="inlineStr">
        <is>
          <t>P</t>
        </is>
      </c>
      <c r="I32" s="94" t="inlineStr">
        <is>
          <t>P</t>
        </is>
      </c>
      <c r="J32" s="94" t="inlineStr">
        <is>
          <t>P</t>
        </is>
      </c>
      <c r="K32" s="94" t="n"/>
      <c r="L32" s="94" t="n"/>
      <c r="M32" s="94" t="n"/>
      <c r="N32" s="94" t="n"/>
      <c r="O32" s="94" t="n"/>
      <c r="P32" s="94" t="n"/>
      <c r="Q32" s="94" t="n"/>
      <c r="R32" s="94" t="n"/>
      <c r="S32" s="94" t="n"/>
      <c r="T32" s="199" t="n"/>
    </row>
    <row r="33" ht="71.5" customHeight="1" s="426">
      <c r="A33" s="174" t="n"/>
      <c r="B33" s="329" t="inlineStr">
        <is>
          <t>Executed Date</t>
        </is>
      </c>
      <c r="C33" s="449" t="n"/>
      <c r="D33" s="450" t="n"/>
      <c r="E33" s="96" t="n"/>
      <c r="F33" s="97" t="n">
        <v>45706</v>
      </c>
      <c r="G33" s="97" t="n">
        <v>45706</v>
      </c>
      <c r="H33" s="97" t="n">
        <v>45706</v>
      </c>
      <c r="I33" s="97" t="n">
        <v>45706</v>
      </c>
      <c r="J33" s="97" t="n">
        <v>45706</v>
      </c>
      <c r="K33" s="97" t="n"/>
      <c r="L33" s="97" t="n"/>
      <c r="M33" s="97" t="n"/>
      <c r="N33" s="97" t="n"/>
      <c r="O33" s="97" t="n"/>
      <c r="P33" s="97" t="n"/>
      <c r="Q33" s="97" t="n"/>
      <c r="R33" s="97" t="n"/>
      <c r="S33" s="97" t="n"/>
      <c r="T33" s="176" t="n"/>
    </row>
    <row r="34" ht="10.5" customHeight="1" s="426" thickBot="1">
      <c r="A34" s="177" t="n"/>
      <c r="B34" s="330" t="inlineStr">
        <is>
          <t>Defect ID</t>
        </is>
      </c>
      <c r="C34" s="474" t="n"/>
      <c r="D34" s="475" t="n"/>
      <c r="E34" s="178" t="n"/>
      <c r="F34" s="179" t="n"/>
      <c r="G34" s="179" t="n"/>
      <c r="H34" s="179" t="n"/>
      <c r="I34" s="179" t="n"/>
      <c r="J34" s="179" t="n"/>
      <c r="K34" s="179" t="n"/>
      <c r="L34" s="179" t="n"/>
      <c r="M34" s="179" t="n"/>
      <c r="N34" s="179" t="n"/>
      <c r="O34" s="179" t="n"/>
      <c r="P34" s="179" t="n"/>
      <c r="Q34" s="179" t="n"/>
      <c r="R34" s="179" t="n"/>
      <c r="S34" s="179" t="n"/>
      <c r="T34" s="180" t="n"/>
    </row>
    <row r="35" ht="10.5" customHeight="1" s="426" thickTop="1">
      <c r="A35" s="73" t="n"/>
      <c r="B35" s="69" t="n"/>
      <c r="C35" s="413" t="n"/>
      <c r="D35" s="69" t="n"/>
    </row>
  </sheetData>
  <mergeCells count="27">
    <mergeCell ref="F2:K2"/>
    <mergeCell ref="A6:B6"/>
    <mergeCell ref="B34:D34"/>
    <mergeCell ref="C4:D4"/>
    <mergeCell ref="L4:T4"/>
    <mergeCell ref="C2:E2"/>
    <mergeCell ref="A7:B7"/>
    <mergeCell ref="C7:E7"/>
    <mergeCell ref="L6:N6"/>
    <mergeCell ref="A3:B3"/>
    <mergeCell ref="B33:D33"/>
    <mergeCell ref="A2:B2"/>
    <mergeCell ref="B32:D32"/>
    <mergeCell ref="A5:B5"/>
    <mergeCell ref="C3:E3"/>
    <mergeCell ref="O7:T7"/>
    <mergeCell ref="F4:K4"/>
    <mergeCell ref="C6:E6"/>
    <mergeCell ref="A4:B4"/>
    <mergeCell ref="L2:T2"/>
    <mergeCell ref="O6:T6"/>
    <mergeCell ref="B31:D31"/>
    <mergeCell ref="F6:K6"/>
    <mergeCell ref="F7:K7"/>
    <mergeCell ref="C5:T5"/>
    <mergeCell ref="L3:T3"/>
    <mergeCell ref="F3:K3"/>
  </mergeCells>
  <dataValidations count="3">
    <dataValidation sqref="F31:T31" showDropDown="0" showInputMessage="1" showErrorMessage="1" allowBlank="1" type="list">
      <formula1>"N,A,B, "</formula1>
    </dataValidation>
    <dataValidation sqref="F32:T32" showDropDown="0" showInputMessage="1" showErrorMessage="1" allowBlank="1" type="list">
      <formula1>"P,F, "</formula1>
    </dataValidation>
    <dataValidation sqref="F10:T30"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A1:V39"/>
  <sheetViews>
    <sheetView topLeftCell="A29" zoomScale="115" zoomScaleNormal="115" workbookViewId="0">
      <selection activeCell="W37" sqref="W37:X37"/>
    </sheetView>
  </sheetViews>
  <sheetFormatPr baseColWidth="8" defaultColWidth="9" defaultRowHeight="13.5" customHeight="1"/>
  <cols>
    <col width="8.1796875" customWidth="1" style="69" min="1" max="1"/>
    <col width="13.453125" customWidth="1" style="73" min="2" max="2"/>
    <col width="10.81640625" customWidth="1" style="69" min="3" max="3"/>
    <col width="32.72656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User - 6</t>
        </is>
      </c>
      <c r="D2" s="439" t="n"/>
      <c r="E2" s="441" t="n"/>
      <c r="F2" s="410" t="inlineStr">
        <is>
          <t>Function Name</t>
        </is>
      </c>
      <c r="G2" s="496" t="n"/>
      <c r="H2" s="496" t="n"/>
      <c r="I2" s="496" t="n"/>
      <c r="J2" s="496" t="n"/>
      <c r="K2" s="496" t="n"/>
      <c r="L2" s="443" t="inlineStr">
        <is>
          <t>Login</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130</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COUNTIF(F36:HQ36,"P")</f>
        <v/>
      </c>
      <c r="B7" s="465" t="n"/>
      <c r="C7" s="466">
        <f>COUNTIF(F37:HQ37,"F")</f>
        <v/>
      </c>
      <c r="D7" s="467" t="n"/>
      <c r="E7" s="465" t="n"/>
      <c r="F7" s="468">
        <f>SUM(O7,- A7,- C7)</f>
        <v/>
      </c>
      <c r="G7" s="467" t="n"/>
      <c r="H7" s="467" t="n"/>
      <c r="I7" s="467" t="n"/>
      <c r="J7" s="467" t="n"/>
      <c r="K7" s="469" t="n"/>
      <c r="L7" s="342">
        <f>COUNTIF(E35:HQ35,"N")</f>
        <v/>
      </c>
      <c r="M7" s="342">
        <f>COUNTIF(E35:HQ35,"A")</f>
        <v/>
      </c>
      <c r="N7" s="342">
        <f>COUNTIF(E35:HQ35,"B")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inlineStr">
        <is>
          <t>UTCID07</t>
        </is>
      </c>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n"/>
      <c r="J11" s="148" t="inlineStr">
        <is>
          <t>O</t>
        </is>
      </c>
      <c r="K11" s="148" t="inlineStr">
        <is>
          <t>O</t>
        </is>
      </c>
      <c r="L11" s="148" t="inlineStr">
        <is>
          <t>O</t>
        </is>
      </c>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inlineStr">
        <is>
          <t>O</t>
        </is>
      </c>
      <c r="M12" s="148" t="n"/>
      <c r="N12" s="148" t="n"/>
      <c r="O12" s="148" t="n"/>
      <c r="P12" s="148" t="n"/>
      <c r="Q12" s="148" t="n"/>
      <c r="R12" s="148" t="n"/>
      <c r="S12" s="148" t="n"/>
      <c r="T12" s="170" t="n"/>
    </row>
    <row r="13" ht="13.5" customHeight="1" s="426">
      <c r="A13" s="171" t="n"/>
      <c r="B13" s="75" t="n"/>
      <c r="C13" s="76" t="n"/>
      <c r="D13" s="77" t="inlineStr">
        <is>
          <t>Account Existed</t>
        </is>
      </c>
      <c r="E13" s="80" t="n"/>
      <c r="F13" s="148" t="inlineStr">
        <is>
          <t>O</t>
        </is>
      </c>
      <c r="G13" s="148" t="n"/>
      <c r="H13" s="148" t="inlineStr">
        <is>
          <t>O</t>
        </is>
      </c>
      <c r="I13" s="148" t="inlineStr">
        <is>
          <t>O</t>
        </is>
      </c>
      <c r="J13" s="148" t="inlineStr">
        <is>
          <t>O</t>
        </is>
      </c>
      <c r="K13" s="148" t="inlineStr">
        <is>
          <t>O</t>
        </is>
      </c>
      <c r="L13" s="148" t="inlineStr">
        <is>
          <t>O</t>
        </is>
      </c>
      <c r="M13" s="148" t="n"/>
      <c r="N13" s="148" t="n"/>
      <c r="O13" s="148" t="n"/>
      <c r="P13" s="148" t="n"/>
      <c r="Q13" s="148" t="n"/>
      <c r="R13" s="148" t="n"/>
      <c r="S13" s="148" t="n"/>
      <c r="T13" s="170" t="n"/>
    </row>
    <row r="14" ht="13.5" customHeight="1" s="426">
      <c r="A14" s="171" t="n"/>
      <c r="B14" s="75" t="n"/>
      <c r="C14" s="76" t="n"/>
      <c r="D14" s="77" t="inlineStr">
        <is>
          <t>Account Does not Existed</t>
        </is>
      </c>
      <c r="E14" s="80" t="n"/>
      <c r="F14" s="148" t="n"/>
      <c r="G14" s="148" t="inlineStr">
        <is>
          <t>O</t>
        </is>
      </c>
      <c r="H14" s="148" t="n"/>
      <c r="I14" s="148" t="n"/>
      <c r="J14" s="148" t="n"/>
      <c r="K14" s="148" t="n"/>
      <c r="L14" s="148" t="n"/>
      <c r="M14" s="148" t="n"/>
      <c r="N14" s="148" t="n"/>
      <c r="O14" s="148" t="n"/>
      <c r="P14" s="148" t="n"/>
      <c r="Q14" s="148" t="n"/>
      <c r="R14" s="148" t="n"/>
      <c r="S14" s="148" t="n"/>
      <c r="T14" s="170" t="n"/>
    </row>
    <row r="15" ht="13.5" customHeight="1" s="426">
      <c r="A15" s="171" t="n"/>
      <c r="B15" s="75" t="n"/>
      <c r="C15" s="76" t="n"/>
      <c r="D15" s="77" t="inlineStr">
        <is>
          <t>Account Is Locked</t>
        </is>
      </c>
      <c r="E15" s="80" t="n"/>
      <c r="F15" s="148" t="n"/>
      <c r="G15" s="148" t="n"/>
      <c r="H15" s="148" t="inlineStr">
        <is>
          <t>O</t>
        </is>
      </c>
      <c r="I15" s="148" t="n"/>
      <c r="J15" s="148" t="n"/>
      <c r="K15" s="148" t="n"/>
      <c r="L15" s="148" t="n"/>
      <c r="M15" s="148" t="n"/>
      <c r="N15" s="148" t="n"/>
      <c r="O15" s="148" t="n"/>
      <c r="P15" s="148" t="n"/>
      <c r="Q15" s="148" t="n"/>
      <c r="R15" s="148" t="n"/>
      <c r="S15" s="148" t="n"/>
      <c r="T15" s="170" t="n"/>
    </row>
    <row r="16" ht="13.5" customHeight="1" s="426">
      <c r="A16" s="171" t="n"/>
      <c r="B16" s="75" t="inlineStr">
        <is>
          <t>Email</t>
        </is>
      </c>
      <c r="C16" s="76" t="n"/>
      <c r="D16" s="77" t="n"/>
      <c r="E16" s="80" t="n"/>
      <c r="F16" s="148" t="n"/>
      <c r="G16" s="148" t="n"/>
      <c r="H16" s="148" t="n"/>
      <c r="I16" s="148" t="n"/>
      <c r="J16" s="148" t="n"/>
      <c r="K16" s="148" t="n"/>
      <c r="L16" s="148" t="n"/>
      <c r="M16" s="148" t="n"/>
      <c r="N16" s="148" t="n"/>
      <c r="O16" s="148" t="n"/>
      <c r="P16" s="148" t="n"/>
      <c r="Q16" s="148" t="n"/>
      <c r="R16" s="148" t="n"/>
      <c r="S16" s="148" t="n"/>
      <c r="T16" s="170" t="n"/>
    </row>
    <row r="17" ht="13.5" customHeight="1" s="426">
      <c r="A17" s="171" t="n"/>
      <c r="B17" s="75" t="n"/>
      <c r="C17" s="76" t="n"/>
      <c r="D17" s="280" t="inlineStr">
        <is>
          <t>user@example.com</t>
        </is>
      </c>
      <c r="E17" s="80" t="n"/>
      <c r="F17" s="148" t="inlineStr">
        <is>
          <t>O</t>
        </is>
      </c>
      <c r="G17" s="148" t="n"/>
      <c r="H17" s="148" t="inlineStr">
        <is>
          <t>O</t>
        </is>
      </c>
      <c r="I17" s="148" t="inlineStr">
        <is>
          <t>O</t>
        </is>
      </c>
      <c r="J17" s="148" t="n"/>
      <c r="K17" s="148" t="inlineStr">
        <is>
          <t>O</t>
        </is>
      </c>
      <c r="L17" s="148" t="n"/>
      <c r="M17" s="148" t="n"/>
      <c r="N17" s="148" t="n"/>
      <c r="O17" s="148" t="n"/>
      <c r="P17" s="148" t="n"/>
      <c r="Q17" s="148" t="n"/>
      <c r="R17" s="148" t="n"/>
      <c r="S17" s="148" t="n"/>
      <c r="T17" s="170" t="n"/>
    </row>
    <row r="18" ht="13.5" customHeight="1" s="426">
      <c r="A18" s="171" t="n"/>
      <c r="B18" s="75" t="n"/>
      <c r="C18" s="76" t="n"/>
      <c r="D18" s="280" t="inlineStr">
        <is>
          <t>invalid@example.com</t>
        </is>
      </c>
      <c r="E18" s="80" t="n"/>
      <c r="F18" s="148" t="n"/>
      <c r="G18" s="148" t="inlineStr">
        <is>
          <t>O</t>
        </is>
      </c>
      <c r="H18" s="148" t="n"/>
      <c r="I18" s="148" t="n"/>
      <c r="J18" s="148" t="n"/>
      <c r="K18" s="148" t="n"/>
      <c r="L18" s="148" t="n"/>
      <c r="M18" s="148" t="n"/>
      <c r="N18" s="148" t="n"/>
      <c r="O18" s="148" t="n"/>
      <c r="P18" s="148" t="n"/>
      <c r="Q18" s="148" t="n"/>
      <c r="R18" s="148" t="n"/>
      <c r="S18" s="148" t="n"/>
      <c r="T18" s="170" t="n"/>
    </row>
    <row r="19" ht="13.5" customHeight="1" s="426">
      <c r="A19" s="171" t="n"/>
      <c r="B19" s="75" t="n"/>
      <c r="C19" s="76" t="n"/>
      <c r="D19" s="77" t="inlineStr">
        <is>
          <t>null</t>
        </is>
      </c>
      <c r="E19" s="80" t="n"/>
      <c r="F19" s="148" t="n"/>
      <c r="G19" s="148" t="n"/>
      <c r="H19" s="148" t="n"/>
      <c r="I19" s="148" t="n"/>
      <c r="J19" s="148" t="inlineStr">
        <is>
          <t>O</t>
        </is>
      </c>
      <c r="K19" s="148" t="n"/>
      <c r="L19" s="148" t="inlineStr">
        <is>
          <t>O</t>
        </is>
      </c>
      <c r="M19" s="148" t="n"/>
      <c r="N19" s="148" t="n"/>
      <c r="O19" s="148" t="n"/>
      <c r="P19" s="148" t="n"/>
      <c r="Q19" s="148" t="n"/>
      <c r="R19" s="148" t="n"/>
      <c r="S19" s="148" t="n"/>
      <c r="T19" s="170" t="n"/>
    </row>
    <row r="20" ht="13.5" customHeight="1" s="426">
      <c r="A20" s="171" t="n"/>
      <c r="B20" s="75" t="inlineStr">
        <is>
          <t>Password</t>
        </is>
      </c>
      <c r="C20" s="76" t="n"/>
      <c r="D20" s="77" t="n"/>
      <c r="E20" s="80" t="n"/>
      <c r="F20" s="148" t="n"/>
      <c r="G20" s="148" t="n"/>
      <c r="H20" s="148" t="n"/>
      <c r="I20" s="148" t="n"/>
      <c r="J20" s="148" t="n"/>
      <c r="K20" s="148" t="n"/>
      <c r="L20" s="148" t="n"/>
      <c r="M20" s="148" t="n"/>
      <c r="N20" s="148" t="n"/>
      <c r="O20" s="148" t="n"/>
      <c r="P20" s="148" t="n"/>
      <c r="Q20" s="148" t="n"/>
      <c r="R20" s="148" t="n"/>
      <c r="S20" s="148" t="n"/>
      <c r="T20" s="170" t="n"/>
    </row>
    <row r="21" ht="13.5" customHeight="1" s="426">
      <c r="A21" s="171" t="n"/>
      <c r="B21" s="75" t="n"/>
      <c r="C21" s="76" t="n"/>
      <c r="D21" s="77" t="inlineStr">
        <is>
          <t>"validPassword"</t>
        </is>
      </c>
      <c r="E21" s="80" t="n"/>
      <c r="F21" s="148" t="inlineStr">
        <is>
          <t>O</t>
        </is>
      </c>
      <c r="G21" s="148" t="n"/>
      <c r="H21" s="148" t="inlineStr">
        <is>
          <t>O</t>
        </is>
      </c>
      <c r="I21" s="148" t="inlineStr">
        <is>
          <t>O</t>
        </is>
      </c>
      <c r="J21" s="148" t="n"/>
      <c r="K21" s="148" t="n"/>
      <c r="L21" s="148" t="n"/>
      <c r="M21" s="148" t="n"/>
      <c r="N21" s="148" t="n"/>
      <c r="O21" s="148" t="n"/>
      <c r="P21" s="148" t="n"/>
      <c r="Q21" s="148" t="n"/>
      <c r="R21" s="148" t="n"/>
      <c r="S21" s="148" t="n"/>
      <c r="T21" s="170" t="n"/>
    </row>
    <row r="22" ht="13.5" customHeight="1" s="426">
      <c r="A22" s="171" t="n"/>
      <c r="B22" s="75" t="n"/>
      <c r="C22" s="76" t="n"/>
      <c r="D22" s="77" t="inlineStr">
        <is>
          <t>"wrongPassword"</t>
        </is>
      </c>
      <c r="E22" s="80" t="n"/>
      <c r="F22" s="148" t="n"/>
      <c r="G22" s="148" t="inlineStr">
        <is>
          <t>O</t>
        </is>
      </c>
      <c r="H22" s="148" t="n"/>
      <c r="I22" s="148" t="n"/>
      <c r="J22" s="148" t="n"/>
      <c r="K22" s="148" t="n"/>
      <c r="L22" s="148" t="n"/>
      <c r="M22" s="148" t="n"/>
      <c r="N22" s="148" t="n"/>
      <c r="O22" s="148" t="n"/>
      <c r="P22" s="148" t="n"/>
      <c r="Q22" s="148" t="n"/>
      <c r="R22" s="148" t="n"/>
      <c r="S22" s="148" t="n"/>
      <c r="T22" s="170" t="n"/>
    </row>
    <row r="23" ht="13.5" customHeight="1" s="426" thickBot="1">
      <c r="A23" s="171" t="n"/>
      <c r="B23" s="75" t="n"/>
      <c r="C23" s="76" t="n"/>
      <c r="D23" s="77" t="inlineStr">
        <is>
          <t>null</t>
        </is>
      </c>
      <c r="E23" s="80" t="n"/>
      <c r="F23" s="148" t="n"/>
      <c r="G23" s="148" t="n"/>
      <c r="H23" s="148" t="n"/>
      <c r="I23" s="148" t="n"/>
      <c r="J23" s="148" t="n"/>
      <c r="K23" s="148" t="inlineStr">
        <is>
          <t>O</t>
        </is>
      </c>
      <c r="L23" s="148" t="inlineStr">
        <is>
          <t>O</t>
        </is>
      </c>
      <c r="M23" s="148" t="n"/>
      <c r="N23" s="148" t="n"/>
      <c r="O23" s="148" t="n"/>
      <c r="P23" s="148" t="n"/>
      <c r="Q23" s="148" t="n"/>
      <c r="R23" s="148" t="n"/>
      <c r="S23" s="148" t="n"/>
      <c r="T23" s="170" t="n"/>
    </row>
    <row r="24" ht="13.5" customHeight="1" s="426">
      <c r="A24" s="182" t="inlineStr">
        <is>
          <t>Confirm</t>
        </is>
      </c>
      <c r="B24" s="208" t="inlineStr">
        <is>
          <t>Return</t>
        </is>
      </c>
      <c r="C24" s="239" t="n"/>
      <c r="D24" s="210" t="n"/>
      <c r="E24" s="86" t="n"/>
      <c r="F24" s="87" t="n"/>
      <c r="G24" s="87" t="n"/>
      <c r="H24" s="87" t="n"/>
      <c r="I24" s="87" t="n"/>
      <c r="J24" s="87" t="n"/>
      <c r="K24" s="87" t="n"/>
      <c r="L24" s="87" t="n"/>
      <c r="M24" s="87" t="n"/>
      <c r="N24" s="87" t="n"/>
      <c r="O24" s="87" t="n"/>
      <c r="P24" s="87" t="n"/>
      <c r="Q24" s="87" t="n"/>
      <c r="R24" s="87" t="n"/>
      <c r="S24" s="87" t="n"/>
      <c r="T24" s="196" t="n"/>
    </row>
    <row r="25" ht="13.5" customHeight="1" s="426">
      <c r="A25" s="181" t="n"/>
      <c r="B25" s="208" t="n"/>
      <c r="C25" s="209" t="n"/>
      <c r="D25" s="210" t="inlineStr">
        <is>
          <t>User Model</t>
        </is>
      </c>
      <c r="E25" s="91" t="n"/>
      <c r="F25" s="148" t="inlineStr">
        <is>
          <t>O</t>
        </is>
      </c>
      <c r="G25" s="79" t="n"/>
      <c r="H25" s="79" t="n"/>
      <c r="I25" s="79" t="n"/>
      <c r="J25" s="79" t="n"/>
      <c r="K25" s="79" t="n"/>
      <c r="L25" s="148" t="n"/>
      <c r="M25" s="79" t="n"/>
      <c r="N25" s="148" t="n"/>
      <c r="O25" s="79" t="n"/>
      <c r="P25" s="79" t="n"/>
      <c r="Q25" s="79" t="n"/>
      <c r="R25" s="79" t="n"/>
      <c r="S25" s="79" t="n"/>
      <c r="T25" s="195" t="n"/>
    </row>
    <row r="26" ht="13.5" customHeight="1" s="426">
      <c r="A26" s="181" t="n"/>
      <c r="B26" s="116" t="inlineStr">
        <is>
          <t>Exception</t>
        </is>
      </c>
      <c r="C26" s="120" t="n"/>
      <c r="D26" s="118" t="n"/>
      <c r="E26" s="91" t="n"/>
      <c r="F26" s="79" t="n"/>
      <c r="G26" s="79" t="n"/>
      <c r="H26" s="79" t="n"/>
      <c r="I26" s="79" t="n"/>
      <c r="J26" s="79" t="n"/>
      <c r="K26" s="79" t="n"/>
      <c r="L26" s="148" t="n"/>
      <c r="M26" s="79" t="n"/>
      <c r="N26" s="79" t="n"/>
      <c r="O26" s="79" t="n"/>
      <c r="P26" s="79" t="n"/>
      <c r="Q26" s="79" t="n"/>
      <c r="R26" s="79" t="n"/>
      <c r="S26" s="79" t="n"/>
      <c r="T26" s="195" t="n"/>
    </row>
    <row r="27" ht="13.5" customHeight="1" s="426">
      <c r="A27" s="181" t="n"/>
      <c r="B27" s="116" t="n"/>
      <c r="C27" s="120" t="n"/>
      <c r="D27" s="118" t="inlineStr">
        <is>
          <t>InvalidOperationException</t>
        </is>
      </c>
      <c r="E27" s="91" t="n"/>
      <c r="F27" s="79" t="n"/>
      <c r="G27" s="148" t="inlineStr">
        <is>
          <t>O</t>
        </is>
      </c>
      <c r="H27" s="148" t="inlineStr">
        <is>
          <t>O</t>
        </is>
      </c>
      <c r="I27" s="148" t="inlineStr">
        <is>
          <t>O</t>
        </is>
      </c>
      <c r="J27" s="79" t="n"/>
      <c r="K27" s="148" t="n"/>
      <c r="L27" s="79" t="n"/>
      <c r="M27" s="79" t="n"/>
      <c r="N27" s="79" t="n"/>
      <c r="O27" s="148" t="n"/>
      <c r="P27" s="79" t="n"/>
      <c r="Q27" s="79" t="n"/>
      <c r="R27" s="79" t="n"/>
      <c r="S27" s="79" t="n"/>
      <c r="T27" s="195" t="n"/>
    </row>
    <row r="28" ht="13.5" customHeight="1" s="426">
      <c r="A28" s="181" t="n"/>
      <c r="B28" s="116" t="n"/>
      <c r="C28" s="120" t="n"/>
      <c r="D28" s="118" t="inlineStr">
        <is>
          <t>ArgumentNullException</t>
        </is>
      </c>
      <c r="E28" s="91" t="n"/>
      <c r="F28" s="79" t="n"/>
      <c r="G28" s="79" t="n"/>
      <c r="H28" s="148" t="n"/>
      <c r="I28" s="148" t="n"/>
      <c r="J28" s="148" t="inlineStr">
        <is>
          <t>O</t>
        </is>
      </c>
      <c r="K28" s="148" t="inlineStr">
        <is>
          <t>O</t>
        </is>
      </c>
      <c r="L28" s="148" t="inlineStr">
        <is>
          <t>O</t>
        </is>
      </c>
      <c r="M28" s="79" t="n"/>
      <c r="N28" s="79" t="n"/>
      <c r="O28" s="148" t="n"/>
      <c r="P28" s="79" t="n"/>
      <c r="Q28" s="79" t="n"/>
      <c r="R28" s="79" t="n"/>
      <c r="S28" s="79" t="n"/>
      <c r="T28" s="195" t="n"/>
    </row>
    <row r="29" ht="13.5" customHeight="1" s="426">
      <c r="A29" s="181" t="n"/>
      <c r="B29" s="88" t="inlineStr">
        <is>
          <t>Log message</t>
        </is>
      </c>
      <c r="C29" s="89" t="n"/>
      <c r="D29" s="90" t="n"/>
      <c r="E29" s="91" t="n"/>
      <c r="F29" s="79" t="n"/>
      <c r="G29" s="79" t="n"/>
      <c r="H29" s="79" t="n"/>
      <c r="I29" s="79" t="n"/>
      <c r="J29" s="79" t="n"/>
      <c r="K29" s="79" t="n"/>
      <c r="L29" s="79" t="n"/>
      <c r="M29" s="79" t="n"/>
      <c r="N29" s="79" t="n"/>
      <c r="O29" s="79" t="n"/>
      <c r="P29" s="79" t="n"/>
      <c r="Q29" s="79" t="n"/>
      <c r="R29" s="79" t="n"/>
      <c r="S29" s="79" t="n"/>
      <c r="T29" s="195" t="n"/>
    </row>
    <row r="30" ht="13.5" customHeight="1" s="426">
      <c r="A30" s="181" t="n"/>
      <c r="B30" s="88" t="n"/>
      <c r="C30" s="89" t="n"/>
      <c r="D30" s="90" t="inlineStr">
        <is>
          <t>"Tài khoản của bạn đã bị khoá. Vui lòng liên hệ hỗ trợ."</t>
        </is>
      </c>
      <c r="E30" s="91" t="n"/>
      <c r="F30" s="148" t="n"/>
      <c r="G30" s="79" t="n"/>
      <c r="H30" s="148" t="inlineStr">
        <is>
          <t>O</t>
        </is>
      </c>
      <c r="I30" s="79" t="n"/>
      <c r="J30" s="79" t="n"/>
      <c r="K30" s="79" t="n"/>
      <c r="L30" s="79" t="n"/>
      <c r="M30" s="79" t="n"/>
      <c r="N30" s="79" t="n"/>
      <c r="O30" s="79" t="n"/>
      <c r="P30" s="79" t="n"/>
      <c r="Q30" s="79" t="n"/>
      <c r="R30" s="79" t="n"/>
      <c r="S30" s="79" t="n"/>
      <c r="T30" s="195" t="n"/>
    </row>
    <row r="31" ht="13.5" customHeight="1" s="426">
      <c r="A31" s="181" t="n"/>
      <c r="B31" s="88" t="n"/>
      <c r="C31" s="89" t="n"/>
      <c r="D31" s="90" t="inlineStr">
        <is>
          <t>"Đã xảy ra lỗi không mong muốn khi đăng nhập."</t>
        </is>
      </c>
      <c r="E31" s="91" t="n"/>
      <c r="F31" s="79" t="n"/>
      <c r="G31" s="148" t="n"/>
      <c r="H31" s="79" t="n"/>
      <c r="I31" s="148" t="inlineStr">
        <is>
          <t>O</t>
        </is>
      </c>
      <c r="J31" s="79" t="n"/>
      <c r="K31" s="79" t="n"/>
      <c r="L31" s="79" t="n"/>
      <c r="M31" s="79" t="n"/>
      <c r="N31" s="79" t="n"/>
      <c r="O31" s="79" t="n"/>
      <c r="P31" s="79" t="n"/>
      <c r="Q31" s="79" t="n"/>
      <c r="R31" s="79" t="n"/>
      <c r="S31" s="79" t="n"/>
      <c r="T31" s="195" t="n"/>
    </row>
    <row r="32" ht="13.5" customHeight="1" s="426">
      <c r="A32" s="181" t="n"/>
      <c r="B32" s="88" t="n"/>
      <c r="C32" s="89" t="n"/>
      <c r="D32" s="90" t="inlineStr">
        <is>
          <t>"Expected Login to return false for an empty Email."</t>
        </is>
      </c>
      <c r="E32" s="91" t="n"/>
      <c r="F32" s="79" t="n"/>
      <c r="G32" s="79" t="n"/>
      <c r="H32" s="148" t="n"/>
      <c r="I32" s="79" t="n"/>
      <c r="J32" s="148" t="inlineStr">
        <is>
          <t>O</t>
        </is>
      </c>
      <c r="K32" s="79" t="n"/>
      <c r="L32" s="79" t="n"/>
      <c r="M32" s="79" t="n"/>
      <c r="N32" s="79" t="n"/>
      <c r="O32" s="79" t="n"/>
      <c r="P32" s="79" t="n"/>
      <c r="Q32" s="79" t="n"/>
      <c r="R32" s="79" t="n"/>
      <c r="S32" s="79" t="n"/>
      <c r="T32" s="195" t="n"/>
    </row>
    <row r="33" ht="13.5" customHeight="1" s="426">
      <c r="A33" s="181" t="n"/>
      <c r="B33" s="88" t="n"/>
      <c r="C33" s="89" t="n"/>
      <c r="D33" s="90" t="inlineStr">
        <is>
          <t>"Expected Login to return false for an empty Password."</t>
        </is>
      </c>
      <c r="E33" s="91" t="n"/>
      <c r="F33" s="79" t="n"/>
      <c r="G33" s="79" t="n"/>
      <c r="H33" s="79" t="n"/>
      <c r="I33" s="148" t="n"/>
      <c r="J33" s="79" t="n"/>
      <c r="K33" s="148" t="inlineStr">
        <is>
          <t>O</t>
        </is>
      </c>
      <c r="L33" s="79" t="n"/>
      <c r="M33" s="79" t="n"/>
      <c r="N33" s="79" t="n"/>
      <c r="O33" s="79" t="n"/>
      <c r="P33" s="79" t="n"/>
      <c r="Q33" s="79" t="n"/>
      <c r="R33" s="79" t="n"/>
      <c r="S33" s="79" t="n"/>
      <c r="T33" s="195" t="n"/>
    </row>
    <row r="34" ht="13.5" customHeight="1" s="426" thickBot="1">
      <c r="A34" s="181" t="n"/>
      <c r="B34" s="88" t="n"/>
      <c r="C34" s="89" t="n"/>
      <c r="D34" s="90" t="inlineStr">
        <is>
          <t>Expected Login to return false for Null Input."</t>
        </is>
      </c>
      <c r="E34" s="91" t="n"/>
      <c r="F34" s="79" t="n"/>
      <c r="G34" s="79" t="n"/>
      <c r="H34" s="79" t="n"/>
      <c r="I34" s="79" t="n"/>
      <c r="J34" s="148" t="n"/>
      <c r="K34" s="148" t="n"/>
      <c r="L34" s="148" t="inlineStr">
        <is>
          <t>O</t>
        </is>
      </c>
      <c r="M34" s="79" t="n"/>
      <c r="N34" s="79" t="n"/>
      <c r="O34" s="79" t="n"/>
      <c r="P34" s="79" t="n"/>
      <c r="Q34" s="79" t="n"/>
      <c r="R34" s="79" t="n"/>
      <c r="S34" s="79" t="n"/>
      <c r="T34" s="195" t="n"/>
    </row>
    <row r="35" ht="13.5" customHeight="1" s="426" thickTop="1">
      <c r="A35" s="182" t="inlineStr">
        <is>
          <t>Result</t>
        </is>
      </c>
      <c r="B35" s="331" t="inlineStr">
        <is>
          <t>Type(N : Normal, A : Abnormal, B : Boundary)</t>
        </is>
      </c>
      <c r="C35" s="472" t="n"/>
      <c r="D35" s="473" t="n"/>
      <c r="E35" s="331" t="n"/>
      <c r="F35" s="188" t="inlineStr">
        <is>
          <t>N</t>
        </is>
      </c>
      <c r="G35" s="188" t="inlineStr">
        <is>
          <t>A</t>
        </is>
      </c>
      <c r="H35" s="188" t="inlineStr">
        <is>
          <t>A</t>
        </is>
      </c>
      <c r="I35" s="188" t="inlineStr">
        <is>
          <t>A</t>
        </is>
      </c>
      <c r="J35" s="188" t="inlineStr">
        <is>
          <t>A</t>
        </is>
      </c>
      <c r="K35" s="188" t="inlineStr">
        <is>
          <t>A</t>
        </is>
      </c>
      <c r="L35" s="188" t="inlineStr">
        <is>
          <t>A</t>
        </is>
      </c>
      <c r="M35" s="188" t="n"/>
      <c r="N35" s="188" t="n"/>
      <c r="O35" s="188" t="n"/>
      <c r="P35" s="188" t="n"/>
      <c r="Q35" s="188" t="n"/>
      <c r="R35" s="188" t="n"/>
      <c r="S35" s="188" t="n"/>
      <c r="T35" s="198" t="n"/>
    </row>
    <row r="36" ht="13.5" customHeight="1" s="426">
      <c r="A36" s="174" t="n"/>
      <c r="B36" s="320" t="inlineStr">
        <is>
          <t>Passed/Failed</t>
        </is>
      </c>
      <c r="C36" s="449" t="n"/>
      <c r="D36" s="450" t="n"/>
      <c r="E36" s="95" t="n"/>
      <c r="F36" s="94" t="inlineStr">
        <is>
          <t>P</t>
        </is>
      </c>
      <c r="G36" s="94" t="inlineStr">
        <is>
          <t>P</t>
        </is>
      </c>
      <c r="H36" s="94" t="inlineStr">
        <is>
          <t>P</t>
        </is>
      </c>
      <c r="I36" s="94" t="inlineStr">
        <is>
          <t>P</t>
        </is>
      </c>
      <c r="J36" s="94" t="inlineStr">
        <is>
          <t>P</t>
        </is>
      </c>
      <c r="K36" s="94" t="inlineStr">
        <is>
          <t>P</t>
        </is>
      </c>
      <c r="L36" s="94" t="inlineStr">
        <is>
          <t>P</t>
        </is>
      </c>
      <c r="M36" s="94" t="n"/>
      <c r="N36" s="94" t="n"/>
      <c r="O36" s="94" t="n"/>
      <c r="P36" s="94" t="n"/>
      <c r="Q36" s="94" t="n"/>
      <c r="R36" s="94" t="n"/>
      <c r="S36" s="94" t="n"/>
      <c r="T36" s="199" t="n"/>
    </row>
    <row r="37" ht="71.5" customHeight="1" s="426">
      <c r="A37" s="174" t="n"/>
      <c r="B37" s="329" t="inlineStr">
        <is>
          <t>Executed Date</t>
        </is>
      </c>
      <c r="C37" s="449" t="n"/>
      <c r="D37" s="450" t="n"/>
      <c r="E37" s="96" t="n"/>
      <c r="F37" s="97" t="n">
        <v>45706</v>
      </c>
      <c r="G37" s="97" t="n">
        <v>45706</v>
      </c>
      <c r="H37" s="97" t="n">
        <v>45706</v>
      </c>
      <c r="I37" s="97" t="n">
        <v>45706</v>
      </c>
      <c r="J37" s="97" t="n">
        <v>45706</v>
      </c>
      <c r="K37" s="97" t="n">
        <v>45706</v>
      </c>
      <c r="L37" s="97" t="n">
        <v>45706</v>
      </c>
      <c r="M37" s="97" t="n"/>
      <c r="N37" s="97" t="n"/>
      <c r="O37" s="97" t="n"/>
      <c r="P37" s="97" t="n"/>
      <c r="Q37" s="97" t="n"/>
      <c r="R37" s="97" t="n"/>
      <c r="S37" s="97" t="n"/>
      <c r="T37" s="176" t="n"/>
    </row>
    <row r="38" ht="10.5" customHeight="1" s="426" thickBot="1">
      <c r="A38" s="177" t="n"/>
      <c r="B38" s="330" t="inlineStr">
        <is>
          <t>Defect ID</t>
        </is>
      </c>
      <c r="C38" s="474" t="n"/>
      <c r="D38" s="475" t="n"/>
      <c r="E38" s="178" t="n"/>
      <c r="F38" s="179" t="n"/>
      <c r="G38" s="179" t="n"/>
      <c r="H38" s="179" t="n"/>
      <c r="I38" s="179" t="n"/>
      <c r="J38" s="179" t="n"/>
      <c r="K38" s="179" t="n"/>
      <c r="L38" s="179" t="n"/>
      <c r="M38" s="179" t="n"/>
      <c r="N38" s="179" t="n"/>
      <c r="O38" s="179" t="n"/>
      <c r="P38" s="179" t="n"/>
      <c r="Q38" s="179" t="n"/>
      <c r="R38" s="179" t="n"/>
      <c r="S38" s="179" t="n"/>
      <c r="T38" s="180" t="n"/>
    </row>
    <row r="39" ht="10.5" customHeight="1" s="426" thickTop="1">
      <c r="A39" s="73" t="n"/>
      <c r="B39" s="69" t="n"/>
      <c r="C39" s="413" t="n"/>
      <c r="D39" s="69" t="n"/>
    </row>
  </sheetData>
  <mergeCells count="27">
    <mergeCell ref="F2:K2"/>
    <mergeCell ref="B38:D38"/>
    <mergeCell ref="A6:B6"/>
    <mergeCell ref="C4:D4"/>
    <mergeCell ref="L4:T4"/>
    <mergeCell ref="C2:E2"/>
    <mergeCell ref="B37:D37"/>
    <mergeCell ref="A7:B7"/>
    <mergeCell ref="C7:E7"/>
    <mergeCell ref="L6:N6"/>
    <mergeCell ref="A3:B3"/>
    <mergeCell ref="B36:D36"/>
    <mergeCell ref="A2:B2"/>
    <mergeCell ref="B35:D35"/>
    <mergeCell ref="A5:B5"/>
    <mergeCell ref="C3:E3"/>
    <mergeCell ref="O7:T7"/>
    <mergeCell ref="F4:K4"/>
    <mergeCell ref="C6:E6"/>
    <mergeCell ref="A4:B4"/>
    <mergeCell ref="L2:T2"/>
    <mergeCell ref="O6:T6"/>
    <mergeCell ref="F6:K6"/>
    <mergeCell ref="F7:K7"/>
    <mergeCell ref="C5:T5"/>
    <mergeCell ref="L3:T3"/>
    <mergeCell ref="F3:K3"/>
  </mergeCells>
  <dataValidations count="3">
    <dataValidation sqref="F35:T35" showDropDown="0" showInputMessage="1" showErrorMessage="1" allowBlank="1" type="list">
      <formula1>"N,A,B, "</formula1>
    </dataValidation>
    <dataValidation sqref="F36:T36" showDropDown="0" showInputMessage="1" showErrorMessage="1" allowBlank="1" type="list">
      <formula1>"P,F, "</formula1>
    </dataValidation>
    <dataValidation sqref="F10:T34" showDropDown="0" showInputMessage="1" showErrorMessage="1" allowBlank="1" type="list">
      <formula1>"O, "</formula1>
    </dataValidation>
  </dataValidations>
  <hyperlinks>
    <hyperlink xmlns:r="http://schemas.openxmlformats.org/officeDocument/2006/relationships" ref="D17" r:id="rId1"/>
    <hyperlink xmlns:r="http://schemas.openxmlformats.org/officeDocument/2006/relationships" ref="D18" r:id="rId2"/>
  </hyperlink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A1:V30"/>
  <sheetViews>
    <sheetView zoomScale="115" zoomScaleNormal="115" workbookViewId="0">
      <selection activeCell="A1" sqref="A1"/>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RoomFacility - 5</t>
        </is>
      </c>
      <c r="D2" s="439" t="n"/>
      <c r="E2" s="441" t="n"/>
      <c r="F2" s="410" t="inlineStr">
        <is>
          <t>Function Name</t>
        </is>
      </c>
      <c r="G2" s="496" t="n"/>
      <c r="H2" s="496" t="n"/>
      <c r="I2" s="496" t="n"/>
      <c r="J2" s="496" t="n"/>
      <c r="K2" s="496" t="n"/>
      <c r="L2" s="443" t="inlineStr">
        <is>
          <t>Delete Room Facility</t>
        </is>
      </c>
      <c r="M2" s="439" t="n"/>
      <c r="N2" s="439" t="n"/>
      <c r="O2" s="439" t="n"/>
      <c r="P2" s="439" t="n"/>
      <c r="Q2" s="439" t="n"/>
      <c r="R2" s="439" t="n"/>
      <c r="S2" s="439" t="n"/>
      <c r="T2" s="444" t="n"/>
      <c r="V2" s="71" t="n"/>
    </row>
    <row r="3" ht="13.5" customHeight="1" s="426">
      <c r="A3" s="445" t="inlineStr">
        <is>
          <t>Created By</t>
        </is>
      </c>
      <c r="B3" s="428" t="n"/>
      <c r="C3" s="446" t="inlineStr">
        <is>
          <t>Nguyễn Thanh Tuấn</t>
        </is>
      </c>
      <c r="D3" s="433" t="n"/>
      <c r="E3" s="447" t="n"/>
      <c r="F3" s="448" t="inlineStr">
        <is>
          <t>Executed By</t>
        </is>
      </c>
      <c r="G3" s="449" t="n"/>
      <c r="H3" s="449" t="n"/>
      <c r="I3" s="449" t="n"/>
      <c r="J3" s="449" t="n"/>
      <c r="K3" s="450" t="n"/>
      <c r="L3" s="453" t="inlineStr">
        <is>
          <t>Nguyễn Thanh Tuấn</t>
        </is>
      </c>
      <c r="M3" s="454" t="n"/>
      <c r="N3" s="454" t="n"/>
      <c r="O3" s="454" t="n"/>
      <c r="P3" s="454" t="n"/>
      <c r="Q3" s="454" t="n"/>
      <c r="R3" s="454" t="n"/>
      <c r="S3" s="454" t="n"/>
      <c r="T3" s="455" t="n"/>
    </row>
    <row r="4" ht="13.5" customHeight="1" s="426">
      <c r="A4" s="445" t="inlineStr">
        <is>
          <t>Lines  of code</t>
        </is>
      </c>
      <c r="B4" s="428" t="n"/>
      <c r="C4" s="327" t="n">
        <v>75</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COUNTIF(F27:HQ27,"P")</f>
        <v/>
      </c>
      <c r="B7" s="465" t="n"/>
      <c r="C7" s="466">
        <f>COUNTIF(F28:HQ28,"F")</f>
        <v/>
      </c>
      <c r="D7" s="467" t="n"/>
      <c r="E7" s="465" t="n"/>
      <c r="F7" s="468">
        <f>SUM(O7,- A7,- C7)</f>
        <v/>
      </c>
      <c r="G7" s="467" t="n"/>
      <c r="H7" s="467" t="n"/>
      <c r="I7" s="467" t="n"/>
      <c r="J7" s="467" t="n"/>
      <c r="K7" s="469" t="n"/>
      <c r="L7" s="342">
        <f>COUNTIF(E26:HQ26,"N")</f>
        <v/>
      </c>
      <c r="M7" s="342">
        <f>COUNTIF(E26:HQ26,"A")</f>
        <v/>
      </c>
      <c r="N7" s="342">
        <f>COUNTIF(E26:HQ26,"B")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row>
    <row r="13" ht="13.5" customHeight="1" s="426">
      <c r="A13" s="171" t="n"/>
      <c r="B13" s="75" t="n"/>
      <c r="C13" s="76" t="n"/>
      <c r="D13" s="77" t="inlineStr">
        <is>
          <t>Room Facility Existed</t>
        </is>
      </c>
      <c r="E13" s="80" t="n"/>
      <c r="F13" s="148" t="inlineStr">
        <is>
          <t>O</t>
        </is>
      </c>
      <c r="G13" s="148" t="n"/>
      <c r="H13" s="148" t="inlineStr">
        <is>
          <t>O</t>
        </is>
      </c>
      <c r="I13" s="148" t="n"/>
      <c r="J13" s="148" t="n"/>
      <c r="K13" s="148" t="n"/>
      <c r="L13" s="148" t="n"/>
      <c r="M13" s="148" t="n"/>
      <c r="N13" s="148" t="n"/>
      <c r="O13" s="148" t="n"/>
      <c r="P13" s="148" t="n"/>
      <c r="Q13" s="148" t="n"/>
      <c r="R13" s="148" t="n"/>
      <c r="S13" s="148" t="n"/>
      <c r="T13" s="170" t="n"/>
    </row>
    <row r="14" ht="13.5" customHeight="1" s="426">
      <c r="A14" s="171" t="n"/>
      <c r="B14" s="75" t="n"/>
      <c r="C14" s="76" t="n"/>
      <c r="D14" s="77" t="inlineStr">
        <is>
          <t>Room Facility Does not Existed</t>
        </is>
      </c>
      <c r="E14" s="80" t="n"/>
      <c r="F14" s="148" t="n"/>
      <c r="G14" s="148" t="inlineStr">
        <is>
          <t>O</t>
        </is>
      </c>
      <c r="H14" s="148" t="n"/>
      <c r="I14" s="148" t="n"/>
      <c r="J14" s="148" t="n"/>
      <c r="K14" s="148" t="n"/>
      <c r="L14" s="148" t="n"/>
      <c r="M14" s="148" t="n"/>
      <c r="N14" s="148" t="n"/>
      <c r="O14" s="148" t="n"/>
      <c r="P14" s="148" t="n"/>
      <c r="Q14" s="148" t="n"/>
      <c r="R14" s="148" t="n"/>
      <c r="S14" s="148" t="n"/>
      <c r="T14" s="170" t="n"/>
    </row>
    <row r="15" ht="13.5" customHeight="1" s="426">
      <c r="A15" s="171" t="n"/>
      <c r="B15" s="75" t="inlineStr">
        <is>
          <t>roomFacilityId</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thickBot="1">
      <c r="A16" s="171" t="n"/>
      <c r="B16" s="75" t="n"/>
      <c r="C16" s="76" t="n"/>
      <c r="D16" s="77" t="inlineStr">
        <is>
          <t>Guid</t>
        </is>
      </c>
      <c r="E16" s="80" t="n"/>
      <c r="F16" s="148" t="inlineStr">
        <is>
          <t>O</t>
        </is>
      </c>
      <c r="G16" s="148" t="inlineStr">
        <is>
          <t>O</t>
        </is>
      </c>
      <c r="H16" s="148" t="inlineStr">
        <is>
          <t>O</t>
        </is>
      </c>
      <c r="I16" s="148" t="n"/>
      <c r="J16" s="148" t="n"/>
      <c r="K16" s="148" t="n"/>
      <c r="L16" s="148" t="n"/>
      <c r="M16" s="148" t="n"/>
      <c r="N16" s="148" t="n"/>
      <c r="O16" s="148" t="n"/>
      <c r="P16" s="148" t="n"/>
      <c r="Q16" s="148" t="n"/>
      <c r="R16" s="148" t="n"/>
      <c r="S16" s="148" t="n"/>
      <c r="T16" s="170" t="n"/>
    </row>
    <row r="17" ht="13.5" customHeight="1" s="426">
      <c r="A17" s="182" t="inlineStr">
        <is>
          <t>Confirm</t>
        </is>
      </c>
      <c r="B17" s="208" t="inlineStr">
        <is>
          <t>Return</t>
        </is>
      </c>
      <c r="C17" s="239" t="n"/>
      <c r="D17" s="210" t="n"/>
      <c r="E17" s="86" t="n"/>
      <c r="F17" s="87" t="n"/>
      <c r="G17" s="87" t="n"/>
      <c r="H17" s="87" t="n"/>
      <c r="I17" s="87" t="n"/>
      <c r="J17" s="87" t="n"/>
      <c r="K17" s="87" t="n"/>
      <c r="L17" s="87" t="n"/>
      <c r="M17" s="87" t="n"/>
      <c r="N17" s="87" t="n"/>
      <c r="O17" s="87" t="n"/>
      <c r="P17" s="87" t="n"/>
      <c r="Q17" s="87" t="n"/>
      <c r="R17" s="87" t="n"/>
      <c r="S17" s="87" t="n"/>
      <c r="T17" s="196" t="n"/>
    </row>
    <row r="18" ht="13.5" customHeight="1" s="426">
      <c r="A18" s="181" t="n"/>
      <c r="B18" s="208" t="n"/>
      <c r="C18" s="209" t="n"/>
      <c r="D18" s="210" t="inlineStr">
        <is>
          <t>T</t>
        </is>
      </c>
      <c r="E18" s="91" t="n"/>
      <c r="F18" s="148" t="inlineStr">
        <is>
          <t>O</t>
        </is>
      </c>
      <c r="G18" s="79" t="n"/>
      <c r="H18" s="79" t="n"/>
      <c r="I18" s="79" t="n"/>
      <c r="J18" s="79" t="n"/>
      <c r="K18" s="79" t="n"/>
      <c r="L18" s="148" t="n"/>
      <c r="M18" s="79" t="n"/>
      <c r="N18" s="148" t="n"/>
      <c r="O18" s="79" t="n"/>
      <c r="P18" s="79" t="n"/>
      <c r="Q18" s="79" t="n"/>
      <c r="R18" s="79" t="n"/>
      <c r="S18" s="79" t="n"/>
      <c r="T18" s="195" t="n"/>
    </row>
    <row r="19" ht="13.5" customHeight="1" s="426">
      <c r="A19" s="181" t="n"/>
      <c r="B19" s="126" t="n"/>
      <c r="C19" s="89" t="n"/>
      <c r="D19" s="90" t="inlineStr">
        <is>
          <t>F</t>
        </is>
      </c>
      <c r="E19" s="91" t="n"/>
      <c r="F19" s="79" t="n"/>
      <c r="G19" s="148" t="inlineStr">
        <is>
          <t>O</t>
        </is>
      </c>
      <c r="H19" s="148" t="n"/>
      <c r="I19" s="148" t="n"/>
      <c r="J19" s="148" t="n"/>
      <c r="K19" s="79" t="n"/>
      <c r="L19" s="79" t="n"/>
      <c r="M19" s="148" t="n"/>
      <c r="N19" s="79" t="n"/>
      <c r="O19" s="148" t="n"/>
      <c r="P19" s="79" t="n"/>
      <c r="Q19" s="79" t="n"/>
      <c r="R19" s="79" t="n"/>
      <c r="S19" s="79" t="n"/>
      <c r="T19" s="195" t="n"/>
    </row>
    <row r="20" ht="13.5" customHeight="1" s="426">
      <c r="A20" s="181" t="n"/>
      <c r="B20" s="116" t="inlineStr">
        <is>
          <t>Exception</t>
        </is>
      </c>
      <c r="C20" s="120" t="n"/>
      <c r="D20" s="118" t="n"/>
      <c r="E20" s="91" t="n"/>
      <c r="F20" s="79" t="n"/>
      <c r="G20" s="79" t="n"/>
      <c r="H20" s="79" t="n"/>
      <c r="I20" s="79" t="n"/>
      <c r="J20" s="79" t="n"/>
      <c r="K20" s="79" t="n"/>
      <c r="L20" s="79" t="n"/>
      <c r="M20" s="79" t="n"/>
      <c r="N20" s="79" t="n"/>
      <c r="O20" s="79" t="n"/>
      <c r="P20" s="79" t="n"/>
      <c r="Q20" s="79" t="n"/>
      <c r="R20" s="79" t="n"/>
      <c r="S20" s="79" t="n"/>
      <c r="T20" s="195" t="n"/>
    </row>
    <row r="21" ht="13.5" customHeight="1" s="426">
      <c r="A21" s="181" t="n"/>
      <c r="B21" s="116" t="n"/>
      <c r="C21" s="120" t="n"/>
      <c r="D21" s="118" t="inlineStr">
        <is>
          <t>InvalidOperationException</t>
        </is>
      </c>
      <c r="E21" s="91" t="n"/>
      <c r="F21" s="79" t="n"/>
      <c r="G21" s="79" t="n"/>
      <c r="H21" s="148" t="inlineStr">
        <is>
          <t>O</t>
        </is>
      </c>
      <c r="I21" s="148" t="n"/>
      <c r="J21" s="79" t="n"/>
      <c r="K21" s="148" t="n"/>
      <c r="L21" s="79" t="n"/>
      <c r="M21" s="79" t="n"/>
      <c r="N21" s="79" t="n"/>
      <c r="O21" s="79" t="n"/>
      <c r="P21" s="79" t="n"/>
      <c r="Q21" s="79" t="n"/>
      <c r="R21" s="79" t="n"/>
      <c r="S21" s="79" t="n"/>
      <c r="T21" s="195" t="n"/>
    </row>
    <row r="22" ht="13.5" customHeight="1" s="426">
      <c r="A22" s="181" t="n"/>
      <c r="B22" s="88" t="inlineStr">
        <is>
          <t>Log message</t>
        </is>
      </c>
      <c r="C22" s="89" t="n"/>
      <c r="D22" s="90" t="n"/>
      <c r="E22" s="91" t="n"/>
      <c r="F22" s="79" t="n"/>
      <c r="G22" s="79" t="n"/>
      <c r="H22" s="79" t="n"/>
      <c r="I22" s="79" t="n"/>
      <c r="J22" s="79" t="n"/>
      <c r="K22" s="79" t="n"/>
      <c r="L22" s="79" t="n"/>
      <c r="M22" s="79" t="n"/>
      <c r="N22" s="79" t="n"/>
      <c r="O22" s="79" t="n"/>
      <c r="P22" s="79" t="n"/>
      <c r="Q22" s="79" t="n"/>
      <c r="R22" s="79" t="n"/>
      <c r="S22" s="79" t="n"/>
      <c r="T22" s="195" t="n"/>
    </row>
    <row r="23" ht="13.5" customHeight="1" s="426">
      <c r="A23" s="181" t="n"/>
      <c r="B23" s="88" t="n"/>
      <c r="C23" s="89" t="n"/>
      <c r="D23" s="90" t="inlineStr">
        <is>
          <t>Expected DeleteRoomFacility to return true for a valid ID.</t>
        </is>
      </c>
      <c r="E23" s="91" t="n"/>
      <c r="F23" s="79" t="n"/>
      <c r="G23" s="79" t="n"/>
      <c r="H23" s="79" t="n"/>
      <c r="I23" s="79" t="n"/>
      <c r="J23" s="79" t="n"/>
      <c r="K23" s="79" t="n"/>
      <c r="L23" s="79" t="n"/>
      <c r="M23" s="79" t="n"/>
      <c r="N23" s="79" t="n"/>
      <c r="O23" s="79" t="n"/>
      <c r="P23" s="79" t="n"/>
      <c r="Q23" s="79" t="n"/>
      <c r="R23" s="79" t="n"/>
      <c r="S23" s="79" t="n"/>
      <c r="T23" s="195" t="n"/>
    </row>
    <row r="24" ht="13.5" customHeight="1" s="426">
      <c r="A24" s="181" t="n"/>
      <c r="B24" s="88" t="n"/>
      <c r="C24" s="89" t="n"/>
      <c r="D24" s="90" t="inlineStr">
        <is>
          <t>Expected DeleteRoomFacility to return false for a non-existent ID.</t>
        </is>
      </c>
      <c r="E24" s="91" t="n"/>
      <c r="F24" s="79" t="n"/>
      <c r="G24" s="79" t="n"/>
      <c r="H24" s="79" t="n"/>
      <c r="I24" s="79" t="n"/>
      <c r="J24" s="79" t="n"/>
      <c r="K24" s="79" t="n"/>
      <c r="L24" s="79" t="n"/>
      <c r="M24" s="79" t="n"/>
      <c r="N24" s="79" t="n"/>
      <c r="O24" s="79" t="n"/>
      <c r="P24" s="79" t="n"/>
      <c r="Q24" s="79" t="n"/>
      <c r="R24" s="79" t="n"/>
      <c r="S24" s="79" t="n"/>
      <c r="T24" s="195" t="n"/>
    </row>
    <row r="25" ht="13.5" customHeight="1" s="426" thickBot="1">
      <c r="A25" s="181" t="n"/>
      <c r="B25" s="88" t="n"/>
      <c r="C25" s="89" t="n"/>
      <c r="D25" s="90" t="inlineStr">
        <is>
          <t>"Simulated DB error"</t>
        </is>
      </c>
      <c r="E25" s="91" t="n"/>
      <c r="F25" s="148" t="n"/>
      <c r="G25" s="79" t="n"/>
      <c r="H25" s="148" t="inlineStr">
        <is>
          <t>O</t>
        </is>
      </c>
      <c r="I25" s="79" t="n"/>
      <c r="J25" s="79" t="n"/>
      <c r="K25" s="79" t="n"/>
      <c r="L25" s="79" t="n"/>
      <c r="M25" s="79" t="n"/>
      <c r="N25" s="79" t="n"/>
      <c r="O25" s="79" t="n"/>
      <c r="P25" s="79" t="n"/>
      <c r="Q25" s="79" t="n"/>
      <c r="R25" s="79" t="n"/>
      <c r="S25" s="79" t="n"/>
      <c r="T25" s="195" t="n"/>
    </row>
    <row r="26" ht="13.5" customHeight="1" s="426" thickTop="1">
      <c r="A26" s="182" t="inlineStr">
        <is>
          <t>Result</t>
        </is>
      </c>
      <c r="B26" s="331" t="inlineStr">
        <is>
          <t>Type(N : Normal, A : Abnormal, B : Boundary)</t>
        </is>
      </c>
      <c r="C26" s="472" t="n"/>
      <c r="D26" s="473" t="n"/>
      <c r="E26" s="331" t="n"/>
      <c r="F26" s="188" t="inlineStr">
        <is>
          <t>N</t>
        </is>
      </c>
      <c r="G26" s="188" t="inlineStr">
        <is>
          <t>N</t>
        </is>
      </c>
      <c r="H26" s="188" t="inlineStr">
        <is>
          <t>A</t>
        </is>
      </c>
      <c r="I26" s="188" t="n"/>
      <c r="J26" s="188" t="n"/>
      <c r="K26" s="188" t="n"/>
      <c r="L26" s="188" t="n"/>
      <c r="M26" s="188" t="n"/>
      <c r="N26" s="188" t="n"/>
      <c r="O26" s="188" t="n"/>
      <c r="P26" s="188" t="n"/>
      <c r="Q26" s="188" t="n"/>
      <c r="R26" s="188" t="n"/>
      <c r="S26" s="188" t="n"/>
      <c r="T26" s="198" t="n"/>
    </row>
    <row r="27" ht="13.5" customHeight="1" s="426">
      <c r="A27" s="174" t="n"/>
      <c r="B27" s="320" t="inlineStr">
        <is>
          <t>Passed/Failed</t>
        </is>
      </c>
      <c r="C27" s="449" t="n"/>
      <c r="D27" s="450" t="n"/>
      <c r="E27" s="95" t="n"/>
      <c r="F27" s="94" t="inlineStr">
        <is>
          <t>P</t>
        </is>
      </c>
      <c r="G27" s="94" t="inlineStr">
        <is>
          <t>P</t>
        </is>
      </c>
      <c r="H27" s="94" t="inlineStr">
        <is>
          <t>P</t>
        </is>
      </c>
      <c r="I27" s="94" t="n"/>
      <c r="J27" s="94" t="n"/>
      <c r="K27" s="94" t="n"/>
      <c r="L27" s="94" t="n"/>
      <c r="M27" s="94" t="n"/>
      <c r="N27" s="94" t="n"/>
      <c r="O27" s="94" t="n"/>
      <c r="P27" s="94" t="n"/>
      <c r="Q27" s="94" t="n"/>
      <c r="R27" s="94" t="n"/>
      <c r="S27" s="94" t="n"/>
      <c r="T27" s="199" t="n"/>
    </row>
    <row r="28" ht="71.5" customHeight="1" s="426">
      <c r="A28" s="174" t="n"/>
      <c r="B28" s="329" t="inlineStr">
        <is>
          <t>Executed Date</t>
        </is>
      </c>
      <c r="C28" s="449" t="n"/>
      <c r="D28" s="450" t="n"/>
      <c r="E28" s="96" t="n"/>
      <c r="F28" s="97" t="n">
        <v>45702</v>
      </c>
      <c r="G28" s="97" t="n">
        <v>45702</v>
      </c>
      <c r="H28" s="97" t="n">
        <v>45702</v>
      </c>
      <c r="I28" s="97" t="n"/>
      <c r="J28" s="97" t="n"/>
      <c r="K28" s="97" t="n"/>
      <c r="L28" s="97" t="n"/>
      <c r="M28" s="97" t="n"/>
      <c r="N28" s="97" t="n"/>
      <c r="O28" s="97" t="n"/>
      <c r="P28" s="97" t="n"/>
      <c r="Q28" s="97" t="n"/>
      <c r="R28" s="97" t="n"/>
      <c r="S28" s="97" t="n"/>
      <c r="T28" s="176" t="n"/>
    </row>
    <row r="29" ht="10.5" customHeight="1" s="426" thickBot="1">
      <c r="A29" s="177" t="n"/>
      <c r="B29" s="330" t="inlineStr">
        <is>
          <t>Defect ID</t>
        </is>
      </c>
      <c r="C29" s="474" t="n"/>
      <c r="D29" s="475" t="n"/>
      <c r="E29" s="178" t="n"/>
      <c r="F29" s="179" t="n"/>
      <c r="G29" s="179" t="n"/>
      <c r="H29" s="179" t="n"/>
      <c r="I29" s="179" t="n"/>
      <c r="J29" s="179" t="n"/>
      <c r="K29" s="179" t="n"/>
      <c r="L29" s="179" t="n"/>
      <c r="M29" s="179" t="n"/>
      <c r="N29" s="179" t="n"/>
      <c r="O29" s="179" t="n"/>
      <c r="P29" s="179" t="n"/>
      <c r="Q29" s="179" t="n"/>
      <c r="R29" s="179" t="n"/>
      <c r="S29" s="179" t="n"/>
      <c r="T29" s="180" t="n"/>
    </row>
    <row r="30" ht="10.5" customHeight="1" s="426" thickTop="1">
      <c r="A30" s="73" t="n"/>
      <c r="B30" s="69" t="n"/>
      <c r="C30" s="413" t="n"/>
      <c r="D30" s="69" t="n"/>
    </row>
  </sheetData>
  <mergeCells count="27">
    <mergeCell ref="B29:D29"/>
    <mergeCell ref="F2:K2"/>
    <mergeCell ref="A6:B6"/>
    <mergeCell ref="C4:D4"/>
    <mergeCell ref="C2:E2"/>
    <mergeCell ref="L4:T4"/>
    <mergeCell ref="B28:D28"/>
    <mergeCell ref="A7:B7"/>
    <mergeCell ref="C7:E7"/>
    <mergeCell ref="L6:N6"/>
    <mergeCell ref="A3:B3"/>
    <mergeCell ref="A2:B2"/>
    <mergeCell ref="A5:B5"/>
    <mergeCell ref="B26:D26"/>
    <mergeCell ref="C3:E3"/>
    <mergeCell ref="O7:T7"/>
    <mergeCell ref="F4:K4"/>
    <mergeCell ref="C6:E6"/>
    <mergeCell ref="A4:B4"/>
    <mergeCell ref="L2:T2"/>
    <mergeCell ref="O6:T6"/>
    <mergeCell ref="F6:K6"/>
    <mergeCell ref="B27:D27"/>
    <mergeCell ref="C5:T5"/>
    <mergeCell ref="F7:K7"/>
    <mergeCell ref="L3:T3"/>
    <mergeCell ref="F3:K3"/>
  </mergeCells>
  <dataValidations count="3">
    <dataValidation sqref="F26:T26" showDropDown="0" showInputMessage="1" showErrorMessage="1" allowBlank="1" type="list">
      <formula1>"N,A,B, "</formula1>
    </dataValidation>
    <dataValidation sqref="F27:T27" showDropDown="0" showInputMessage="1" showErrorMessage="1" allowBlank="1" type="list">
      <formula1>"P,F, "</formula1>
    </dataValidation>
    <dataValidation sqref="F10:T25"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A1:V57"/>
  <sheetViews>
    <sheetView topLeftCell="A31" zoomScale="115" zoomScaleNormal="115" workbookViewId="0">
      <selection activeCell="W45" sqref="W45"/>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Facility - 3</t>
        </is>
      </c>
      <c r="D2" s="439" t="n"/>
      <c r="E2" s="441" t="n"/>
      <c r="F2" s="410" t="inlineStr">
        <is>
          <t>Function Name</t>
        </is>
      </c>
      <c r="G2" s="496" t="n"/>
      <c r="H2" s="496" t="n"/>
      <c r="I2" s="496" t="n"/>
      <c r="J2" s="496" t="n"/>
      <c r="K2" s="496" t="n"/>
      <c r="L2" s="443" t="inlineStr">
        <is>
          <t>Add New Facility</t>
        </is>
      </c>
      <c r="M2" s="439" t="n"/>
      <c r="N2" s="439" t="n"/>
      <c r="O2" s="439" t="n"/>
      <c r="P2" s="439" t="n"/>
      <c r="Q2" s="439" t="n"/>
      <c r="R2" s="439" t="n"/>
      <c r="S2" s="439" t="n"/>
      <c r="T2" s="444" t="n"/>
      <c r="V2" s="71" t="n"/>
    </row>
    <row r="3" ht="13.5" customHeight="1" s="426">
      <c r="A3" s="445" t="inlineStr">
        <is>
          <t>Created By</t>
        </is>
      </c>
      <c r="B3" s="428" t="n"/>
      <c r="C3" s="446" t="inlineStr">
        <is>
          <t>Nguyễn Thanh Tuấn</t>
        </is>
      </c>
      <c r="D3" s="433" t="n"/>
      <c r="E3" s="447" t="n"/>
      <c r="F3" s="448" t="inlineStr">
        <is>
          <t>Executed By</t>
        </is>
      </c>
      <c r="G3" s="449" t="n"/>
      <c r="H3" s="449" t="n"/>
      <c r="I3" s="449" t="n"/>
      <c r="J3" s="449" t="n"/>
      <c r="K3" s="450" t="n"/>
      <c r="L3" s="453" t="inlineStr">
        <is>
          <t>Nguyễn Thanh Tuấn</t>
        </is>
      </c>
      <c r="M3" s="454" t="n"/>
      <c r="N3" s="454" t="n"/>
      <c r="O3" s="454" t="n"/>
      <c r="P3" s="454" t="n"/>
      <c r="Q3" s="454" t="n"/>
      <c r="R3" s="454" t="n"/>
      <c r="S3" s="454" t="n"/>
      <c r="T3" s="455" t="n"/>
    </row>
    <row r="4" ht="13.5" customHeight="1" s="426">
      <c r="A4" s="445" t="inlineStr">
        <is>
          <t>Lines  of code</t>
        </is>
      </c>
      <c r="B4" s="428" t="n"/>
      <c r="C4" s="327" t="n">
        <v>268</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COUNTIF(F54:HQ54,"P")</f>
        <v/>
      </c>
      <c r="B7" s="465" t="n"/>
      <c r="C7" s="466">
        <f>COUNTIF(F55:HQ55,"F")</f>
        <v/>
      </c>
      <c r="D7" s="467" t="n"/>
      <c r="E7" s="465" t="n"/>
      <c r="F7" s="468">
        <f>SUM(O7,- A7,- C7)</f>
        <v/>
      </c>
      <c r="G7" s="467" t="n"/>
      <c r="H7" s="467" t="n"/>
      <c r="I7" s="467" t="n"/>
      <c r="J7" s="467" t="n"/>
      <c r="K7" s="469" t="n"/>
      <c r="L7" s="342">
        <f>COUNTIF(E53:HQ53,"N")</f>
        <v/>
      </c>
      <c r="M7" s="342">
        <f>COUNTIF(E53:HQ53,"A")</f>
        <v/>
      </c>
      <c r="N7" s="342">
        <f>COUNTIF(E53:HQ53,"B")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inlineStr">
        <is>
          <t>UTCID07</t>
        </is>
      </c>
      <c r="M9" s="168" t="inlineStr">
        <is>
          <t>UTCID08</t>
        </is>
      </c>
      <c r="N9" s="168" t="inlineStr">
        <is>
          <t>UTCID09</t>
        </is>
      </c>
      <c r="O9" s="168" t="inlineStr">
        <is>
          <t>UTCID10</t>
        </is>
      </c>
      <c r="P9" s="168" t="inlineStr">
        <is>
          <t>UTCID11</t>
        </is>
      </c>
      <c r="Q9" s="168" t="inlineStr">
        <is>
          <t>UTCID12</t>
        </is>
      </c>
      <c r="R9" s="168" t="inlineStr">
        <is>
          <t>UTCID13</t>
        </is>
      </c>
      <c r="S9" s="168" t="n"/>
      <c r="T9" s="168"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inlineStr">
        <is>
          <t>O</t>
        </is>
      </c>
      <c r="K11" s="148" t="n"/>
      <c r="L11" s="148" t="inlineStr">
        <is>
          <t>O</t>
        </is>
      </c>
      <c r="M11" s="148" t="inlineStr">
        <is>
          <t>O</t>
        </is>
      </c>
      <c r="N11" s="148" t="inlineStr">
        <is>
          <t>O</t>
        </is>
      </c>
      <c r="O11" s="148" t="inlineStr">
        <is>
          <t>O</t>
        </is>
      </c>
      <c r="P11" s="148" t="inlineStr">
        <is>
          <t>O</t>
        </is>
      </c>
      <c r="Q11" s="148" t="inlineStr">
        <is>
          <t>O</t>
        </is>
      </c>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inlineStr">
        <is>
          <t>O</t>
        </is>
      </c>
      <c r="M12" s="148" t="inlineStr">
        <is>
          <t>O</t>
        </is>
      </c>
      <c r="N12" s="148" t="inlineStr">
        <is>
          <t>O</t>
        </is>
      </c>
      <c r="O12" s="148" t="inlineStr">
        <is>
          <t>O</t>
        </is>
      </c>
      <c r="P12" s="148" t="inlineStr">
        <is>
          <t>O</t>
        </is>
      </c>
      <c r="Q12" s="148" t="inlineStr">
        <is>
          <t>O</t>
        </is>
      </c>
      <c r="R12" s="148" t="inlineStr">
        <is>
          <t>O</t>
        </is>
      </c>
      <c r="S12" s="148" t="n"/>
      <c r="T12" s="170" t="n"/>
    </row>
    <row r="13" ht="13.5" customHeight="1" s="426">
      <c r="A13" s="171" t="n"/>
      <c r="B13" s="75" t="n"/>
      <c r="C13" s="76" t="n"/>
      <c r="D13" s="77" t="inlineStr">
        <is>
          <t>RoleId Existed</t>
        </is>
      </c>
      <c r="E13" s="80" t="n"/>
      <c r="F13" s="148" t="inlineStr">
        <is>
          <t>O</t>
        </is>
      </c>
      <c r="G13" s="148" t="n"/>
      <c r="H13" s="148" t="inlineStr">
        <is>
          <t>O</t>
        </is>
      </c>
      <c r="I13" s="148" t="inlineStr">
        <is>
          <t>O</t>
        </is>
      </c>
      <c r="J13" s="148" t="inlineStr">
        <is>
          <t>O</t>
        </is>
      </c>
      <c r="K13" s="148" t="n"/>
      <c r="L13" s="148" t="inlineStr">
        <is>
          <t>O</t>
        </is>
      </c>
      <c r="M13" s="148" t="inlineStr">
        <is>
          <t>O</t>
        </is>
      </c>
      <c r="N13" s="148" t="inlineStr">
        <is>
          <t>O</t>
        </is>
      </c>
      <c r="O13" s="148" t="inlineStr">
        <is>
          <t>O</t>
        </is>
      </c>
      <c r="P13" s="148" t="inlineStr">
        <is>
          <t>O</t>
        </is>
      </c>
      <c r="Q13" s="148" t="inlineStr">
        <is>
          <t>O</t>
        </is>
      </c>
      <c r="R13" s="148" t="inlineStr">
        <is>
          <t>O</t>
        </is>
      </c>
      <c r="S13" s="148" t="n"/>
      <c r="T13" s="170" t="n"/>
    </row>
    <row r="14" ht="13.5" customHeight="1" s="426">
      <c r="A14" s="171" t="n"/>
      <c r="B14" s="75" t="n"/>
      <c r="C14" s="76" t="n"/>
      <c r="D14" s="77" t="inlineStr">
        <is>
          <t>RoleId Does not Existed</t>
        </is>
      </c>
      <c r="E14" s="80" t="n"/>
      <c r="F14" s="148" t="n"/>
      <c r="G14" s="148" t="inlineStr">
        <is>
          <t>O</t>
        </is>
      </c>
      <c r="H14" s="148" t="n"/>
      <c r="I14" s="148" t="n"/>
      <c r="J14" s="148" t="n"/>
      <c r="K14" s="148" t="inlineStr">
        <is>
          <t>O</t>
        </is>
      </c>
      <c r="L14" s="148" t="n"/>
      <c r="M14" s="148" t="n"/>
      <c r="N14" s="148" t="n"/>
      <c r="O14" s="148" t="n"/>
      <c r="P14" s="148" t="n"/>
      <c r="Q14" s="148" t="n"/>
      <c r="R14" s="148" t="n"/>
      <c r="S14" s="148" t="n"/>
      <c r="T14" s="170" t="n"/>
    </row>
    <row r="15" ht="13.5" customHeight="1" s="426">
      <c r="A15" s="171" t="n"/>
      <c r="B15" s="75" t="inlineStr">
        <is>
          <t>FacilityName</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c r="A16" s="171" t="n"/>
      <c r="B16" s="75" t="n"/>
      <c r="C16" s="76" t="n"/>
      <c r="D16" s="77" t="inlineStr">
        <is>
          <t>"New Facility"</t>
        </is>
      </c>
      <c r="E16" s="80" t="n"/>
      <c r="F16" s="148" t="inlineStr">
        <is>
          <t>O</t>
        </is>
      </c>
      <c r="G16" s="148" t="n"/>
      <c r="H16" s="148" t="n"/>
      <c r="I16" s="148" t="inlineStr">
        <is>
          <t>O</t>
        </is>
      </c>
      <c r="J16" s="148" t="inlineStr">
        <is>
          <t>O</t>
        </is>
      </c>
      <c r="K16" s="148" t="inlineStr">
        <is>
          <t>O</t>
        </is>
      </c>
      <c r="L16" s="148" t="n"/>
      <c r="M16" s="148" t="n"/>
      <c r="N16" s="148" t="inlineStr">
        <is>
          <t>O</t>
        </is>
      </c>
      <c r="O16" s="148" t="inlineStr">
        <is>
          <t>O</t>
        </is>
      </c>
      <c r="P16" s="148" t="inlineStr">
        <is>
          <t>O</t>
        </is>
      </c>
      <c r="Q16" s="148" t="inlineStr">
        <is>
          <t>O</t>
        </is>
      </c>
      <c r="R16" s="148" t="inlineStr">
        <is>
          <t>O</t>
        </is>
      </c>
      <c r="S16" s="148" t="n"/>
      <c r="T16" s="170" t="n"/>
    </row>
    <row r="17" ht="13.5" customHeight="1" s="426">
      <c r="A17" s="171" t="n"/>
      <c r="B17" s="75" t="n"/>
      <c r="C17" s="76" t="n"/>
      <c r="D17" s="77" t="inlineStr">
        <is>
          <t>null</t>
        </is>
      </c>
      <c r="E17" s="80" t="n"/>
      <c r="F17" s="148" t="n"/>
      <c r="G17" s="148" t="inlineStr">
        <is>
          <t>O</t>
        </is>
      </c>
      <c r="H17" s="148" t="inlineStr">
        <is>
          <t>O</t>
        </is>
      </c>
      <c r="I17" s="148" t="n"/>
      <c r="J17" s="148" t="n"/>
      <c r="K17" s="148" t="n"/>
      <c r="L17" s="148" t="n"/>
      <c r="M17" s="148" t="n"/>
      <c r="N17" s="148" t="n"/>
      <c r="O17" s="148" t="n"/>
      <c r="P17" s="148" t="n"/>
      <c r="Q17" s="148" t="n"/>
      <c r="R17" s="148" t="n"/>
      <c r="S17" s="148" t="n"/>
      <c r="T17" s="170" t="n"/>
    </row>
    <row r="18" ht="13.5" customHeight="1" s="426">
      <c r="A18" s="171" t="n"/>
      <c r="B18" s="75" t="n"/>
      <c r="C18" s="76" t="n"/>
      <c r="D18" s="77" t="inlineStr">
        <is>
          <t>50 characters string</t>
        </is>
      </c>
      <c r="E18" s="80" t="n"/>
      <c r="F18" s="148" t="n"/>
      <c r="G18" s="148" t="n"/>
      <c r="H18" s="148" t="n"/>
      <c r="I18" s="148" t="n"/>
      <c r="J18" s="148" t="n"/>
      <c r="K18" s="148" t="n"/>
      <c r="L18" s="148" t="inlineStr">
        <is>
          <t>O</t>
        </is>
      </c>
      <c r="M18" s="148" t="n"/>
      <c r="N18" s="148" t="n"/>
      <c r="O18" s="148" t="n"/>
      <c r="P18" s="148" t="n"/>
      <c r="Q18" s="148" t="n"/>
      <c r="R18" s="148" t="n"/>
      <c r="S18" s="148" t="n"/>
      <c r="T18" s="170" t="n"/>
    </row>
    <row r="19" ht="13.5" customHeight="1" s="426">
      <c r="A19" s="171" t="n"/>
      <c r="B19" s="75" t="n"/>
      <c r="C19" s="76" t="n"/>
      <c r="D19" s="77" t="inlineStr">
        <is>
          <t>51 characters string</t>
        </is>
      </c>
      <c r="E19" s="80" t="n"/>
      <c r="F19" s="148" t="n"/>
      <c r="G19" s="148" t="n"/>
      <c r="H19" s="148" t="n"/>
      <c r="I19" s="148" t="n"/>
      <c r="J19" s="148" t="n"/>
      <c r="K19" s="148" t="n"/>
      <c r="L19" s="148" t="n"/>
      <c r="M19" s="148" t="inlineStr">
        <is>
          <t>O</t>
        </is>
      </c>
      <c r="N19" s="148" t="n"/>
      <c r="O19" s="148" t="n"/>
      <c r="P19" s="148" t="n"/>
      <c r="Q19" s="148" t="n"/>
      <c r="R19" s="148" t="n"/>
      <c r="S19" s="148" t="n"/>
      <c r="T19" s="170" t="n"/>
    </row>
    <row r="20" ht="13.5" customHeight="1" s="426">
      <c r="A20" s="171" t="n"/>
      <c r="B20" s="75" t="inlineStr">
        <is>
          <t>TotalQuantity</t>
        </is>
      </c>
      <c r="C20" s="76" t="n"/>
      <c r="D20" s="77" t="n"/>
      <c r="E20" s="80" t="n"/>
      <c r="F20" s="148" t="n"/>
      <c r="G20" s="148" t="n"/>
      <c r="H20" s="148" t="n"/>
      <c r="I20" s="148" t="n"/>
      <c r="J20" s="148" t="n"/>
      <c r="K20" s="148" t="n"/>
      <c r="L20" s="148" t="n"/>
      <c r="M20" s="148" t="n"/>
      <c r="N20" s="148" t="n"/>
      <c r="O20" s="148" t="n"/>
      <c r="P20" s="148" t="n"/>
      <c r="Q20" s="148" t="n"/>
      <c r="R20" s="148" t="n"/>
      <c r="S20" s="148" t="n"/>
      <c r="T20" s="170" t="n"/>
    </row>
    <row r="21" ht="13.5" customHeight="1" s="426">
      <c r="A21" s="171" t="n"/>
      <c r="B21" s="75" t="n"/>
      <c r="C21" s="76" t="n"/>
      <c r="D21" s="77" t="n">
        <v>100</v>
      </c>
      <c r="E21" s="80" t="n"/>
      <c r="F21" s="148" t="inlineStr">
        <is>
          <t>O</t>
        </is>
      </c>
      <c r="G21" s="148" t="n"/>
      <c r="H21" s="148" t="inlineStr">
        <is>
          <t>O</t>
        </is>
      </c>
      <c r="I21" s="148" t="inlineStr">
        <is>
          <t>O</t>
        </is>
      </c>
      <c r="J21" s="148" t="inlineStr">
        <is>
          <t>O</t>
        </is>
      </c>
      <c r="K21" s="148" t="inlineStr">
        <is>
          <t>O</t>
        </is>
      </c>
      <c r="L21" s="148" t="inlineStr">
        <is>
          <t>O</t>
        </is>
      </c>
      <c r="M21" s="148" t="inlineStr">
        <is>
          <t>O</t>
        </is>
      </c>
      <c r="N21" s="148" t="inlineStr">
        <is>
          <t>O</t>
        </is>
      </c>
      <c r="O21" s="148" t="inlineStr">
        <is>
          <t>O</t>
        </is>
      </c>
      <c r="P21" s="148" t="inlineStr">
        <is>
          <t>O</t>
        </is>
      </c>
      <c r="Q21" s="148" t="inlineStr">
        <is>
          <t>O</t>
        </is>
      </c>
      <c r="R21" s="148" t="inlineStr">
        <is>
          <t>O</t>
        </is>
      </c>
      <c r="S21" s="148" t="n"/>
      <c r="T21" s="170" t="n"/>
    </row>
    <row r="22" ht="13.5" customHeight="1" s="426">
      <c r="A22" s="171" t="n"/>
      <c r="B22" s="75" t="n"/>
      <c r="C22" s="76" t="n"/>
      <c r="D22" s="77" t="inlineStr">
        <is>
          <t>null</t>
        </is>
      </c>
      <c r="E22" s="80" t="n"/>
      <c r="F22" s="148" t="n"/>
      <c r="G22" s="148" t="inlineStr">
        <is>
          <t>O</t>
        </is>
      </c>
      <c r="H22" s="148" t="n"/>
      <c r="I22" s="148" t="n"/>
      <c r="J22" s="148" t="n"/>
      <c r="K22" s="148" t="n"/>
      <c r="L22" s="148" t="n"/>
      <c r="M22" s="148" t="n"/>
      <c r="N22" s="148" t="n"/>
      <c r="O22" s="148" t="n"/>
      <c r="P22" s="148" t="n"/>
      <c r="Q22" s="148" t="n"/>
      <c r="R22" s="148" t="n"/>
      <c r="S22" s="148" t="n"/>
      <c r="T22" s="170" t="n"/>
    </row>
    <row r="23" ht="13.5" customHeight="1" s="426">
      <c r="A23" s="171" t="n"/>
      <c r="B23" s="75" t="inlineStr">
        <is>
          <t>AvailableQuantity</t>
        </is>
      </c>
      <c r="C23" s="76" t="n"/>
      <c r="D23" s="77" t="n"/>
      <c r="E23" s="80" t="n"/>
      <c r="F23" s="148" t="n"/>
      <c r="G23" s="148" t="n"/>
      <c r="H23" s="148" t="n"/>
      <c r="I23" s="148" t="n"/>
      <c r="J23" s="148" t="n"/>
      <c r="K23" s="148" t="n"/>
      <c r="L23" s="148" t="n"/>
      <c r="M23" s="148" t="n"/>
      <c r="N23" s="148" t="n"/>
      <c r="O23" s="148" t="n"/>
      <c r="P23" s="148" t="n"/>
      <c r="Q23" s="148" t="n"/>
      <c r="R23" s="148" t="n"/>
      <c r="S23" s="148" t="n"/>
      <c r="T23" s="170" t="n"/>
    </row>
    <row r="24" ht="13.5" customHeight="1" s="426">
      <c r="A24" s="171" t="n"/>
      <c r="B24" s="75" t="n"/>
      <c r="C24" s="76" t="n"/>
      <c r="D24" s="77" t="n">
        <v>100</v>
      </c>
      <c r="E24" s="80" t="n"/>
      <c r="F24" s="148" t="inlineStr">
        <is>
          <t>O</t>
        </is>
      </c>
      <c r="G24" s="148" t="n"/>
      <c r="H24" s="148" t="inlineStr">
        <is>
          <t>O</t>
        </is>
      </c>
      <c r="I24" s="148" t="inlineStr">
        <is>
          <t>O</t>
        </is>
      </c>
      <c r="J24" s="148" t="inlineStr">
        <is>
          <t>O</t>
        </is>
      </c>
      <c r="K24" s="148" t="inlineStr">
        <is>
          <t>O</t>
        </is>
      </c>
      <c r="L24" s="148" t="inlineStr">
        <is>
          <t>O</t>
        </is>
      </c>
      <c r="M24" s="148" t="inlineStr">
        <is>
          <t>O</t>
        </is>
      </c>
      <c r="N24" s="148" t="inlineStr">
        <is>
          <t>O</t>
        </is>
      </c>
      <c r="O24" s="148" t="inlineStr">
        <is>
          <t>O</t>
        </is>
      </c>
      <c r="P24" s="148" t="inlineStr">
        <is>
          <t>O</t>
        </is>
      </c>
      <c r="Q24" s="148" t="inlineStr">
        <is>
          <t>O</t>
        </is>
      </c>
      <c r="R24" s="148" t="inlineStr">
        <is>
          <t>O</t>
        </is>
      </c>
      <c r="S24" s="148" t="n"/>
      <c r="T24" s="170" t="n"/>
    </row>
    <row r="25" ht="13.5" customHeight="1" s="426">
      <c r="A25" s="171" t="n"/>
      <c r="B25" s="75" t="n"/>
      <c r="C25" s="76" t="n"/>
      <c r="D25" s="77" t="inlineStr">
        <is>
          <t>null</t>
        </is>
      </c>
      <c r="E25" s="80" t="n"/>
      <c r="F25" s="148" t="n"/>
      <c r="G25" s="148" t="inlineStr">
        <is>
          <t>O</t>
        </is>
      </c>
      <c r="H25" s="148" t="n"/>
      <c r="I25" s="148" t="n"/>
      <c r="J25" s="148" t="n"/>
      <c r="K25" s="148" t="n"/>
      <c r="L25" s="148" t="n"/>
      <c r="M25" s="148" t="n"/>
      <c r="N25" s="148" t="n"/>
      <c r="O25" s="148" t="n"/>
      <c r="P25" s="148" t="n"/>
      <c r="Q25" s="148" t="n"/>
      <c r="R25" s="148" t="n"/>
      <c r="S25" s="148" t="n"/>
      <c r="T25" s="170" t="n"/>
    </row>
    <row r="26" ht="13.5" customHeight="1" s="426">
      <c r="A26" s="171" t="n"/>
      <c r="B26" s="75" t="inlineStr">
        <is>
          <t>UnitOfMeasure</t>
        </is>
      </c>
      <c r="C26" s="76" t="n"/>
      <c r="D26" s="77" t="n"/>
      <c r="E26" s="80" t="n"/>
      <c r="F26" s="148" t="n"/>
      <c r="G26" s="148" t="n"/>
      <c r="H26" s="148" t="n"/>
      <c r="I26" s="148" t="n"/>
      <c r="J26" s="148" t="n"/>
      <c r="K26" s="148" t="n"/>
      <c r="L26" s="148" t="n"/>
      <c r="M26" s="148" t="n"/>
      <c r="N26" s="148" t="n"/>
      <c r="O26" s="148" t="n"/>
      <c r="P26" s="148" t="n"/>
      <c r="Q26" s="148" t="n"/>
      <c r="R26" s="148" t="n"/>
      <c r="S26" s="148" t="n"/>
      <c r="T26" s="170" t="n"/>
    </row>
    <row r="27" ht="13.5" customHeight="1" s="426">
      <c r="A27" s="171" t="n"/>
      <c r="B27" s="75" t="n"/>
      <c r="C27" s="76" t="n"/>
      <c r="D27" s="77" t="inlineStr">
        <is>
          <t>"pcs"</t>
        </is>
      </c>
      <c r="E27" s="80" t="n"/>
      <c r="F27" s="148" t="inlineStr">
        <is>
          <t>O</t>
        </is>
      </c>
      <c r="G27" s="148" t="n"/>
      <c r="H27" s="148" t="inlineStr">
        <is>
          <t>O</t>
        </is>
      </c>
      <c r="I27" s="148" t="n"/>
      <c r="J27" s="148" t="inlineStr">
        <is>
          <t>O</t>
        </is>
      </c>
      <c r="K27" s="148" t="inlineStr">
        <is>
          <t>O</t>
        </is>
      </c>
      <c r="L27" s="148" t="inlineStr">
        <is>
          <t>O</t>
        </is>
      </c>
      <c r="M27" s="148" t="inlineStr">
        <is>
          <t>O</t>
        </is>
      </c>
      <c r="N27" s="148" t="n"/>
      <c r="O27" s="148" t="n"/>
      <c r="P27" s="148" t="inlineStr">
        <is>
          <t>O</t>
        </is>
      </c>
      <c r="Q27" s="148" t="inlineStr">
        <is>
          <t>O</t>
        </is>
      </c>
      <c r="R27" s="148" t="inlineStr">
        <is>
          <t>O</t>
        </is>
      </c>
      <c r="S27" s="148" t="n"/>
      <c r="T27" s="170" t="n"/>
    </row>
    <row r="28" ht="13.5" customHeight="1" s="426">
      <c r="A28" s="171" t="n"/>
      <c r="B28" s="75" t="n"/>
      <c r="C28" s="76" t="n"/>
      <c r="D28" s="77" t="inlineStr">
        <is>
          <t>null</t>
        </is>
      </c>
      <c r="E28" s="80" t="n"/>
      <c r="F28" s="148" t="n"/>
      <c r="G28" s="148" t="inlineStr">
        <is>
          <t>O</t>
        </is>
      </c>
      <c r="H28" s="148" t="n"/>
      <c r="I28" s="148" t="inlineStr">
        <is>
          <t>O</t>
        </is>
      </c>
      <c r="J28" s="148" t="n"/>
      <c r="K28" s="148" t="n"/>
      <c r="L28" s="148" t="n"/>
      <c r="M28" s="148" t="n"/>
      <c r="N28" s="148" t="n"/>
      <c r="O28" s="148" t="n"/>
      <c r="P28" s="148" t="n"/>
      <c r="Q28" s="148" t="n"/>
      <c r="R28" s="148" t="n"/>
      <c r="S28" s="148" t="n"/>
      <c r="T28" s="170" t="n"/>
    </row>
    <row r="29" ht="13.5" customHeight="1" s="426">
      <c r="A29" s="171" t="n"/>
      <c r="B29" s="75" t="n"/>
      <c r="C29" s="76" t="n"/>
      <c r="D29" s="77" t="inlineStr">
        <is>
          <t>20 characters string</t>
        </is>
      </c>
      <c r="E29" s="80" t="n"/>
      <c r="F29" s="148" t="n"/>
      <c r="G29" s="148" t="n"/>
      <c r="H29" s="148" t="n"/>
      <c r="I29" s="148" t="n"/>
      <c r="J29" s="148" t="n"/>
      <c r="K29" s="148" t="n"/>
      <c r="L29" s="148" t="n"/>
      <c r="M29" s="148" t="n"/>
      <c r="N29" s="148" t="inlineStr">
        <is>
          <t>O</t>
        </is>
      </c>
      <c r="O29" s="148" t="n"/>
      <c r="P29" s="148" t="n"/>
      <c r="Q29" s="148" t="n"/>
      <c r="R29" s="148" t="n"/>
      <c r="S29" s="148" t="n"/>
      <c r="T29" s="170" t="n"/>
    </row>
    <row r="30" ht="13.5" customHeight="1" s="426">
      <c r="A30" s="171" t="n"/>
      <c r="B30" s="75" t="n"/>
      <c r="C30" s="76" t="n"/>
      <c r="D30" s="77" t="inlineStr">
        <is>
          <t>21 characters string</t>
        </is>
      </c>
      <c r="E30" s="80" t="n"/>
      <c r="F30" s="148" t="n"/>
      <c r="G30" s="148" t="n"/>
      <c r="H30" s="148" t="n"/>
      <c r="I30" s="148" t="n"/>
      <c r="J30" s="148" t="n"/>
      <c r="K30" s="148" t="n"/>
      <c r="L30" s="148" t="n"/>
      <c r="M30" s="148" t="n"/>
      <c r="N30" s="148" t="n"/>
      <c r="O30" s="148" t="inlineStr">
        <is>
          <t>O</t>
        </is>
      </c>
      <c r="P30" s="148" t="n"/>
      <c r="Q30" s="148" t="n"/>
      <c r="R30" s="148" t="n"/>
      <c r="S30" s="148" t="n"/>
      <c r="T30" s="170" t="n"/>
    </row>
    <row r="31" ht="13.5" customHeight="1" s="426">
      <c r="A31" s="171" t="n"/>
      <c r="B31" s="75" t="inlineStr">
        <is>
          <t>Description</t>
        </is>
      </c>
      <c r="C31" s="76" t="n"/>
      <c r="D31" s="77" t="n"/>
      <c r="E31" s="80" t="n"/>
      <c r="F31" s="148" t="n"/>
      <c r="G31" s="148" t="n"/>
      <c r="H31" s="148" t="n"/>
      <c r="I31" s="148" t="n"/>
      <c r="J31" s="148" t="n"/>
      <c r="K31" s="148" t="n"/>
      <c r="L31" s="148" t="n"/>
      <c r="M31" s="148" t="n"/>
      <c r="N31" s="148" t="n"/>
      <c r="O31" s="148" t="n"/>
      <c r="P31" s="148" t="n"/>
      <c r="Q31" s="148" t="n"/>
      <c r="R31" s="148" t="n"/>
      <c r="S31" s="148" t="n"/>
      <c r="T31" s="170" t="n"/>
    </row>
    <row r="32" ht="13.5" customHeight="1" s="426">
      <c r="A32" s="171" t="n"/>
      <c r="B32" s="75" t="n"/>
      <c r="C32" s="76" t="n"/>
      <c r="D32" s="77" t="inlineStr">
        <is>
          <t>"A valid facility for testing"</t>
        </is>
      </c>
      <c r="E32" s="80" t="n"/>
      <c r="F32" s="148" t="inlineStr">
        <is>
          <t>O</t>
        </is>
      </c>
      <c r="G32" s="148" t="n"/>
      <c r="H32" s="148" t="inlineStr">
        <is>
          <t>O</t>
        </is>
      </c>
      <c r="I32" s="148" t="inlineStr">
        <is>
          <t>O</t>
        </is>
      </c>
      <c r="J32" s="148" t="n"/>
      <c r="K32" s="148" t="inlineStr">
        <is>
          <t>O</t>
        </is>
      </c>
      <c r="L32" s="148" t="inlineStr">
        <is>
          <t>O</t>
        </is>
      </c>
      <c r="M32" s="148" t="inlineStr">
        <is>
          <t>O</t>
        </is>
      </c>
      <c r="N32" s="148" t="inlineStr">
        <is>
          <t>O</t>
        </is>
      </c>
      <c r="O32" s="148" t="inlineStr">
        <is>
          <t>O</t>
        </is>
      </c>
      <c r="P32" s="148" t="n"/>
      <c r="Q32" s="148" t="n"/>
      <c r="R32" s="148" t="inlineStr">
        <is>
          <t>O</t>
        </is>
      </c>
      <c r="S32" s="148" t="n"/>
      <c r="T32" s="170" t="n"/>
    </row>
    <row r="33" ht="13.5" customHeight="1" s="426">
      <c r="A33" s="171" t="n"/>
      <c r="B33" s="75" t="n"/>
      <c r="C33" s="76" t="n"/>
      <c r="D33" s="77" t="inlineStr">
        <is>
          <t>null</t>
        </is>
      </c>
      <c r="E33" s="80" t="n"/>
      <c r="F33" s="148" t="n"/>
      <c r="G33" s="148" t="inlineStr">
        <is>
          <t>O</t>
        </is>
      </c>
      <c r="H33" s="148" t="n"/>
      <c r="I33" s="148" t="n"/>
      <c r="J33" s="148" t="inlineStr">
        <is>
          <t>O</t>
        </is>
      </c>
      <c r="K33" s="148" t="n"/>
      <c r="L33" s="148" t="n"/>
      <c r="M33" s="148" t="n"/>
      <c r="N33" s="148" t="n"/>
      <c r="O33" s="148" t="n"/>
      <c r="P33" s="148" t="n"/>
      <c r="Q33" s="148" t="n"/>
      <c r="R33" s="148" t="n"/>
      <c r="S33" s="148" t="n"/>
      <c r="T33" s="170" t="n"/>
    </row>
    <row r="34" ht="13.5" customHeight="1" s="426">
      <c r="A34" s="171" t="n"/>
      <c r="B34" s="75" t="n"/>
      <c r="C34" s="76" t="n"/>
      <c r="D34" s="77" t="inlineStr">
        <is>
          <t>50 characters string</t>
        </is>
      </c>
      <c r="E34" s="80" t="n"/>
      <c r="F34" s="148" t="n"/>
      <c r="G34" s="148" t="n"/>
      <c r="H34" s="148" t="n"/>
      <c r="I34" s="148" t="n"/>
      <c r="J34" s="148" t="n"/>
      <c r="K34" s="148" t="n"/>
      <c r="L34" s="148" t="n"/>
      <c r="M34" s="148" t="n"/>
      <c r="N34" s="148" t="n"/>
      <c r="O34" s="148" t="n"/>
      <c r="P34" s="148" t="inlineStr">
        <is>
          <t>O</t>
        </is>
      </c>
      <c r="Q34" s="148" t="n"/>
      <c r="R34" s="148" t="n"/>
      <c r="S34" s="148" t="n"/>
      <c r="T34" s="170" t="n"/>
    </row>
    <row r="35" ht="13.5" customHeight="1" s="426">
      <c r="A35" s="171" t="n"/>
      <c r="B35" s="75" t="n"/>
      <c r="C35" s="76" t="n"/>
      <c r="D35" s="77" t="inlineStr">
        <is>
          <t>51 characters string</t>
        </is>
      </c>
      <c r="E35" s="80" t="n"/>
      <c r="F35" s="148" t="n"/>
      <c r="G35" s="148" t="n"/>
      <c r="H35" s="148" t="n"/>
      <c r="I35" s="148" t="n"/>
      <c r="J35" s="148" t="n"/>
      <c r="K35" s="148" t="n"/>
      <c r="L35" s="148" t="n"/>
      <c r="M35" s="148" t="n"/>
      <c r="N35" s="148" t="n"/>
      <c r="O35" s="148" t="n"/>
      <c r="P35" s="148" t="n"/>
      <c r="Q35" s="148" t="inlineStr">
        <is>
          <t>O</t>
        </is>
      </c>
      <c r="R35" s="148" t="n"/>
      <c r="S35" s="148" t="n"/>
      <c r="T35" s="170" t="n"/>
    </row>
    <row r="36" ht="13.5" customHeight="1" s="426">
      <c r="A36" s="171" t="n"/>
      <c r="B36" s="75" t="inlineStr">
        <is>
          <t>RoleId</t>
        </is>
      </c>
      <c r="C36" s="76" t="n"/>
      <c r="D36" s="77" t="n"/>
      <c r="E36" s="80" t="n"/>
      <c r="F36" s="148" t="n"/>
      <c r="G36" s="148" t="n"/>
      <c r="H36" s="148" t="n"/>
      <c r="I36" s="148" t="n"/>
      <c r="J36" s="148" t="n"/>
      <c r="K36" s="148" t="n"/>
      <c r="L36" s="148" t="n"/>
      <c r="M36" s="148" t="n"/>
      <c r="N36" s="148" t="n"/>
      <c r="O36" s="148" t="n"/>
      <c r="P36" s="148" t="n"/>
      <c r="Q36" s="148" t="n"/>
      <c r="R36" s="148" t="n"/>
      <c r="S36" s="148" t="n"/>
      <c r="T36" s="170" t="n"/>
    </row>
    <row r="37" ht="13.5" customHeight="1" s="426">
      <c r="A37" s="171" t="n"/>
      <c r="B37" s="75" t="n"/>
      <c r="C37" s="76" t="n"/>
      <c r="D37" s="77" t="n">
        <v>1</v>
      </c>
      <c r="E37" s="80" t="n"/>
      <c r="F37" s="148" t="inlineStr">
        <is>
          <t>O</t>
        </is>
      </c>
      <c r="G37" s="148" t="n"/>
      <c r="H37" s="148" t="inlineStr">
        <is>
          <t>O</t>
        </is>
      </c>
      <c r="I37" s="148" t="inlineStr">
        <is>
          <t>O</t>
        </is>
      </c>
      <c r="J37" s="148" t="inlineStr">
        <is>
          <t>O</t>
        </is>
      </c>
      <c r="K37" s="148" t="n"/>
      <c r="L37" s="148" t="inlineStr">
        <is>
          <t>O</t>
        </is>
      </c>
      <c r="M37" s="148" t="inlineStr">
        <is>
          <t>O</t>
        </is>
      </c>
      <c r="N37" s="148" t="inlineStr">
        <is>
          <t>O</t>
        </is>
      </c>
      <c r="O37" s="148" t="inlineStr">
        <is>
          <t>O</t>
        </is>
      </c>
      <c r="P37" s="148" t="inlineStr">
        <is>
          <t>O</t>
        </is>
      </c>
      <c r="Q37" s="148" t="inlineStr">
        <is>
          <t>O</t>
        </is>
      </c>
      <c r="R37" s="148" t="inlineStr">
        <is>
          <t>O</t>
        </is>
      </c>
      <c r="S37" s="148" t="n"/>
      <c r="T37" s="170" t="n"/>
    </row>
    <row r="38" ht="13.5" customHeight="1" s="426">
      <c r="A38" s="171" t="n"/>
      <c r="B38" s="75" t="n"/>
      <c r="C38" s="76" t="n"/>
      <c r="D38" s="77" t="n">
        <v>9999</v>
      </c>
      <c r="E38" s="80" t="n"/>
      <c r="F38" s="148" t="n"/>
      <c r="G38" s="148" t="n"/>
      <c r="H38" s="148" t="n"/>
      <c r="I38" s="148" t="n"/>
      <c r="J38" s="148" t="n"/>
      <c r="K38" s="148" t="inlineStr">
        <is>
          <t>O</t>
        </is>
      </c>
      <c r="L38" s="148" t="n"/>
      <c r="M38" s="148" t="n"/>
      <c r="N38" s="148" t="n"/>
      <c r="O38" s="148" t="n"/>
      <c r="P38" s="148" t="n"/>
      <c r="Q38" s="148" t="n"/>
      <c r="R38" s="148" t="n"/>
      <c r="S38" s="148" t="n"/>
      <c r="T38" s="170" t="n"/>
    </row>
    <row r="39" ht="13.5" customHeight="1" s="426" thickBot="1">
      <c r="A39" s="171" t="n"/>
      <c r="B39" s="273" t="n"/>
      <c r="C39" s="274" t="n"/>
      <c r="D39" s="275" t="inlineStr">
        <is>
          <t>null</t>
        </is>
      </c>
      <c r="E39" s="80" t="n"/>
      <c r="F39" s="149" t="n"/>
      <c r="G39" s="148" t="inlineStr">
        <is>
          <t>O</t>
        </is>
      </c>
      <c r="H39" s="149" t="n"/>
      <c r="I39" s="149" t="n"/>
      <c r="J39" s="149" t="n"/>
      <c r="K39" s="149" t="n"/>
      <c r="L39" s="149" t="n"/>
      <c r="M39" s="149" t="n"/>
      <c r="N39" s="149" t="n"/>
      <c r="O39" s="149" t="n"/>
      <c r="P39" s="149" t="n"/>
      <c r="Q39" s="149" t="n"/>
      <c r="R39" s="149" t="n"/>
      <c r="S39" s="149" t="n"/>
      <c r="T39" s="172" t="n"/>
    </row>
    <row r="40" ht="13.5" customHeight="1" s="426">
      <c r="A40" s="182" t="inlineStr">
        <is>
          <t>Confirm</t>
        </is>
      </c>
      <c r="B40" s="208" t="inlineStr">
        <is>
          <t>Return</t>
        </is>
      </c>
      <c r="C40" s="239" t="n"/>
      <c r="D40" s="210" t="n"/>
      <c r="E40" s="86" t="n"/>
      <c r="F40" s="87" t="n"/>
      <c r="G40" s="87" t="n"/>
      <c r="H40" s="87" t="n"/>
      <c r="I40" s="87" t="n"/>
      <c r="J40" s="87" t="n"/>
      <c r="K40" s="87" t="n"/>
      <c r="L40" s="87" t="n"/>
      <c r="M40" s="87" t="n"/>
      <c r="N40" s="87" t="n"/>
      <c r="O40" s="87" t="n"/>
      <c r="P40" s="87" t="n"/>
      <c r="Q40" s="87" t="n"/>
      <c r="R40" s="87" t="n"/>
      <c r="S40" s="87" t="n"/>
      <c r="T40" s="196" t="n"/>
    </row>
    <row r="41" ht="13.5" customHeight="1" s="426">
      <c r="A41" s="181" t="n"/>
      <c r="B41" s="208" t="n"/>
      <c r="C41" s="209" t="n"/>
      <c r="D41" s="210" t="inlineStr">
        <is>
          <t>T</t>
        </is>
      </c>
      <c r="E41" s="91" t="n"/>
      <c r="F41" s="148" t="inlineStr">
        <is>
          <t>O</t>
        </is>
      </c>
      <c r="G41" s="79" t="n"/>
      <c r="H41" s="79" t="n"/>
      <c r="I41" s="79" t="n"/>
      <c r="J41" s="79" t="n"/>
      <c r="K41" s="79" t="n"/>
      <c r="L41" s="148" t="inlineStr">
        <is>
          <t>O</t>
        </is>
      </c>
      <c r="M41" s="79" t="n"/>
      <c r="N41" s="148" t="inlineStr">
        <is>
          <t>O</t>
        </is>
      </c>
      <c r="O41" s="79" t="n"/>
      <c r="P41" s="148" t="inlineStr">
        <is>
          <t>O</t>
        </is>
      </c>
      <c r="Q41" s="79" t="n"/>
      <c r="R41" s="79" t="n"/>
      <c r="S41" s="79" t="n"/>
      <c r="T41" s="195" t="n"/>
    </row>
    <row r="42" ht="13.5" customHeight="1" s="426">
      <c r="A42" s="181" t="n"/>
      <c r="B42" s="126" t="n"/>
      <c r="C42" s="89" t="n"/>
      <c r="D42" s="90" t="inlineStr">
        <is>
          <t>F</t>
        </is>
      </c>
      <c r="E42" s="91" t="n"/>
      <c r="F42" s="79" t="n"/>
      <c r="G42" s="148" t="inlineStr">
        <is>
          <t>O</t>
        </is>
      </c>
      <c r="H42" s="148" t="inlineStr">
        <is>
          <t>O</t>
        </is>
      </c>
      <c r="I42" s="148" t="inlineStr">
        <is>
          <t>O</t>
        </is>
      </c>
      <c r="J42" s="148" t="inlineStr">
        <is>
          <t>O</t>
        </is>
      </c>
      <c r="K42" s="148" t="inlineStr">
        <is>
          <t>O</t>
        </is>
      </c>
      <c r="L42" s="79" t="n"/>
      <c r="M42" s="148" t="inlineStr">
        <is>
          <t>O</t>
        </is>
      </c>
      <c r="N42" s="79" t="n"/>
      <c r="O42" s="148" t="inlineStr">
        <is>
          <t>O</t>
        </is>
      </c>
      <c r="P42" s="79" t="n"/>
      <c r="Q42" s="148" t="inlineStr">
        <is>
          <t>O</t>
        </is>
      </c>
      <c r="R42" s="79" t="n"/>
      <c r="S42" s="79" t="n"/>
      <c r="T42" s="195" t="n"/>
    </row>
    <row r="43" ht="13.5" customHeight="1" s="426">
      <c r="A43" s="181" t="n"/>
      <c r="B43" s="116" t="inlineStr">
        <is>
          <t>Exception</t>
        </is>
      </c>
      <c r="C43" s="120" t="n"/>
      <c r="D43" s="118" t="n"/>
      <c r="E43" s="91" t="n"/>
      <c r="F43" s="79" t="n"/>
      <c r="G43" s="79" t="n"/>
      <c r="H43" s="79" t="n"/>
      <c r="I43" s="79" t="n"/>
      <c r="J43" s="79" t="n"/>
      <c r="K43" s="79" t="n"/>
      <c r="L43" s="79" t="n"/>
      <c r="M43" s="79" t="n"/>
      <c r="N43" s="79" t="n"/>
      <c r="O43" s="79" t="n"/>
      <c r="P43" s="79" t="n"/>
      <c r="Q43" s="79" t="n"/>
      <c r="R43" s="79" t="n"/>
      <c r="S43" s="79" t="n"/>
      <c r="T43" s="195" t="n"/>
    </row>
    <row r="44" ht="13.5" customHeight="1" s="426">
      <c r="A44" s="181" t="n"/>
      <c r="B44" s="116" t="n"/>
      <c r="C44" s="120" t="n"/>
      <c r="D44" s="118" t="inlineStr">
        <is>
          <t>InvalidOperationException</t>
        </is>
      </c>
      <c r="E44" s="91" t="n"/>
      <c r="F44" s="79" t="n"/>
      <c r="G44" s="79" t="n"/>
      <c r="H44" s="79" t="n"/>
      <c r="I44" s="148" t="n"/>
      <c r="J44" s="79" t="n"/>
      <c r="K44" s="148" t="n"/>
      <c r="L44" s="79" t="n"/>
      <c r="M44" s="79" t="n"/>
      <c r="N44" s="79" t="n"/>
      <c r="O44" s="79" t="n"/>
      <c r="P44" s="79" t="n"/>
      <c r="Q44" s="79" t="n"/>
      <c r="R44" s="148" t="inlineStr">
        <is>
          <t>O</t>
        </is>
      </c>
      <c r="S44" s="79" t="n"/>
      <c r="T44" s="195" t="n"/>
    </row>
    <row r="45" ht="13.5" customHeight="1" s="426">
      <c r="A45" s="181" t="n"/>
      <c r="B45" s="88" t="inlineStr">
        <is>
          <t>Log message</t>
        </is>
      </c>
      <c r="C45" s="89" t="n"/>
      <c r="D45" s="90" t="n"/>
      <c r="E45" s="91" t="n"/>
      <c r="F45" s="79" t="n"/>
      <c r="G45" s="79" t="n"/>
      <c r="H45" s="79" t="n"/>
      <c r="I45" s="79" t="n"/>
      <c r="J45" s="79" t="n"/>
      <c r="K45" s="79" t="n"/>
      <c r="L45" s="79" t="n"/>
      <c r="M45" s="79" t="n"/>
      <c r="N45" s="79" t="n"/>
      <c r="O45" s="79" t="n"/>
      <c r="P45" s="79" t="n"/>
      <c r="Q45" s="79" t="n"/>
      <c r="R45" s="79" t="n"/>
      <c r="S45" s="79" t="n"/>
      <c r="T45" s="195" t="n"/>
    </row>
    <row r="46" ht="13.5" customHeight="1" s="426">
      <c r="A46" s="181" t="n"/>
      <c r="B46" s="88" t="n"/>
      <c r="C46" s="89" t="n"/>
      <c r="D46" s="90" t="inlineStr">
        <is>
          <t>"Expected AddNewFacility to return true for a valid facility."</t>
        </is>
      </c>
      <c r="E46" s="91" t="n"/>
      <c r="F46" s="148" t="inlineStr">
        <is>
          <t>O</t>
        </is>
      </c>
      <c r="G46" s="79" t="n"/>
      <c r="H46" s="79" t="n"/>
      <c r="I46" s="79" t="n"/>
      <c r="J46" s="79" t="n"/>
      <c r="K46" s="79" t="n"/>
      <c r="L46" s="79" t="n"/>
      <c r="M46" s="79" t="n"/>
      <c r="N46" s="79" t="n"/>
      <c r="O46" s="79" t="n"/>
      <c r="P46" s="79" t="n"/>
      <c r="Q46" s="79" t="n"/>
      <c r="R46" s="79" t="n"/>
      <c r="S46" s="79" t="n"/>
      <c r="T46" s="195" t="n"/>
    </row>
    <row r="47" ht="13.5" customHeight="1" s="426">
      <c r="A47" s="181" t="n"/>
      <c r="B47" s="88" t="n"/>
      <c r="C47" s="89" t="n"/>
      <c r="D47" s="90" t="inlineStr">
        <is>
          <t>"Expected false when trying to add a null facility."</t>
        </is>
      </c>
      <c r="E47" s="91" t="n"/>
      <c r="F47" s="79" t="n"/>
      <c r="G47" s="148" t="inlineStr">
        <is>
          <t>O</t>
        </is>
      </c>
      <c r="H47" s="79" t="n"/>
      <c r="I47" s="79" t="n"/>
      <c r="J47" s="79" t="n"/>
      <c r="K47" s="79" t="n"/>
      <c r="L47" s="79" t="n"/>
      <c r="M47" s="79" t="n"/>
      <c r="N47" s="79" t="n"/>
      <c r="O47" s="79" t="n"/>
      <c r="P47" s="79" t="n"/>
      <c r="Q47" s="79" t="n"/>
      <c r="R47" s="79" t="n"/>
      <c r="S47" s="79" t="n"/>
      <c r="T47" s="195" t="n"/>
    </row>
    <row r="48" ht="13.5" customHeight="1" s="426">
      <c r="A48" s="181" t="n"/>
      <c r="B48" s="88" t="n"/>
      <c r="C48" s="89" t="n"/>
      <c r="D48" s="90" t="inlineStr">
        <is>
          <t>"Expected false when FacilityName is empty."</t>
        </is>
      </c>
      <c r="E48" s="91" t="n"/>
      <c r="F48" s="79" t="n"/>
      <c r="G48" s="79" t="n"/>
      <c r="H48" s="148" t="inlineStr">
        <is>
          <t>O</t>
        </is>
      </c>
      <c r="I48" s="79" t="n"/>
      <c r="J48" s="79" t="n"/>
      <c r="K48" s="79" t="n"/>
      <c r="L48" s="79" t="n"/>
      <c r="M48" s="79" t="n"/>
      <c r="N48" s="79" t="n"/>
      <c r="O48" s="79" t="n"/>
      <c r="P48" s="79" t="n"/>
      <c r="Q48" s="79" t="n"/>
      <c r="R48" s="79" t="n"/>
      <c r="S48" s="79" t="n"/>
      <c r="T48" s="195" t="n"/>
    </row>
    <row r="49" ht="13.5" customHeight="1" s="426">
      <c r="A49" s="181" t="n"/>
      <c r="B49" s="88" t="n"/>
      <c r="C49" s="89" t="n"/>
      <c r="D49" s="90" t="inlineStr">
        <is>
          <t>"Expected false when UnitOfMeasure is empty."</t>
        </is>
      </c>
      <c r="E49" s="91" t="n"/>
      <c r="F49" s="79" t="n"/>
      <c r="G49" s="79" t="n"/>
      <c r="H49" s="79" t="n"/>
      <c r="I49" s="148" t="inlineStr">
        <is>
          <t>O</t>
        </is>
      </c>
      <c r="J49" s="79" t="n"/>
      <c r="K49" s="79" t="n"/>
      <c r="L49" s="79" t="n"/>
      <c r="M49" s="79" t="n"/>
      <c r="N49" s="79" t="n"/>
      <c r="O49" s="79" t="n"/>
      <c r="P49" s="79" t="n"/>
      <c r="Q49" s="79" t="n"/>
      <c r="R49" s="79" t="n"/>
      <c r="S49" s="79" t="n"/>
      <c r="T49" s="195" t="n"/>
    </row>
    <row r="50" ht="13.5" customHeight="1" s="426">
      <c r="A50" s="181" t="n"/>
      <c r="B50" s="88" t="n"/>
      <c r="C50" s="92" t="n"/>
      <c r="D50" s="90" t="inlineStr">
        <is>
          <t>"Expected false when Description is empty."</t>
        </is>
      </c>
      <c r="E50" s="93" t="n"/>
      <c r="F50" s="148" t="n"/>
      <c r="G50" s="79" t="n"/>
      <c r="H50" s="79" t="n"/>
      <c r="I50" s="79" t="n"/>
      <c r="J50" s="148" t="inlineStr">
        <is>
          <t>O</t>
        </is>
      </c>
      <c r="K50" s="79" t="n"/>
      <c r="L50" s="79" t="n"/>
      <c r="M50" s="79" t="n"/>
      <c r="N50" s="79" t="n"/>
      <c r="O50" s="79" t="n"/>
      <c r="P50" s="79" t="n"/>
      <c r="Q50" s="79" t="n"/>
      <c r="R50" s="79" t="n"/>
      <c r="S50" s="79" t="n"/>
      <c r="T50" s="195" t="n"/>
    </row>
    <row r="51" ht="13.5" customHeight="1" s="426">
      <c r="A51" s="181" t="n"/>
      <c r="B51" s="88" t="n"/>
      <c r="C51" s="92" t="n"/>
      <c r="D51" s="90" t="inlineStr">
        <is>
          <t>"Expected false since the specified RoleId does not exist."</t>
        </is>
      </c>
      <c r="E51" s="93" t="n"/>
      <c r="F51" s="148" t="n"/>
      <c r="G51" s="79" t="n"/>
      <c r="H51" s="79" t="n"/>
      <c r="I51" s="79" t="n"/>
      <c r="J51" s="148" t="n"/>
      <c r="K51" s="148" t="inlineStr">
        <is>
          <t>O</t>
        </is>
      </c>
      <c r="L51" s="79" t="n"/>
      <c r="M51" s="79" t="n"/>
      <c r="N51" s="79" t="n"/>
      <c r="O51" s="79" t="n"/>
      <c r="P51" s="79" t="n"/>
      <c r="Q51" s="79" t="n"/>
      <c r="R51" s="79" t="n"/>
      <c r="S51" s="79" t="n"/>
      <c r="T51" s="195" t="n"/>
    </row>
    <row r="52" ht="13.5" customHeight="1" s="426" thickBot="1">
      <c r="A52" s="181" t="n"/>
      <c r="B52" s="88" t="n"/>
      <c r="C52" s="92" t="n"/>
      <c r="D52" s="90" t="inlineStr">
        <is>
          <t>"Simulated DB error""</t>
        </is>
      </c>
      <c r="E52" s="93" t="n"/>
      <c r="F52" s="79" t="n"/>
      <c r="G52" s="148" t="n"/>
      <c r="H52" s="79" t="n"/>
      <c r="I52" s="79" t="n"/>
      <c r="J52" s="79" t="n"/>
      <c r="K52" s="148" t="n"/>
      <c r="L52" s="79" t="n"/>
      <c r="M52" s="79" t="n"/>
      <c r="N52" s="79" t="n"/>
      <c r="O52" s="79" t="n"/>
      <c r="P52" s="79" t="n"/>
      <c r="Q52" s="79" t="n"/>
      <c r="R52" s="148" t="inlineStr">
        <is>
          <t>O</t>
        </is>
      </c>
      <c r="S52" s="79" t="n"/>
      <c r="T52" s="195" t="n"/>
    </row>
    <row r="53" ht="13.5" customHeight="1" s="426" thickTop="1">
      <c r="A53" s="182" t="inlineStr">
        <is>
          <t>Result</t>
        </is>
      </c>
      <c r="B53" s="331" t="inlineStr">
        <is>
          <t>Type(N : Normal, A : Abnormal, B : Boundary)</t>
        </is>
      </c>
      <c r="C53" s="472" t="n"/>
      <c r="D53" s="473" t="n"/>
      <c r="E53" s="331" t="n"/>
      <c r="F53" s="188" t="inlineStr">
        <is>
          <t>N</t>
        </is>
      </c>
      <c r="G53" s="188" t="inlineStr">
        <is>
          <t>A</t>
        </is>
      </c>
      <c r="H53" s="188" t="inlineStr">
        <is>
          <t>A</t>
        </is>
      </c>
      <c r="I53" s="188" t="inlineStr">
        <is>
          <t>A</t>
        </is>
      </c>
      <c r="J53" s="188" t="inlineStr">
        <is>
          <t>A</t>
        </is>
      </c>
      <c r="K53" s="188" t="inlineStr">
        <is>
          <t>A</t>
        </is>
      </c>
      <c r="L53" s="188" t="inlineStr">
        <is>
          <t>B</t>
        </is>
      </c>
      <c r="M53" s="188" t="inlineStr">
        <is>
          <t>B</t>
        </is>
      </c>
      <c r="N53" s="188" t="inlineStr">
        <is>
          <t>B</t>
        </is>
      </c>
      <c r="O53" s="188" t="inlineStr">
        <is>
          <t>B</t>
        </is>
      </c>
      <c r="P53" s="188" t="inlineStr">
        <is>
          <t>B</t>
        </is>
      </c>
      <c r="Q53" s="188" t="inlineStr">
        <is>
          <t>B</t>
        </is>
      </c>
      <c r="R53" s="188" t="inlineStr">
        <is>
          <t>A</t>
        </is>
      </c>
      <c r="S53" s="188" t="n"/>
      <c r="T53" s="198" t="n"/>
    </row>
    <row r="54" ht="13.5" customHeight="1" s="426">
      <c r="A54" s="174" t="n"/>
      <c r="B54" s="320" t="inlineStr">
        <is>
          <t>Passed/Failed</t>
        </is>
      </c>
      <c r="C54" s="449" t="n"/>
      <c r="D54" s="450" t="n"/>
      <c r="E54" s="95" t="n"/>
      <c r="F54" s="94" t="inlineStr">
        <is>
          <t>P</t>
        </is>
      </c>
      <c r="G54" s="94" t="inlineStr">
        <is>
          <t>P</t>
        </is>
      </c>
      <c r="H54" s="94" t="inlineStr">
        <is>
          <t>P</t>
        </is>
      </c>
      <c r="I54" s="94" t="inlineStr">
        <is>
          <t>P</t>
        </is>
      </c>
      <c r="J54" s="94" t="inlineStr">
        <is>
          <t>P</t>
        </is>
      </c>
      <c r="K54" s="94" t="inlineStr">
        <is>
          <t>P</t>
        </is>
      </c>
      <c r="L54" s="94" t="inlineStr">
        <is>
          <t>P</t>
        </is>
      </c>
      <c r="M54" s="94" t="inlineStr">
        <is>
          <t>P</t>
        </is>
      </c>
      <c r="N54" s="94" t="inlineStr">
        <is>
          <t>P</t>
        </is>
      </c>
      <c r="O54" s="94" t="inlineStr">
        <is>
          <t>P</t>
        </is>
      </c>
      <c r="P54" s="94" t="inlineStr">
        <is>
          <t>P</t>
        </is>
      </c>
      <c r="Q54" s="94" t="inlineStr">
        <is>
          <t>P</t>
        </is>
      </c>
      <c r="R54" s="94" t="inlineStr">
        <is>
          <t>P</t>
        </is>
      </c>
      <c r="S54" s="94" t="n"/>
      <c r="T54" s="199" t="n"/>
    </row>
    <row r="55" ht="71.5" customHeight="1" s="426">
      <c r="A55" s="174" t="n"/>
      <c r="B55" s="329" t="inlineStr">
        <is>
          <t>Executed Date</t>
        </is>
      </c>
      <c r="C55" s="449" t="n"/>
      <c r="D55" s="450" t="n"/>
      <c r="E55" s="96" t="n"/>
      <c r="F55" s="97" t="n">
        <v>45700</v>
      </c>
      <c r="G55" s="97" t="n">
        <v>45700</v>
      </c>
      <c r="H55" s="97" t="n">
        <v>45700</v>
      </c>
      <c r="I55" s="97" t="n">
        <v>45700</v>
      </c>
      <c r="J55" s="97" t="n">
        <v>45700</v>
      </c>
      <c r="K55" s="97" t="n">
        <v>45700</v>
      </c>
      <c r="L55" s="97" t="n">
        <v>45700</v>
      </c>
      <c r="M55" s="97" t="n">
        <v>45700</v>
      </c>
      <c r="N55" s="97" t="n">
        <v>45700</v>
      </c>
      <c r="O55" s="97" t="n">
        <v>45700</v>
      </c>
      <c r="P55" s="97" t="n">
        <v>45700</v>
      </c>
      <c r="Q55" s="97" t="n">
        <v>45700</v>
      </c>
      <c r="R55" s="97" t="n">
        <v>45700</v>
      </c>
      <c r="S55" s="97" t="n"/>
      <c r="T55" s="176" t="n"/>
    </row>
    <row r="56" ht="10.5" customHeight="1" s="426" thickBot="1">
      <c r="A56" s="177" t="n"/>
      <c r="B56" s="330" t="inlineStr">
        <is>
          <t>Defect ID</t>
        </is>
      </c>
      <c r="C56" s="474" t="n"/>
      <c r="D56" s="475" t="n"/>
      <c r="E56" s="178" t="n"/>
      <c r="F56" s="179" t="n"/>
      <c r="G56" s="179" t="n"/>
      <c r="H56" s="179" t="n"/>
      <c r="I56" s="179" t="n"/>
      <c r="J56" s="179" t="n"/>
      <c r="K56" s="179" t="n"/>
      <c r="L56" s="179" t="n"/>
      <c r="M56" s="179" t="n"/>
      <c r="N56" s="179" t="n"/>
      <c r="O56" s="179" t="n"/>
      <c r="P56" s="179" t="n"/>
      <c r="Q56" s="179" t="n"/>
      <c r="R56" s="179" t="n"/>
      <c r="S56" s="179" t="n"/>
      <c r="T56" s="180" t="n"/>
    </row>
    <row r="57" ht="10.5" customHeight="1" s="426" thickTop="1">
      <c r="A57" s="73" t="n"/>
      <c r="B57" s="69" t="n"/>
      <c r="C57" s="413" t="n"/>
      <c r="D57" s="69" t="n"/>
    </row>
  </sheetData>
  <mergeCells count="27">
    <mergeCell ref="B53:D53"/>
    <mergeCell ref="F2:K2"/>
    <mergeCell ref="A6:B6"/>
    <mergeCell ref="C4:D4"/>
    <mergeCell ref="L4:T4"/>
    <mergeCell ref="C2:E2"/>
    <mergeCell ref="A7:B7"/>
    <mergeCell ref="C7:E7"/>
    <mergeCell ref="L6:N6"/>
    <mergeCell ref="B55:D55"/>
    <mergeCell ref="A3:B3"/>
    <mergeCell ref="A2:B2"/>
    <mergeCell ref="A5:B5"/>
    <mergeCell ref="C3:E3"/>
    <mergeCell ref="O7:T7"/>
    <mergeCell ref="F4:K4"/>
    <mergeCell ref="B54:D54"/>
    <mergeCell ref="C6:E6"/>
    <mergeCell ref="A4:B4"/>
    <mergeCell ref="L2:T2"/>
    <mergeCell ref="O6:T6"/>
    <mergeCell ref="F6:K6"/>
    <mergeCell ref="B56:D56"/>
    <mergeCell ref="F7:K7"/>
    <mergeCell ref="C5:T5"/>
    <mergeCell ref="L3:T3"/>
    <mergeCell ref="F3:K3"/>
  </mergeCells>
  <dataValidations count="3">
    <dataValidation sqref="F53:T53" showDropDown="0" showInputMessage="1" showErrorMessage="1" allowBlank="1" type="list">
      <formula1>"N,A,B, "</formula1>
    </dataValidation>
    <dataValidation sqref="F54:T54" showDropDown="0" showInputMessage="1" showErrorMessage="1" allowBlank="1" type="list">
      <formula1>"P,F, "</formula1>
    </dataValidation>
    <dataValidation sqref="F10:T52"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A1:V56"/>
  <sheetViews>
    <sheetView zoomScale="115" zoomScaleNormal="115" workbookViewId="0">
      <selection activeCell="Z4" sqref="Z4"/>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RoomFacility - 3</t>
        </is>
      </c>
      <c r="D2" s="439" t="n"/>
      <c r="E2" s="441" t="n"/>
      <c r="F2" s="410" t="inlineStr">
        <is>
          <t>Function Name</t>
        </is>
      </c>
      <c r="G2" s="496" t="n"/>
      <c r="H2" s="496" t="n"/>
      <c r="I2" s="496" t="n"/>
      <c r="J2" s="496" t="n"/>
      <c r="K2" s="496" t="n"/>
      <c r="L2" s="443" t="inlineStr">
        <is>
          <t>Add New Room Facility</t>
        </is>
      </c>
      <c r="M2" s="439" t="n"/>
      <c r="N2" s="439" t="n"/>
      <c r="O2" s="439" t="n"/>
      <c r="P2" s="439" t="n"/>
      <c r="Q2" s="439" t="n"/>
      <c r="R2" s="439" t="n"/>
      <c r="S2" s="439" t="n"/>
      <c r="T2" s="444" t="n"/>
      <c r="V2" s="71" t="n"/>
    </row>
    <row r="3" ht="13.5" customHeight="1" s="426">
      <c r="A3" s="445" t="inlineStr">
        <is>
          <t>Created By</t>
        </is>
      </c>
      <c r="B3" s="428" t="n"/>
      <c r="C3" s="446" t="inlineStr">
        <is>
          <t>Nguyễn Thanh Tuấn</t>
        </is>
      </c>
      <c r="D3" s="433" t="n"/>
      <c r="E3" s="447" t="n"/>
      <c r="F3" s="448" t="inlineStr">
        <is>
          <t>Executed By</t>
        </is>
      </c>
      <c r="G3" s="449" t="n"/>
      <c r="H3" s="449" t="n"/>
      <c r="I3" s="449" t="n"/>
      <c r="J3" s="449" t="n"/>
      <c r="K3" s="450" t="n"/>
      <c r="L3" s="453" t="inlineStr">
        <is>
          <t>Nguyễn Thanh Tuấn</t>
        </is>
      </c>
      <c r="M3" s="454" t="n"/>
      <c r="N3" s="454" t="n"/>
      <c r="O3" s="454" t="n"/>
      <c r="P3" s="454" t="n"/>
      <c r="Q3" s="454" t="n"/>
      <c r="R3" s="454" t="n"/>
      <c r="S3" s="454" t="n"/>
      <c r="T3" s="455" t="n"/>
    </row>
    <row r="4" ht="13.5" customHeight="1" s="426">
      <c r="A4" s="445" t="inlineStr">
        <is>
          <t>Lines  of code</t>
        </is>
      </c>
      <c r="B4" s="428" t="n"/>
      <c r="C4" s="327" t="n">
        <v>268</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COUNTIF(F53:HQ53,"P")</f>
        <v/>
      </c>
      <c r="B7" s="465" t="n"/>
      <c r="C7" s="466">
        <f>COUNTIF(F54:HQ54,"F")</f>
        <v/>
      </c>
      <c r="D7" s="467" t="n"/>
      <c r="E7" s="465" t="n"/>
      <c r="F7" s="468">
        <f>SUM(O7,- A7,- C7)</f>
        <v/>
      </c>
      <c r="G7" s="467" t="n"/>
      <c r="H7" s="467" t="n"/>
      <c r="I7" s="467" t="n"/>
      <c r="J7" s="467" t="n"/>
      <c r="K7" s="469" t="n"/>
      <c r="L7" s="342">
        <f>COUNTIF(E52:HQ52,"N")</f>
        <v/>
      </c>
      <c r="M7" s="342">
        <f>COUNTIF(E52:HQ52,"A")</f>
        <v/>
      </c>
      <c r="N7" s="342">
        <f>COUNTIF(E52:HQ52,"B")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inlineStr">
        <is>
          <t>UTCID07</t>
        </is>
      </c>
      <c r="M9" s="168" t="inlineStr">
        <is>
          <t>UTCID08</t>
        </is>
      </c>
      <c r="N9" s="168" t="inlineStr">
        <is>
          <t>UTCID09</t>
        </is>
      </c>
      <c r="O9" s="168" t="inlineStr">
        <is>
          <t>UTCID10</t>
        </is>
      </c>
      <c r="P9" s="168" t="inlineStr">
        <is>
          <t>UTCID11</t>
        </is>
      </c>
      <c r="Q9" s="168" t="inlineStr">
        <is>
          <t>UTCID12</t>
        </is>
      </c>
      <c r="R9" s="168" t="inlineStr">
        <is>
          <t>UTCID13</t>
        </is>
      </c>
      <c r="S9" s="168" t="n"/>
      <c r="T9" s="168"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inlineStr">
        <is>
          <t>O</t>
        </is>
      </c>
      <c r="K11" s="148" t="n"/>
      <c r="L11" s="148" t="inlineStr">
        <is>
          <t>O</t>
        </is>
      </c>
      <c r="M11" s="148" t="inlineStr">
        <is>
          <t>O</t>
        </is>
      </c>
      <c r="N11" s="148" t="inlineStr">
        <is>
          <t>O</t>
        </is>
      </c>
      <c r="O11" s="148" t="inlineStr">
        <is>
          <t>O</t>
        </is>
      </c>
      <c r="P11" s="148" t="inlineStr">
        <is>
          <t>O</t>
        </is>
      </c>
      <c r="Q11" s="148" t="inlineStr">
        <is>
          <t>O</t>
        </is>
      </c>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inlineStr">
        <is>
          <t>O</t>
        </is>
      </c>
      <c r="M12" s="148" t="inlineStr">
        <is>
          <t>O</t>
        </is>
      </c>
      <c r="N12" s="148" t="inlineStr">
        <is>
          <t>O</t>
        </is>
      </c>
      <c r="O12" s="148" t="inlineStr">
        <is>
          <t>O</t>
        </is>
      </c>
      <c r="P12" s="148" t="inlineStr">
        <is>
          <t>O</t>
        </is>
      </c>
      <c r="Q12" s="148" t="inlineStr">
        <is>
          <t>O</t>
        </is>
      </c>
      <c r="R12" s="148" t="inlineStr">
        <is>
          <t>O</t>
        </is>
      </c>
      <c r="S12" s="148" t="n"/>
      <c r="T12" s="170" t="n"/>
    </row>
    <row r="13" ht="13.5" customHeight="1" s="426">
      <c r="A13" s="171" t="n"/>
      <c r="B13" s="75" t="n"/>
      <c r="C13" s="76" t="n"/>
      <c r="D13" s="77" t="inlineStr">
        <is>
          <t>RoomId Existed</t>
        </is>
      </c>
      <c r="E13" s="80" t="n"/>
      <c r="F13" s="148" t="inlineStr">
        <is>
          <t>O</t>
        </is>
      </c>
      <c r="G13" s="148" t="n"/>
      <c r="H13" s="148" t="inlineStr">
        <is>
          <t>O</t>
        </is>
      </c>
      <c r="I13" s="148" t="inlineStr">
        <is>
          <t>O</t>
        </is>
      </c>
      <c r="J13" s="148" t="inlineStr">
        <is>
          <t>O</t>
        </is>
      </c>
      <c r="K13" s="148" t="inlineStr">
        <is>
          <t>O</t>
        </is>
      </c>
      <c r="L13" s="148" t="n"/>
      <c r="M13" s="148" t="inlineStr">
        <is>
          <t>O</t>
        </is>
      </c>
      <c r="N13" s="148" t="inlineStr">
        <is>
          <t>O</t>
        </is>
      </c>
      <c r="O13" s="148" t="inlineStr">
        <is>
          <t>O</t>
        </is>
      </c>
      <c r="P13" s="148" t="inlineStr">
        <is>
          <t>O</t>
        </is>
      </c>
      <c r="Q13" s="148" t="inlineStr">
        <is>
          <t>O</t>
        </is>
      </c>
      <c r="R13" s="148" t="inlineStr">
        <is>
          <t>O</t>
        </is>
      </c>
      <c r="S13" s="148" t="n"/>
      <c r="T13" s="170" t="n"/>
    </row>
    <row r="14" ht="13.5" customHeight="1" s="426">
      <c r="A14" s="171" t="n"/>
      <c r="B14" s="75" t="n"/>
      <c r="C14" s="76" t="n"/>
      <c r="D14" s="77" t="inlineStr">
        <is>
          <t>RoomId Does not Existed</t>
        </is>
      </c>
      <c r="E14" s="80" t="n"/>
      <c r="F14" s="148" t="n"/>
      <c r="G14" s="148" t="inlineStr">
        <is>
          <t>O</t>
        </is>
      </c>
      <c r="H14" s="148" t="n"/>
      <c r="I14" s="148" t="n"/>
      <c r="J14" s="148" t="n"/>
      <c r="K14" s="148" t="n"/>
      <c r="L14" s="148" t="inlineStr">
        <is>
          <t>O</t>
        </is>
      </c>
      <c r="M14" s="148" t="n"/>
      <c r="N14" s="148" t="n"/>
      <c r="O14" s="148" t="n"/>
      <c r="P14" s="148" t="n"/>
      <c r="Q14" s="148" t="n"/>
      <c r="R14" s="148" t="n"/>
      <c r="S14" s="148" t="n"/>
      <c r="T14" s="170" t="n"/>
    </row>
    <row r="15" ht="13.5" customHeight="1" s="426">
      <c r="A15" s="171" t="n"/>
      <c r="B15" s="75" t="inlineStr">
        <is>
          <t>RoomId</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c r="A16" s="171" t="n"/>
      <c r="B16" s="75" t="n"/>
      <c r="C16" s="76" t="n"/>
      <c r="D16" s="77" t="inlineStr">
        <is>
          <t>Guid</t>
        </is>
      </c>
      <c r="E16" s="80" t="n"/>
      <c r="F16" s="148" t="inlineStr">
        <is>
          <t>O</t>
        </is>
      </c>
      <c r="G16" s="148" t="n"/>
      <c r="H16" s="148" t="inlineStr">
        <is>
          <t>O</t>
        </is>
      </c>
      <c r="I16" s="148" t="inlineStr">
        <is>
          <t>O</t>
        </is>
      </c>
      <c r="J16" s="148" t="inlineStr">
        <is>
          <t>O</t>
        </is>
      </c>
      <c r="K16" s="148" t="inlineStr">
        <is>
          <t>O</t>
        </is>
      </c>
      <c r="L16" s="148" t="inlineStr">
        <is>
          <t>O</t>
        </is>
      </c>
      <c r="M16" s="148" t="inlineStr">
        <is>
          <t>O</t>
        </is>
      </c>
      <c r="N16" s="148" t="inlineStr">
        <is>
          <t>O</t>
        </is>
      </c>
      <c r="O16" s="148" t="inlineStr">
        <is>
          <t>O</t>
        </is>
      </c>
      <c r="P16" s="148" t="inlineStr">
        <is>
          <t>O</t>
        </is>
      </c>
      <c r="Q16" s="148" t="inlineStr">
        <is>
          <t>O</t>
        </is>
      </c>
      <c r="R16" s="148" t="inlineStr">
        <is>
          <t>O</t>
        </is>
      </c>
      <c r="S16" s="148" t="n"/>
      <c r="T16" s="170" t="n"/>
    </row>
    <row r="17" ht="13.5" customHeight="1" s="426">
      <c r="A17" s="171" t="n"/>
      <c r="B17" s="75" t="n"/>
      <c r="C17" s="76" t="n"/>
      <c r="D17" s="77" t="inlineStr">
        <is>
          <t>null</t>
        </is>
      </c>
      <c r="E17" s="80" t="n"/>
      <c r="F17" s="148" t="n"/>
      <c r="G17" s="148" t="inlineStr">
        <is>
          <t>O</t>
        </is>
      </c>
      <c r="H17" s="148" t="n"/>
      <c r="I17" s="148" t="n"/>
      <c r="J17" s="148" t="n"/>
      <c r="K17" s="148" t="n"/>
      <c r="L17" s="148" t="n"/>
      <c r="M17" s="148" t="n"/>
      <c r="N17" s="148" t="n"/>
      <c r="O17" s="148" t="n"/>
      <c r="P17" s="148" t="n"/>
      <c r="Q17" s="148" t="n"/>
      <c r="R17" s="148" t="n"/>
      <c r="S17" s="148" t="n"/>
      <c r="T17" s="170" t="n"/>
    </row>
    <row r="18" ht="13.5" customHeight="1" s="426">
      <c r="A18" s="171" t="n"/>
      <c r="B18" s="75" t="inlineStr">
        <is>
          <t>FacilityName</t>
        </is>
      </c>
      <c r="C18" s="76" t="n"/>
      <c r="D18" s="77" t="n"/>
      <c r="E18" s="80" t="n"/>
      <c r="F18" s="148" t="n"/>
      <c r="G18" s="148" t="n"/>
      <c r="H18" s="148" t="n"/>
      <c r="I18" s="148" t="n"/>
      <c r="J18" s="148" t="n"/>
      <c r="K18" s="148" t="n"/>
      <c r="L18" s="148" t="n"/>
      <c r="M18" s="148" t="n"/>
      <c r="N18" s="148" t="n"/>
      <c r="O18" s="148" t="n"/>
      <c r="P18" s="148" t="n"/>
      <c r="Q18" s="148" t="n"/>
      <c r="R18" s="148" t="n"/>
      <c r="S18" s="148" t="n"/>
      <c r="T18" s="170" t="n"/>
    </row>
    <row r="19" ht="13.5" customHeight="1" s="426">
      <c r="A19" s="171" t="n"/>
      <c r="B19" s="75" t="n"/>
      <c r="C19" s="76" t="n"/>
      <c r="D19" s="77" t="inlineStr">
        <is>
          <t>"Projector"</t>
        </is>
      </c>
      <c r="E19" s="80" t="n"/>
      <c r="F19" s="148" t="inlineStr">
        <is>
          <t>O</t>
        </is>
      </c>
      <c r="G19" s="148" t="n"/>
      <c r="H19" s="148" t="n"/>
      <c r="I19" s="148" t="inlineStr">
        <is>
          <t>O</t>
        </is>
      </c>
      <c r="J19" s="148" t="inlineStr">
        <is>
          <t>O</t>
        </is>
      </c>
      <c r="K19" s="148" t="inlineStr">
        <is>
          <t>O</t>
        </is>
      </c>
      <c r="L19" s="148" t="inlineStr">
        <is>
          <t>O</t>
        </is>
      </c>
      <c r="M19" s="148" t="n"/>
      <c r="N19" s="148" t="n"/>
      <c r="O19" s="148" t="inlineStr">
        <is>
          <t>O</t>
        </is>
      </c>
      <c r="P19" s="148" t="inlineStr">
        <is>
          <t>O</t>
        </is>
      </c>
      <c r="Q19" s="148" t="inlineStr">
        <is>
          <t>O</t>
        </is>
      </c>
      <c r="R19" s="148" t="inlineStr">
        <is>
          <t>O</t>
        </is>
      </c>
      <c r="S19" s="148" t="n"/>
      <c r="T19" s="170" t="n"/>
    </row>
    <row r="20" ht="13.5" customHeight="1" s="426">
      <c r="A20" s="171" t="n"/>
      <c r="B20" s="75" t="n"/>
      <c r="C20" s="76" t="n"/>
      <c r="D20" s="77" t="inlineStr">
        <is>
          <t>null</t>
        </is>
      </c>
      <c r="E20" s="80" t="n"/>
      <c r="F20" s="148" t="n"/>
      <c r="G20" s="148" t="inlineStr">
        <is>
          <t>O</t>
        </is>
      </c>
      <c r="H20" s="148" t="inlineStr">
        <is>
          <t>O</t>
        </is>
      </c>
      <c r="I20" s="148" t="n"/>
      <c r="J20" s="148" t="n"/>
      <c r="K20" s="148" t="n"/>
      <c r="L20" s="148" t="n"/>
      <c r="M20" s="148" t="n"/>
      <c r="N20" s="148" t="n"/>
      <c r="O20" s="148" t="n"/>
      <c r="P20" s="148" t="n"/>
      <c r="Q20" s="148" t="n"/>
      <c r="R20" s="148" t="n"/>
      <c r="S20" s="148" t="n"/>
      <c r="T20" s="170" t="n"/>
    </row>
    <row r="21" ht="13.5" customHeight="1" s="426">
      <c r="A21" s="171" t="n"/>
      <c r="B21" s="75" t="n"/>
      <c r="C21" s="76" t="n"/>
      <c r="D21" s="77" t="inlineStr">
        <is>
          <t>50 characters string</t>
        </is>
      </c>
      <c r="E21" s="80" t="n"/>
      <c r="F21" s="148" t="n"/>
      <c r="G21" s="148" t="n"/>
      <c r="H21" s="148" t="n"/>
      <c r="I21" s="148" t="n"/>
      <c r="J21" s="148" t="n"/>
      <c r="K21" s="148" t="n"/>
      <c r="L21" s="148" t="n"/>
      <c r="M21" s="148" t="inlineStr">
        <is>
          <t>O</t>
        </is>
      </c>
      <c r="N21" s="148" t="n"/>
      <c r="O21" s="148" t="n"/>
      <c r="P21" s="148" t="n"/>
      <c r="Q21" s="148" t="n"/>
      <c r="R21" s="148" t="n"/>
      <c r="S21" s="148" t="n"/>
      <c r="T21" s="170" t="n"/>
    </row>
    <row r="22" ht="13.5" customHeight="1" s="426">
      <c r="A22" s="171" t="n"/>
      <c r="B22" s="75" t="n"/>
      <c r="C22" s="76" t="n"/>
      <c r="D22" s="77" t="inlineStr">
        <is>
          <t>51 characters string</t>
        </is>
      </c>
      <c r="E22" s="80" t="n"/>
      <c r="F22" s="148" t="n"/>
      <c r="G22" s="148" t="n"/>
      <c r="H22" s="148" t="n"/>
      <c r="I22" s="148" t="n"/>
      <c r="J22" s="148" t="n"/>
      <c r="K22" s="148" t="n"/>
      <c r="L22" s="148" t="n"/>
      <c r="M22" s="148" t="n"/>
      <c r="N22" s="148" t="inlineStr">
        <is>
          <t>O</t>
        </is>
      </c>
      <c r="O22" s="148" t="n"/>
      <c r="P22" s="148" t="n"/>
      <c r="Q22" s="148" t="n"/>
      <c r="R22" s="148" t="n"/>
      <c r="S22" s="148" t="n"/>
      <c r="T22" s="170" t="n"/>
    </row>
    <row r="23" ht="13.5" customHeight="1" s="426">
      <c r="A23" s="171" t="n"/>
      <c r="B23" s="75" t="inlineStr">
        <is>
          <t>TotalQuantity</t>
        </is>
      </c>
      <c r="C23" s="76" t="n"/>
      <c r="D23" s="77" t="n"/>
      <c r="E23" s="80" t="n"/>
      <c r="F23" s="148" t="n"/>
      <c r="G23" s="148" t="n"/>
      <c r="H23" s="148" t="n"/>
      <c r="I23" s="148" t="n"/>
      <c r="J23" s="148" t="n"/>
      <c r="K23" s="148" t="n"/>
      <c r="L23" s="148" t="n"/>
      <c r="M23" s="148" t="n"/>
      <c r="N23" s="148" t="n"/>
      <c r="O23" s="148" t="n"/>
      <c r="P23" s="148" t="n"/>
      <c r="Q23" s="148" t="n"/>
      <c r="R23" s="148" t="n"/>
      <c r="S23" s="148" t="n"/>
      <c r="T23" s="170" t="n"/>
    </row>
    <row r="24" ht="13.5" customHeight="1" s="426">
      <c r="A24" s="171" t="n"/>
      <c r="B24" s="75" t="n"/>
      <c r="C24" s="76" t="n"/>
      <c r="D24" s="77" t="n">
        <v>5</v>
      </c>
      <c r="E24" s="80" t="n"/>
      <c r="F24" s="148" t="inlineStr">
        <is>
          <t>O</t>
        </is>
      </c>
      <c r="G24" s="148" t="n"/>
      <c r="H24" s="148" t="inlineStr">
        <is>
          <t>O</t>
        </is>
      </c>
      <c r="I24" s="148" t="inlineStr">
        <is>
          <t>O</t>
        </is>
      </c>
      <c r="J24" s="148" t="inlineStr">
        <is>
          <t>O</t>
        </is>
      </c>
      <c r="K24" s="148" t="inlineStr">
        <is>
          <t>O</t>
        </is>
      </c>
      <c r="L24" s="148" t="inlineStr">
        <is>
          <t>O</t>
        </is>
      </c>
      <c r="M24" s="148" t="inlineStr">
        <is>
          <t>O</t>
        </is>
      </c>
      <c r="N24" s="148" t="inlineStr">
        <is>
          <t>O</t>
        </is>
      </c>
      <c r="O24" s="148" t="inlineStr">
        <is>
          <t>O</t>
        </is>
      </c>
      <c r="P24" s="148" t="inlineStr">
        <is>
          <t>O</t>
        </is>
      </c>
      <c r="Q24" s="148" t="inlineStr">
        <is>
          <t>O</t>
        </is>
      </c>
      <c r="R24" s="148" t="inlineStr">
        <is>
          <t>O</t>
        </is>
      </c>
      <c r="S24" s="148" t="n"/>
      <c r="T24" s="170" t="n"/>
    </row>
    <row r="25" ht="13.5" customHeight="1" s="426">
      <c r="A25" s="171" t="n"/>
      <c r="B25" s="75" t="n"/>
      <c r="C25" s="76" t="n"/>
      <c r="D25" s="77" t="inlineStr">
        <is>
          <t>null</t>
        </is>
      </c>
      <c r="E25" s="80" t="n"/>
      <c r="F25" s="148" t="n"/>
      <c r="G25" s="148" t="inlineStr">
        <is>
          <t>O</t>
        </is>
      </c>
      <c r="H25" s="148" t="n"/>
      <c r="I25" s="148" t="n"/>
      <c r="J25" s="148" t="n"/>
      <c r="K25" s="148" t="n"/>
      <c r="L25" s="148" t="n"/>
      <c r="M25" s="148" t="n"/>
      <c r="N25" s="148" t="n"/>
      <c r="O25" s="148" t="n"/>
      <c r="P25" s="148" t="n"/>
      <c r="Q25" s="148" t="n"/>
      <c r="R25" s="148" t="n"/>
      <c r="S25" s="148" t="n"/>
      <c r="T25" s="170" t="n"/>
    </row>
    <row r="26" ht="13.5" customHeight="1" s="426">
      <c r="A26" s="171" t="n"/>
      <c r="B26" s="75" t="inlineStr">
        <is>
          <t>AvailableQuantity</t>
        </is>
      </c>
      <c r="C26" s="76" t="n"/>
      <c r="D26" s="77" t="n"/>
      <c r="E26" s="80" t="n"/>
      <c r="F26" s="148" t="n"/>
      <c r="G26" s="148" t="n"/>
      <c r="H26" s="148" t="n"/>
      <c r="I26" s="148" t="n"/>
      <c r="J26" s="148" t="n"/>
      <c r="K26" s="148" t="n"/>
      <c r="L26" s="148" t="n"/>
      <c r="M26" s="148" t="n"/>
      <c r="N26" s="148" t="n"/>
      <c r="O26" s="148" t="n"/>
      <c r="P26" s="148" t="n"/>
      <c r="Q26" s="148" t="n"/>
      <c r="R26" s="148" t="n"/>
      <c r="S26" s="148" t="n"/>
      <c r="T26" s="170" t="n"/>
    </row>
    <row r="27" ht="13.5" customHeight="1" s="426">
      <c r="A27" s="171" t="n"/>
      <c r="B27" s="75" t="n"/>
      <c r="C27" s="76" t="n"/>
      <c r="D27" s="77" t="n">
        <v>3</v>
      </c>
      <c r="E27" s="80" t="n"/>
      <c r="F27" s="148" t="inlineStr">
        <is>
          <t>O</t>
        </is>
      </c>
      <c r="G27" s="148" t="n"/>
      <c r="H27" s="148" t="inlineStr">
        <is>
          <t>O</t>
        </is>
      </c>
      <c r="I27" s="148" t="inlineStr">
        <is>
          <t>O</t>
        </is>
      </c>
      <c r="J27" s="148" t="inlineStr">
        <is>
          <t>O</t>
        </is>
      </c>
      <c r="K27" s="148" t="inlineStr">
        <is>
          <t>O</t>
        </is>
      </c>
      <c r="L27" s="148" t="inlineStr">
        <is>
          <t>O</t>
        </is>
      </c>
      <c r="M27" s="148" t="inlineStr">
        <is>
          <t>O</t>
        </is>
      </c>
      <c r="N27" s="148" t="inlineStr">
        <is>
          <t>O</t>
        </is>
      </c>
      <c r="O27" s="148" t="inlineStr">
        <is>
          <t>O</t>
        </is>
      </c>
      <c r="P27" s="148" t="inlineStr">
        <is>
          <t>O</t>
        </is>
      </c>
      <c r="Q27" s="148" t="inlineStr">
        <is>
          <t>O</t>
        </is>
      </c>
      <c r="R27" s="148" t="inlineStr">
        <is>
          <t>O</t>
        </is>
      </c>
      <c r="S27" s="148" t="n"/>
      <c r="T27" s="170" t="n"/>
    </row>
    <row r="28" ht="13.5" customHeight="1" s="426">
      <c r="A28" s="171" t="n"/>
      <c r="B28" s="75" t="n"/>
      <c r="C28" s="76" t="n"/>
      <c r="D28" s="77" t="inlineStr">
        <is>
          <t>null</t>
        </is>
      </c>
      <c r="E28" s="80" t="n"/>
      <c r="F28" s="148" t="n"/>
      <c r="G28" s="148" t="inlineStr">
        <is>
          <t>O</t>
        </is>
      </c>
      <c r="H28" s="148" t="n"/>
      <c r="I28" s="148" t="n"/>
      <c r="J28" s="148" t="n"/>
      <c r="K28" s="148" t="n"/>
      <c r="L28" s="148" t="n"/>
      <c r="M28" s="148" t="n"/>
      <c r="N28" s="148" t="n"/>
      <c r="O28" s="148" t="n"/>
      <c r="P28" s="148" t="n"/>
      <c r="Q28" s="148" t="n"/>
      <c r="R28" s="148" t="n"/>
      <c r="S28" s="148" t="n"/>
      <c r="T28" s="170" t="n"/>
    </row>
    <row r="29" ht="13.5" customHeight="1" s="426">
      <c r="A29" s="171" t="n"/>
      <c r="B29" s="75" t="inlineStr">
        <is>
          <t>UnitOfMeasure</t>
        </is>
      </c>
      <c r="C29" s="76" t="n"/>
      <c r="D29" s="77" t="n"/>
      <c r="E29" s="80" t="n"/>
      <c r="F29" s="148" t="n"/>
      <c r="G29" s="148" t="n"/>
      <c r="H29" s="148" t="n"/>
      <c r="I29" s="148" t="n"/>
      <c r="J29" s="148" t="n"/>
      <c r="K29" s="148" t="n"/>
      <c r="L29" s="148" t="n"/>
      <c r="M29" s="148" t="n"/>
      <c r="N29" s="148" t="n"/>
      <c r="O29" s="148" t="n"/>
      <c r="P29" s="148" t="n"/>
      <c r="Q29" s="148" t="n"/>
      <c r="R29" s="148" t="n"/>
      <c r="S29" s="148" t="n"/>
      <c r="T29" s="170" t="n"/>
    </row>
    <row r="30" ht="13.5" customHeight="1" s="426">
      <c r="A30" s="171" t="n"/>
      <c r="B30" s="75" t="n"/>
      <c r="C30" s="76" t="n"/>
      <c r="D30" s="77" t="inlineStr">
        <is>
          <t>"pcs"</t>
        </is>
      </c>
      <c r="E30" s="80" t="n"/>
      <c r="F30" s="148" t="inlineStr">
        <is>
          <t>O</t>
        </is>
      </c>
      <c r="G30" s="148" t="n"/>
      <c r="H30" s="148" t="inlineStr">
        <is>
          <t>O</t>
        </is>
      </c>
      <c r="I30" s="148" t="n"/>
      <c r="J30" s="148" t="inlineStr">
        <is>
          <t>O</t>
        </is>
      </c>
      <c r="K30" s="148" t="inlineStr">
        <is>
          <t>O</t>
        </is>
      </c>
      <c r="L30" s="148" t="inlineStr">
        <is>
          <t>O</t>
        </is>
      </c>
      <c r="M30" s="148" t="inlineStr">
        <is>
          <t>O</t>
        </is>
      </c>
      <c r="N30" s="148" t="inlineStr">
        <is>
          <t>O</t>
        </is>
      </c>
      <c r="O30" s="148" t="n"/>
      <c r="P30" s="148" t="n"/>
      <c r="Q30" s="148" t="inlineStr">
        <is>
          <t>O</t>
        </is>
      </c>
      <c r="R30" s="148" t="inlineStr">
        <is>
          <t>O</t>
        </is>
      </c>
      <c r="S30" s="148" t="n"/>
      <c r="T30" s="170" t="n"/>
    </row>
    <row r="31" ht="13.5" customHeight="1" s="426">
      <c r="A31" s="171" t="n"/>
      <c r="B31" s="75" t="n"/>
      <c r="C31" s="76" t="n"/>
      <c r="D31" s="77" t="inlineStr">
        <is>
          <t>null</t>
        </is>
      </c>
      <c r="E31" s="80" t="n"/>
      <c r="F31" s="148" t="n"/>
      <c r="G31" s="148" t="inlineStr">
        <is>
          <t>O</t>
        </is>
      </c>
      <c r="H31" s="148" t="n"/>
      <c r="I31" s="148" t="inlineStr">
        <is>
          <t>O</t>
        </is>
      </c>
      <c r="J31" s="148" t="n"/>
      <c r="K31" s="148" t="n"/>
      <c r="L31" s="148" t="n"/>
      <c r="M31" s="148" t="n"/>
      <c r="N31" s="148" t="n"/>
      <c r="O31" s="148" t="n"/>
      <c r="P31" s="148" t="n"/>
      <c r="Q31" s="148" t="n"/>
      <c r="R31" s="148" t="n"/>
      <c r="S31" s="148" t="n"/>
      <c r="T31" s="170" t="n"/>
    </row>
    <row r="32" ht="13.5" customHeight="1" s="426">
      <c r="A32" s="171" t="n"/>
      <c r="B32" s="75" t="n"/>
      <c r="C32" s="76" t="n"/>
      <c r="D32" s="77" t="inlineStr">
        <is>
          <t>20 characters string</t>
        </is>
      </c>
      <c r="E32" s="80" t="n"/>
      <c r="F32" s="148" t="n"/>
      <c r="G32" s="148" t="n"/>
      <c r="H32" s="148" t="n"/>
      <c r="I32" s="148" t="n"/>
      <c r="J32" s="148" t="n"/>
      <c r="K32" s="148" t="n"/>
      <c r="L32" s="148" t="n"/>
      <c r="M32" s="148" t="n"/>
      <c r="N32" s="148" t="n"/>
      <c r="O32" s="148" t="inlineStr">
        <is>
          <t>O</t>
        </is>
      </c>
      <c r="P32" s="148" t="n"/>
      <c r="Q32" s="148" t="n"/>
      <c r="R32" s="148" t="n"/>
      <c r="S32" s="148" t="n"/>
      <c r="T32" s="170" t="n"/>
    </row>
    <row r="33" ht="13.5" customHeight="1" s="426">
      <c r="A33" s="171" t="n"/>
      <c r="B33" s="75" t="n"/>
      <c r="C33" s="76" t="n"/>
      <c r="D33" s="77" t="inlineStr">
        <is>
          <t>21 characters string</t>
        </is>
      </c>
      <c r="E33" s="80" t="n"/>
      <c r="F33" s="148" t="n"/>
      <c r="G33" s="148" t="n"/>
      <c r="H33" s="148" t="n"/>
      <c r="I33" s="148" t="n"/>
      <c r="J33" s="148" t="n"/>
      <c r="K33" s="148" t="n"/>
      <c r="L33" s="148" t="n"/>
      <c r="M33" s="148" t="n"/>
      <c r="N33" s="148" t="n"/>
      <c r="O33" s="148" t="n"/>
      <c r="P33" s="148" t="inlineStr">
        <is>
          <t>O</t>
        </is>
      </c>
      <c r="Q33" s="148" t="n"/>
      <c r="R33" s="148" t="n"/>
      <c r="S33" s="148" t="n"/>
      <c r="T33" s="170" t="n"/>
    </row>
    <row r="34" ht="13.5" customHeight="1" s="426">
      <c r="A34" s="171" t="n"/>
      <c r="B34" s="75" t="inlineStr">
        <is>
          <t>Description</t>
        </is>
      </c>
      <c r="C34" s="76" t="n"/>
      <c r="D34" s="77" t="n"/>
      <c r="E34" s="80" t="n"/>
      <c r="F34" s="148" t="n"/>
      <c r="G34" s="148" t="n"/>
      <c r="H34" s="148" t="n"/>
      <c r="I34" s="148" t="n"/>
      <c r="J34" s="148" t="n"/>
      <c r="K34" s="148" t="n"/>
      <c r="L34" s="148" t="n"/>
      <c r="M34" s="148" t="n"/>
      <c r="N34" s="148" t="n"/>
      <c r="O34" s="148" t="n"/>
      <c r="P34" s="148" t="n"/>
      <c r="Q34" s="148" t="n"/>
      <c r="R34" s="148" t="n"/>
      <c r="S34" s="148" t="n"/>
      <c r="T34" s="170" t="n"/>
    </row>
    <row r="35" ht="13.5" customHeight="1" s="426">
      <c r="A35" s="171" t="n"/>
      <c r="B35" s="75" t="n"/>
      <c r="C35" s="76" t="n"/>
      <c r="D35" s="77" t="inlineStr">
        <is>
          <t>"A projector for presentations"</t>
        </is>
      </c>
      <c r="E35" s="80" t="n"/>
      <c r="F35" s="148" t="inlineStr">
        <is>
          <t>O</t>
        </is>
      </c>
      <c r="G35" s="148" t="n"/>
      <c r="H35" s="148" t="inlineStr">
        <is>
          <t>O</t>
        </is>
      </c>
      <c r="I35" s="148" t="inlineStr">
        <is>
          <t>O</t>
        </is>
      </c>
      <c r="J35" s="148" t="n"/>
      <c r="K35" s="148" t="inlineStr">
        <is>
          <t>O</t>
        </is>
      </c>
      <c r="L35" s="148" t="inlineStr">
        <is>
          <t>O</t>
        </is>
      </c>
      <c r="M35" s="148" t="inlineStr">
        <is>
          <t>O</t>
        </is>
      </c>
      <c r="N35" s="148" t="inlineStr">
        <is>
          <t>O</t>
        </is>
      </c>
      <c r="O35" s="148" t="inlineStr">
        <is>
          <t>O</t>
        </is>
      </c>
      <c r="P35" s="148" t="inlineStr">
        <is>
          <t>O</t>
        </is>
      </c>
      <c r="Q35" s="148" t="n"/>
      <c r="R35" s="148" t="n"/>
      <c r="S35" s="148" t="n"/>
      <c r="T35" s="170" t="n"/>
    </row>
    <row r="36" ht="13.5" customHeight="1" s="426">
      <c r="A36" s="171" t="n"/>
      <c r="B36" s="75" t="n"/>
      <c r="C36" s="76" t="n"/>
      <c r="D36" s="77" t="inlineStr">
        <is>
          <t>null</t>
        </is>
      </c>
      <c r="E36" s="80" t="n"/>
      <c r="F36" s="148" t="n"/>
      <c r="G36" s="148" t="inlineStr">
        <is>
          <t>O</t>
        </is>
      </c>
      <c r="H36" s="148" t="n"/>
      <c r="I36" s="148" t="n"/>
      <c r="J36" s="148" t="inlineStr">
        <is>
          <t>O</t>
        </is>
      </c>
      <c r="K36" s="148" t="n"/>
      <c r="L36" s="148" t="n"/>
      <c r="M36" s="148" t="n"/>
      <c r="N36" s="148" t="n"/>
      <c r="O36" s="148" t="n"/>
      <c r="P36" s="148" t="n"/>
      <c r="Q36" s="148" t="n"/>
      <c r="R36" s="148" t="n"/>
      <c r="S36" s="148" t="n"/>
      <c r="T36" s="170" t="n"/>
    </row>
    <row r="37" ht="13.5" customHeight="1" s="426">
      <c r="A37" s="171" t="n"/>
      <c r="B37" s="75" t="n"/>
      <c r="C37" s="76" t="n"/>
      <c r="D37" s="77" t="inlineStr">
        <is>
          <t>50 characters string</t>
        </is>
      </c>
      <c r="E37" s="80" t="n"/>
      <c r="F37" s="148" t="n"/>
      <c r="G37" s="148" t="n"/>
      <c r="H37" s="148" t="n"/>
      <c r="I37" s="148" t="n"/>
      <c r="J37" s="148" t="n"/>
      <c r="K37" s="148" t="n"/>
      <c r="L37" s="148" t="n"/>
      <c r="M37" s="148" t="n"/>
      <c r="N37" s="148" t="n"/>
      <c r="O37" s="148" t="n"/>
      <c r="P37" s="148" t="n"/>
      <c r="Q37" s="148" t="inlineStr">
        <is>
          <t>O</t>
        </is>
      </c>
      <c r="R37" s="148" t="n"/>
      <c r="S37" s="148" t="n"/>
      <c r="T37" s="170" t="n"/>
    </row>
    <row r="38" ht="13.5" customHeight="1" s="426" thickBot="1">
      <c r="A38" s="171" t="n"/>
      <c r="B38" s="75" t="n"/>
      <c r="C38" s="76" t="n"/>
      <c r="D38" s="77" t="inlineStr">
        <is>
          <t>51 characters string</t>
        </is>
      </c>
      <c r="E38" s="80" t="n"/>
      <c r="F38" s="148" t="n"/>
      <c r="G38" s="148" t="n"/>
      <c r="H38" s="148" t="n"/>
      <c r="I38" s="148" t="n"/>
      <c r="J38" s="148" t="n"/>
      <c r="K38" s="148" t="n"/>
      <c r="L38" s="148" t="n"/>
      <c r="M38" s="148" t="n"/>
      <c r="N38" s="148" t="n"/>
      <c r="O38" s="148" t="n"/>
      <c r="P38" s="148" t="n"/>
      <c r="Q38" s="148" t="n"/>
      <c r="R38" s="148" t="inlineStr">
        <is>
          <t>O</t>
        </is>
      </c>
      <c r="S38" s="148" t="n"/>
      <c r="T38" s="170" t="n"/>
    </row>
    <row r="39" ht="13.5" customHeight="1" s="426">
      <c r="A39" s="182" t="inlineStr">
        <is>
          <t>Confirm</t>
        </is>
      </c>
      <c r="B39" s="208" t="inlineStr">
        <is>
          <t>Return</t>
        </is>
      </c>
      <c r="C39" s="239" t="n"/>
      <c r="D39" s="210" t="n"/>
      <c r="E39" s="86" t="n"/>
      <c r="F39" s="87" t="n"/>
      <c r="G39" s="87" t="n"/>
      <c r="H39" s="87" t="n"/>
      <c r="I39" s="87" t="n"/>
      <c r="J39" s="87" t="n"/>
      <c r="K39" s="87" t="n"/>
      <c r="L39" s="87" t="n"/>
      <c r="M39" s="87" t="n"/>
      <c r="N39" s="87" t="n"/>
      <c r="O39" s="87" t="n"/>
      <c r="P39" s="87" t="n"/>
      <c r="Q39" s="87" t="n"/>
      <c r="R39" s="87" t="n"/>
      <c r="S39" s="87" t="n"/>
      <c r="T39" s="196" t="n"/>
    </row>
    <row r="40" ht="13.5" customHeight="1" s="426">
      <c r="A40" s="181" t="n"/>
      <c r="B40" s="208" t="n"/>
      <c r="C40" s="209" t="n"/>
      <c r="D40" s="210" t="inlineStr">
        <is>
          <t>T</t>
        </is>
      </c>
      <c r="E40" s="91" t="n"/>
      <c r="F40" s="148" t="inlineStr">
        <is>
          <t>O</t>
        </is>
      </c>
      <c r="G40" s="79" t="n"/>
      <c r="H40" s="79" t="n"/>
      <c r="I40" s="79" t="n"/>
      <c r="J40" s="79" t="n"/>
      <c r="K40" s="79" t="n"/>
      <c r="L40" s="148" t="n"/>
      <c r="M40" s="148" t="inlineStr">
        <is>
          <t>O</t>
        </is>
      </c>
      <c r="N40" s="148" t="n"/>
      <c r="O40" s="148" t="inlineStr">
        <is>
          <t>O</t>
        </is>
      </c>
      <c r="P40" s="148" t="n"/>
      <c r="Q40" s="148" t="inlineStr">
        <is>
          <t>O</t>
        </is>
      </c>
      <c r="R40" s="79" t="n"/>
      <c r="S40" s="79" t="n"/>
      <c r="T40" s="195" t="n"/>
    </row>
    <row r="41" ht="13.5" customHeight="1" s="426">
      <c r="A41" s="181" t="n"/>
      <c r="B41" s="126" t="n"/>
      <c r="C41" s="89" t="n"/>
      <c r="D41" s="90" t="inlineStr">
        <is>
          <t>F</t>
        </is>
      </c>
      <c r="E41" s="91" t="n"/>
      <c r="F41" s="79" t="n"/>
      <c r="G41" s="148" t="inlineStr">
        <is>
          <t>O</t>
        </is>
      </c>
      <c r="H41" s="148" t="inlineStr">
        <is>
          <t>O</t>
        </is>
      </c>
      <c r="I41" s="148" t="inlineStr">
        <is>
          <t>O</t>
        </is>
      </c>
      <c r="J41" s="148" t="inlineStr">
        <is>
          <t>O</t>
        </is>
      </c>
      <c r="K41" s="148" t="n"/>
      <c r="L41" s="148" t="inlineStr">
        <is>
          <t>O</t>
        </is>
      </c>
      <c r="M41" s="148" t="n"/>
      <c r="N41" s="148" t="inlineStr">
        <is>
          <t>O</t>
        </is>
      </c>
      <c r="O41" s="148" t="n"/>
      <c r="P41" s="148" t="inlineStr">
        <is>
          <t>O</t>
        </is>
      </c>
      <c r="Q41" s="148" t="n"/>
      <c r="R41" s="148" t="inlineStr">
        <is>
          <t>O</t>
        </is>
      </c>
      <c r="S41" s="79" t="n"/>
      <c r="T41" s="195" t="n"/>
    </row>
    <row r="42" ht="13.5" customHeight="1" s="426">
      <c r="A42" s="181" t="n"/>
      <c r="B42" s="116" t="inlineStr">
        <is>
          <t>Exception</t>
        </is>
      </c>
      <c r="C42" s="120" t="n"/>
      <c r="D42" s="118" t="n"/>
      <c r="E42" s="91" t="n"/>
      <c r="F42" s="79" t="n"/>
      <c r="G42" s="79" t="n"/>
      <c r="H42" s="79" t="n"/>
      <c r="I42" s="79" t="n"/>
      <c r="J42" s="79" t="n"/>
      <c r="K42" s="79" t="n"/>
      <c r="L42" s="79" t="n"/>
      <c r="M42" s="79" t="n"/>
      <c r="N42" s="79" t="n"/>
      <c r="O42" s="79" t="n"/>
      <c r="P42" s="79" t="n"/>
      <c r="Q42" s="79" t="n"/>
      <c r="R42" s="79" t="n"/>
      <c r="S42" s="79" t="n"/>
      <c r="T42" s="195" t="n"/>
    </row>
    <row r="43" ht="13.5" customHeight="1" s="426">
      <c r="A43" s="181" t="n"/>
      <c r="B43" s="116" t="n"/>
      <c r="C43" s="120" t="n"/>
      <c r="D43" s="118" t="inlineStr">
        <is>
          <t>InvalidOperationException</t>
        </is>
      </c>
      <c r="E43" s="91" t="n"/>
      <c r="F43" s="79" t="n"/>
      <c r="G43" s="79" t="n"/>
      <c r="H43" s="79" t="n"/>
      <c r="I43" s="148" t="n"/>
      <c r="J43" s="79" t="n"/>
      <c r="K43" s="148" t="inlineStr">
        <is>
          <t>O</t>
        </is>
      </c>
      <c r="L43" s="79" t="n"/>
      <c r="M43" s="79" t="n"/>
      <c r="N43" s="79" t="n"/>
      <c r="O43" s="79" t="n"/>
      <c r="P43" s="79" t="n"/>
      <c r="Q43" s="79" t="n"/>
      <c r="R43" s="148" t="n"/>
      <c r="S43" s="79" t="n"/>
      <c r="T43" s="195" t="n"/>
    </row>
    <row r="44" ht="13.5" customHeight="1" s="426">
      <c r="A44" s="181" t="n"/>
      <c r="B44" s="88" t="inlineStr">
        <is>
          <t>Log message</t>
        </is>
      </c>
      <c r="C44" s="89" t="n"/>
      <c r="D44" s="90" t="n"/>
      <c r="E44" s="91" t="n"/>
      <c r="F44" s="79" t="n"/>
      <c r="G44" s="79" t="n"/>
      <c r="H44" s="79" t="n"/>
      <c r="I44" s="79" t="n"/>
      <c r="J44" s="79" t="n"/>
      <c r="K44" s="79" t="n"/>
      <c r="L44" s="79" t="n"/>
      <c r="M44" s="79" t="n"/>
      <c r="N44" s="79" t="n"/>
      <c r="O44" s="79" t="n"/>
      <c r="P44" s="79" t="n"/>
      <c r="Q44" s="79" t="n"/>
      <c r="R44" s="79" t="n"/>
      <c r="S44" s="79" t="n"/>
      <c r="T44" s="195" t="n"/>
    </row>
    <row r="45" ht="13.5" customHeight="1" s="426">
      <c r="A45" s="181" t="n"/>
      <c r="B45" s="88" t="n"/>
      <c r="C45" s="89" t="n"/>
      <c r="D45" s="90" t="inlineStr">
        <is>
          <t>"Expected AddNewRoomFacility to return true for a valid room facility."</t>
        </is>
      </c>
      <c r="E45" s="91" t="n"/>
      <c r="F45" s="148" t="inlineStr">
        <is>
          <t>O</t>
        </is>
      </c>
      <c r="G45" s="79" t="n"/>
      <c r="H45" s="79" t="n"/>
      <c r="I45" s="79" t="n"/>
      <c r="J45" s="79" t="n"/>
      <c r="K45" s="79" t="n"/>
      <c r="L45" s="79" t="n"/>
      <c r="M45" s="79" t="n"/>
      <c r="N45" s="79" t="n"/>
      <c r="O45" s="79" t="n"/>
      <c r="P45" s="79" t="n"/>
      <c r="Q45" s="79" t="n"/>
      <c r="R45" s="79" t="n"/>
      <c r="S45" s="79" t="n"/>
      <c r="T45" s="195" t="n"/>
    </row>
    <row r="46" ht="13.5" customHeight="1" s="426">
      <c r="A46" s="181" t="n"/>
      <c r="B46" s="88" t="n"/>
      <c r="C46" s="89" t="n"/>
      <c r="D46" s="90" t="inlineStr">
        <is>
          <t>"Expected AddNewRoomFacility to return false for a null room facility DTO."</t>
        </is>
      </c>
      <c r="E46" s="91" t="n"/>
      <c r="F46" s="79" t="n"/>
      <c r="G46" s="148" t="inlineStr">
        <is>
          <t>O</t>
        </is>
      </c>
      <c r="H46" s="79" t="n"/>
      <c r="I46" s="79" t="n"/>
      <c r="J46" s="79" t="n"/>
      <c r="K46" s="79" t="n"/>
      <c r="L46" s="79" t="n"/>
      <c r="M46" s="79" t="n"/>
      <c r="N46" s="79" t="n"/>
      <c r="O46" s="79" t="n"/>
      <c r="P46" s="79" t="n"/>
      <c r="Q46" s="79" t="n"/>
      <c r="R46" s="79" t="n"/>
      <c r="S46" s="79" t="n"/>
      <c r="T46" s="195" t="n"/>
    </row>
    <row r="47" ht="13.5" customHeight="1" s="426">
      <c r="A47" s="181" t="n"/>
      <c r="B47" s="88" t="n"/>
      <c r="C47" s="89" t="n"/>
      <c r="D47" s="90" t="inlineStr">
        <is>
          <t>"Expected AddNewRoomFacility to return false when FacilityName is empty."</t>
        </is>
      </c>
      <c r="E47" s="91" t="n"/>
      <c r="F47" s="79" t="n"/>
      <c r="G47" s="79" t="n"/>
      <c r="H47" s="148" t="inlineStr">
        <is>
          <t>O</t>
        </is>
      </c>
      <c r="I47" s="79" t="n"/>
      <c r="J47" s="79" t="n"/>
      <c r="K47" s="79" t="n"/>
      <c r="L47" s="79" t="n"/>
      <c r="M47" s="79" t="n"/>
      <c r="N47" s="79" t="n"/>
      <c r="O47" s="79" t="n"/>
      <c r="P47" s="79" t="n"/>
      <c r="Q47" s="79" t="n"/>
      <c r="R47" s="79" t="n"/>
      <c r="S47" s="79" t="n"/>
      <c r="T47" s="195" t="n"/>
    </row>
    <row r="48" ht="13.5" customHeight="1" s="426">
      <c r="A48" s="181" t="n"/>
      <c r="B48" s="88" t="n"/>
      <c r="C48" s="89" t="n"/>
      <c r="D48" s="90" t="inlineStr">
        <is>
          <t>"Expected AddNewRoomFacility to return false when UnitOfMeasure is empty."</t>
        </is>
      </c>
      <c r="E48" s="91" t="n"/>
      <c r="F48" s="79" t="n"/>
      <c r="G48" s="79" t="n"/>
      <c r="H48" s="79" t="n"/>
      <c r="I48" s="148" t="inlineStr">
        <is>
          <t>O</t>
        </is>
      </c>
      <c r="J48" s="79" t="n"/>
      <c r="K48" s="79" t="n"/>
      <c r="L48" s="79" t="n"/>
      <c r="M48" s="79" t="n"/>
      <c r="N48" s="79" t="n"/>
      <c r="O48" s="79" t="n"/>
      <c r="P48" s="79" t="n"/>
      <c r="Q48" s="79" t="n"/>
      <c r="R48" s="79" t="n"/>
      <c r="S48" s="79" t="n"/>
      <c r="T48" s="195" t="n"/>
    </row>
    <row r="49" ht="13.5" customHeight="1" s="426">
      <c r="A49" s="181" t="n"/>
      <c r="B49" s="88" t="n"/>
      <c r="C49" s="92" t="n"/>
      <c r="D49" s="90" t="inlineStr">
        <is>
          <t>"Expected AddNewRoomFacility to return false when Description is empty."</t>
        </is>
      </c>
      <c r="E49" s="93" t="n"/>
      <c r="F49" s="148" t="n"/>
      <c r="G49" s="79" t="n"/>
      <c r="H49" s="79" t="n"/>
      <c r="I49" s="79" t="n"/>
      <c r="J49" s="148" t="inlineStr">
        <is>
          <t>O</t>
        </is>
      </c>
      <c r="K49" s="79" t="n"/>
      <c r="L49" s="79" t="n"/>
      <c r="M49" s="79" t="n"/>
      <c r="N49" s="79" t="n"/>
      <c r="O49" s="79" t="n"/>
      <c r="P49" s="79" t="n"/>
      <c r="Q49" s="79" t="n"/>
      <c r="R49" s="79" t="n"/>
      <c r="S49" s="79" t="n"/>
      <c r="T49" s="195" t="n"/>
    </row>
    <row r="50" ht="13.5" customHeight="1" s="426">
      <c r="A50" s="181" t="n"/>
      <c r="B50" s="88" t="n"/>
      <c r="C50" s="92" t="n"/>
      <c r="D50" s="90" t="inlineStr">
        <is>
          <t>"Expected AddNewRoomFacility to return false when RoomId does not exist."</t>
        </is>
      </c>
      <c r="E50" s="93" t="n"/>
      <c r="F50" s="148" t="n"/>
      <c r="G50" s="79" t="n"/>
      <c r="H50" s="79" t="n"/>
      <c r="I50" s="79" t="n"/>
      <c r="J50" s="148" t="n"/>
      <c r="K50" s="148" t="n"/>
      <c r="L50" s="148" t="inlineStr">
        <is>
          <t>O</t>
        </is>
      </c>
      <c r="M50" s="79" t="n"/>
      <c r="N50" s="79" t="n"/>
      <c r="O50" s="79" t="n"/>
      <c r="P50" s="79" t="n"/>
      <c r="Q50" s="79" t="n"/>
      <c r="R50" s="79" t="n"/>
      <c r="S50" s="79" t="n"/>
      <c r="T50" s="195" t="n"/>
    </row>
    <row r="51" ht="13.5" customHeight="1" s="426" thickBot="1">
      <c r="A51" s="181" t="n"/>
      <c r="B51" s="88" t="n"/>
      <c r="C51" s="92" t="n"/>
      <c r="D51" s="90" t="inlineStr">
        <is>
          <t>"Simulated DB error""</t>
        </is>
      </c>
      <c r="E51" s="93" t="n"/>
      <c r="F51" s="79" t="n"/>
      <c r="G51" s="148" t="n"/>
      <c r="H51" s="79" t="n"/>
      <c r="I51" s="79" t="n"/>
      <c r="J51" s="79" t="n"/>
      <c r="K51" s="148" t="inlineStr">
        <is>
          <t>O</t>
        </is>
      </c>
      <c r="L51" s="79" t="n"/>
      <c r="M51" s="79" t="n"/>
      <c r="N51" s="79" t="n"/>
      <c r="O51" s="79" t="n"/>
      <c r="P51" s="79" t="n"/>
      <c r="Q51" s="79" t="n"/>
      <c r="R51" s="148" t="n"/>
      <c r="S51" s="79" t="n"/>
      <c r="T51" s="195" t="n"/>
    </row>
    <row r="52" ht="13.5" customHeight="1" s="426" thickTop="1">
      <c r="A52" s="182" t="inlineStr">
        <is>
          <t>Result</t>
        </is>
      </c>
      <c r="B52" s="331" t="inlineStr">
        <is>
          <t>Type(N : Normal, A : Abnormal, B : Boundary)</t>
        </is>
      </c>
      <c r="C52" s="472" t="n"/>
      <c r="D52" s="473" t="n"/>
      <c r="E52" s="331" t="n"/>
      <c r="F52" s="188" t="inlineStr">
        <is>
          <t>N</t>
        </is>
      </c>
      <c r="G52" s="188" t="inlineStr">
        <is>
          <t>A</t>
        </is>
      </c>
      <c r="H52" s="188" t="inlineStr">
        <is>
          <t>A</t>
        </is>
      </c>
      <c r="I52" s="188" t="inlineStr">
        <is>
          <t>A</t>
        </is>
      </c>
      <c r="J52" s="188" t="inlineStr">
        <is>
          <t>A</t>
        </is>
      </c>
      <c r="K52" s="188" t="inlineStr">
        <is>
          <t>A</t>
        </is>
      </c>
      <c r="L52" s="188" t="inlineStr">
        <is>
          <t>A</t>
        </is>
      </c>
      <c r="M52" s="188" t="inlineStr">
        <is>
          <t>B</t>
        </is>
      </c>
      <c r="N52" s="188" t="inlineStr">
        <is>
          <t>B</t>
        </is>
      </c>
      <c r="O52" s="188" t="inlineStr">
        <is>
          <t>B</t>
        </is>
      </c>
      <c r="P52" s="188" t="inlineStr">
        <is>
          <t>B</t>
        </is>
      </c>
      <c r="Q52" s="188" t="inlineStr">
        <is>
          <t>B</t>
        </is>
      </c>
      <c r="R52" s="188" t="inlineStr">
        <is>
          <t>B</t>
        </is>
      </c>
      <c r="S52" s="188" t="n"/>
      <c r="T52" s="198" t="n"/>
    </row>
    <row r="53" ht="13.5" customHeight="1" s="426">
      <c r="A53" s="174" t="n"/>
      <c r="B53" s="320" t="inlineStr">
        <is>
          <t>Passed/Failed</t>
        </is>
      </c>
      <c r="C53" s="449" t="n"/>
      <c r="D53" s="450" t="n"/>
      <c r="E53" s="95" t="n"/>
      <c r="F53" s="94" t="inlineStr">
        <is>
          <t>P</t>
        </is>
      </c>
      <c r="G53" s="94" t="inlineStr">
        <is>
          <t>P</t>
        </is>
      </c>
      <c r="H53" s="94" t="inlineStr">
        <is>
          <t>P</t>
        </is>
      </c>
      <c r="I53" s="94" t="inlineStr">
        <is>
          <t>P</t>
        </is>
      </c>
      <c r="J53" s="94" t="inlineStr">
        <is>
          <t>P</t>
        </is>
      </c>
      <c r="K53" s="94" t="inlineStr">
        <is>
          <t>P</t>
        </is>
      </c>
      <c r="L53" s="94" t="inlineStr">
        <is>
          <t>P</t>
        </is>
      </c>
      <c r="M53" s="94" t="inlineStr">
        <is>
          <t>P</t>
        </is>
      </c>
      <c r="N53" s="94" t="inlineStr">
        <is>
          <t>P</t>
        </is>
      </c>
      <c r="O53" s="94" t="inlineStr">
        <is>
          <t>P</t>
        </is>
      </c>
      <c r="P53" s="94" t="inlineStr">
        <is>
          <t>P</t>
        </is>
      </c>
      <c r="Q53" s="94" t="inlineStr">
        <is>
          <t>P</t>
        </is>
      </c>
      <c r="R53" s="94" t="inlineStr">
        <is>
          <t>P</t>
        </is>
      </c>
      <c r="S53" s="94" t="n"/>
      <c r="T53" s="199" t="n"/>
    </row>
    <row r="54" ht="71.5" customHeight="1" s="426">
      <c r="A54" s="174" t="n"/>
      <c r="B54" s="329" t="inlineStr">
        <is>
          <t>Executed Date</t>
        </is>
      </c>
      <c r="C54" s="449" t="n"/>
      <c r="D54" s="450" t="n"/>
      <c r="E54" s="96" t="n"/>
      <c r="F54" s="97" t="n">
        <v>45700</v>
      </c>
      <c r="G54" s="97" t="n">
        <v>45700</v>
      </c>
      <c r="H54" s="97" t="n">
        <v>45700</v>
      </c>
      <c r="I54" s="97" t="n">
        <v>45700</v>
      </c>
      <c r="J54" s="97" t="n">
        <v>45700</v>
      </c>
      <c r="K54" s="97" t="n">
        <v>45700</v>
      </c>
      <c r="L54" s="97" t="n">
        <v>45700</v>
      </c>
      <c r="M54" s="97" t="n">
        <v>45700</v>
      </c>
      <c r="N54" s="97" t="n">
        <v>45700</v>
      </c>
      <c r="O54" s="97" t="n">
        <v>45700</v>
      </c>
      <c r="P54" s="97" t="n">
        <v>45700</v>
      </c>
      <c r="Q54" s="97" t="n">
        <v>45700</v>
      </c>
      <c r="R54" s="97" t="n">
        <v>45700</v>
      </c>
      <c r="S54" s="97" t="n"/>
      <c r="T54" s="176" t="n"/>
    </row>
    <row r="55" ht="10.5" customHeight="1" s="426" thickBot="1">
      <c r="A55" s="177" t="n"/>
      <c r="B55" s="330" t="inlineStr">
        <is>
          <t>Defect ID</t>
        </is>
      </c>
      <c r="C55" s="474" t="n"/>
      <c r="D55" s="475" t="n"/>
      <c r="E55" s="178" t="n"/>
      <c r="F55" s="179" t="n"/>
      <c r="G55" s="179" t="n"/>
      <c r="H55" s="179" t="n"/>
      <c r="I55" s="179" t="n"/>
      <c r="J55" s="179" t="n"/>
      <c r="K55" s="179" t="n"/>
      <c r="L55" s="179" t="n"/>
      <c r="M55" s="179" t="n"/>
      <c r="N55" s="179" t="n"/>
      <c r="O55" s="179" t="n"/>
      <c r="P55" s="179" t="n"/>
      <c r="Q55" s="179" t="n"/>
      <c r="R55" s="179" t="n"/>
      <c r="S55" s="179" t="n"/>
      <c r="T55" s="180" t="n"/>
    </row>
    <row r="56" ht="10.5" customHeight="1" s="426" thickTop="1">
      <c r="A56" s="73" t="n"/>
      <c r="B56" s="69" t="n"/>
      <c r="C56" s="413" t="n"/>
      <c r="D56" s="69" t="n"/>
    </row>
  </sheetData>
  <mergeCells count="27">
    <mergeCell ref="B53:D53"/>
    <mergeCell ref="F2:K2"/>
    <mergeCell ref="A6:B6"/>
    <mergeCell ref="C4:D4"/>
    <mergeCell ref="C2:E2"/>
    <mergeCell ref="L4:T4"/>
    <mergeCell ref="A7:B7"/>
    <mergeCell ref="C7:E7"/>
    <mergeCell ref="L6:N6"/>
    <mergeCell ref="B55:D55"/>
    <mergeCell ref="A3:B3"/>
    <mergeCell ref="A2:B2"/>
    <mergeCell ref="A5:B5"/>
    <mergeCell ref="C3:E3"/>
    <mergeCell ref="O7:T7"/>
    <mergeCell ref="F4:K4"/>
    <mergeCell ref="B54:D54"/>
    <mergeCell ref="C6:E6"/>
    <mergeCell ref="A4:B4"/>
    <mergeCell ref="L2:T2"/>
    <mergeCell ref="O6:T6"/>
    <mergeCell ref="F6:K6"/>
    <mergeCell ref="C5:T5"/>
    <mergeCell ref="F7:K7"/>
    <mergeCell ref="B52:D52"/>
    <mergeCell ref="L3:T3"/>
    <mergeCell ref="F3:K3"/>
  </mergeCells>
  <dataValidations count="3">
    <dataValidation sqref="F53:T53" showDropDown="0" showInputMessage="1" showErrorMessage="1" allowBlank="1" type="list">
      <formula1>"P,F, "</formula1>
    </dataValidation>
    <dataValidation sqref="F52:T52" showDropDown="0" showInputMessage="1" showErrorMessage="1" allowBlank="1" type="list">
      <formula1>"N,A,B, "</formula1>
    </dataValidation>
    <dataValidation sqref="F10:T51"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sheetPr>
  <dimension ref="A1:AB70"/>
  <sheetViews>
    <sheetView topLeftCell="A59" zoomScale="115" zoomScaleNormal="115" workbookViewId="0">
      <selection activeCell="AE68" sqref="AE68"/>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3.08984375" customWidth="1" style="69" min="22" max="22"/>
    <col width="2.81640625" customWidth="1" style="69" min="23" max="23"/>
    <col width="3.26953125" customWidth="1" style="69" min="24" max="24"/>
    <col width="3.1796875" customWidth="1" style="69" min="25" max="25"/>
    <col width="2.90625" customWidth="1" style="69" min="26" max="26"/>
    <col width="3.6328125" customWidth="1" style="69" min="27" max="27"/>
    <col width="3.54296875" customWidth="1" style="69" min="28" max="28"/>
    <col width="11" customWidth="1" style="69" min="29" max="256"/>
    <col width="9" customWidth="1" style="69" min="257" max="16384"/>
  </cols>
  <sheetData>
    <row r="1" ht="13.5" customHeight="1" s="426" thickBot="1">
      <c r="A1" s="67" t="n"/>
      <c r="B1" s="68" t="n"/>
    </row>
    <row r="2" ht="13.5" customHeight="1" s="426">
      <c r="A2" s="315" t="inlineStr">
        <is>
          <t>Function Code</t>
        </is>
      </c>
      <c r="B2" s="439" t="n"/>
      <c r="C2" s="440" t="inlineStr">
        <is>
          <t>User - 3</t>
        </is>
      </c>
      <c r="D2" s="439" t="n"/>
      <c r="E2" s="441" t="n"/>
      <c r="F2" s="410" t="inlineStr">
        <is>
          <t>Function Name</t>
        </is>
      </c>
      <c r="G2" s="496" t="n"/>
      <c r="H2" s="496" t="n"/>
      <c r="I2" s="496" t="n"/>
      <c r="J2" s="496" t="n"/>
      <c r="K2" s="496" t="n"/>
      <c r="L2" s="443" t="inlineStr">
        <is>
          <t>Add New User</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417</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COUNTIF(F67:HQ67,"P")</f>
        <v/>
      </c>
      <c r="B7" s="465" t="n"/>
      <c r="C7" s="466">
        <f>COUNTIF(F68:HQ68,"F")</f>
        <v/>
      </c>
      <c r="D7" s="467" t="n"/>
      <c r="E7" s="465" t="n"/>
      <c r="F7" s="468">
        <f>SUM(O7,- A7,- C7)</f>
        <v/>
      </c>
      <c r="G7" s="467" t="n"/>
      <c r="H7" s="467" t="n"/>
      <c r="I7" s="467" t="n"/>
      <c r="J7" s="467" t="n"/>
      <c r="K7" s="469" t="n"/>
      <c r="L7" s="342">
        <f>COUNTIF(E66:HQ66,"N")</f>
        <v/>
      </c>
      <c r="M7" s="342">
        <f>COUNTIF(E66:HQ66,"A")</f>
        <v/>
      </c>
      <c r="N7" s="342">
        <f>COUNTIF(E66:HQ66,"B")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inlineStr">
        <is>
          <t>UTCID07</t>
        </is>
      </c>
      <c r="M9" s="168" t="inlineStr">
        <is>
          <t>UTCID08</t>
        </is>
      </c>
      <c r="N9" s="168" t="inlineStr">
        <is>
          <t>UTCID09</t>
        </is>
      </c>
      <c r="O9" s="168" t="inlineStr">
        <is>
          <t>UTCID10</t>
        </is>
      </c>
      <c r="P9" s="168" t="inlineStr">
        <is>
          <t>UTCID11</t>
        </is>
      </c>
      <c r="Q9" s="168" t="inlineStr">
        <is>
          <t>UTCID12</t>
        </is>
      </c>
      <c r="R9" s="168" t="inlineStr">
        <is>
          <t>UTCID13</t>
        </is>
      </c>
      <c r="S9" s="168" t="inlineStr">
        <is>
          <t>UTCID14</t>
        </is>
      </c>
      <c r="T9" s="168" t="inlineStr">
        <is>
          <t>UTCID15</t>
        </is>
      </c>
      <c r="U9" s="168" t="inlineStr">
        <is>
          <t>UTCID16</t>
        </is>
      </c>
      <c r="V9" s="168" t="inlineStr">
        <is>
          <t>UTCID17</t>
        </is>
      </c>
      <c r="W9" s="168" t="inlineStr">
        <is>
          <t>UTCID18</t>
        </is>
      </c>
      <c r="X9" s="168" t="inlineStr">
        <is>
          <t>UTCID19</t>
        </is>
      </c>
      <c r="Y9" s="168" t="inlineStr">
        <is>
          <t>UTCID20</t>
        </is>
      </c>
      <c r="Z9" s="168" t="n"/>
      <c r="AA9" s="168" t="n"/>
      <c r="AB9" s="168"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c r="U10" s="195" t="n"/>
      <c r="V10" s="195" t="n"/>
      <c r="W10" s="195" t="n"/>
      <c r="X10" s="195" t="n"/>
      <c r="Y10" s="195" t="n"/>
      <c r="Z10" s="195" t="n"/>
      <c r="AA10" s="195" t="n"/>
      <c r="AB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inlineStr">
        <is>
          <t>O</t>
        </is>
      </c>
      <c r="K11" s="148" t="inlineStr">
        <is>
          <t>O</t>
        </is>
      </c>
      <c r="L11" s="148" t="inlineStr">
        <is>
          <t>O</t>
        </is>
      </c>
      <c r="M11" s="148" t="inlineStr">
        <is>
          <t>O</t>
        </is>
      </c>
      <c r="N11" s="148" t="inlineStr">
        <is>
          <t>O</t>
        </is>
      </c>
      <c r="O11" s="148" t="n"/>
      <c r="P11" s="148" t="inlineStr">
        <is>
          <t>O</t>
        </is>
      </c>
      <c r="Q11" s="148" t="inlineStr">
        <is>
          <t>O</t>
        </is>
      </c>
      <c r="R11" s="148" t="inlineStr">
        <is>
          <t>O</t>
        </is>
      </c>
      <c r="S11" s="148" t="inlineStr">
        <is>
          <t>O</t>
        </is>
      </c>
      <c r="T11" s="148" t="inlineStr">
        <is>
          <t>O</t>
        </is>
      </c>
      <c r="U11" s="148" t="inlineStr">
        <is>
          <t>O</t>
        </is>
      </c>
      <c r="V11" s="148" t="inlineStr">
        <is>
          <t>O</t>
        </is>
      </c>
      <c r="W11" s="148" t="inlineStr">
        <is>
          <t>O</t>
        </is>
      </c>
      <c r="X11" s="148" t="inlineStr">
        <is>
          <t>O</t>
        </is>
      </c>
      <c r="Y11" s="148" t="inlineStr">
        <is>
          <t>O</t>
        </is>
      </c>
      <c r="Z11" s="148" t="n"/>
      <c r="AA11" s="148" t="n"/>
      <c r="AB11" s="170"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inlineStr">
        <is>
          <t>O</t>
        </is>
      </c>
      <c r="M12" s="148" t="inlineStr">
        <is>
          <t>O</t>
        </is>
      </c>
      <c r="N12" s="148" t="inlineStr">
        <is>
          <t>O</t>
        </is>
      </c>
      <c r="O12" s="148" t="inlineStr">
        <is>
          <t>O</t>
        </is>
      </c>
      <c r="P12" s="148" t="inlineStr">
        <is>
          <t>O</t>
        </is>
      </c>
      <c r="Q12" s="148" t="inlineStr">
        <is>
          <t>O</t>
        </is>
      </c>
      <c r="R12" s="148" t="inlineStr">
        <is>
          <t>O</t>
        </is>
      </c>
      <c r="S12" s="148" t="inlineStr">
        <is>
          <t>O</t>
        </is>
      </c>
      <c r="T12" s="148" t="inlineStr">
        <is>
          <t>O</t>
        </is>
      </c>
      <c r="U12" s="148" t="inlineStr">
        <is>
          <t>O</t>
        </is>
      </c>
      <c r="V12" s="148" t="inlineStr">
        <is>
          <t>O</t>
        </is>
      </c>
      <c r="W12" s="148" t="inlineStr">
        <is>
          <t>O</t>
        </is>
      </c>
      <c r="X12" s="148" t="inlineStr">
        <is>
          <t>O</t>
        </is>
      </c>
      <c r="Y12" s="148" t="inlineStr">
        <is>
          <t>O</t>
        </is>
      </c>
      <c r="Z12" s="148" t="n"/>
      <c r="AA12" s="148" t="n"/>
      <c r="AB12" s="170" t="n"/>
    </row>
    <row r="13" ht="13.5" customHeight="1" s="426">
      <c r="A13" s="171" t="n"/>
      <c r="B13" s="75" t="n"/>
      <c r="C13" s="76" t="n"/>
      <c r="D13" s="77" t="inlineStr">
        <is>
          <t>RoleId Existed</t>
        </is>
      </c>
      <c r="E13" s="80" t="n"/>
      <c r="F13" s="148" t="inlineStr">
        <is>
          <t>O</t>
        </is>
      </c>
      <c r="G13" s="148" t="n"/>
      <c r="H13" s="148" t="inlineStr">
        <is>
          <t>O</t>
        </is>
      </c>
      <c r="I13" s="148" t="inlineStr">
        <is>
          <t>O</t>
        </is>
      </c>
      <c r="J13" s="148" t="inlineStr">
        <is>
          <t>O</t>
        </is>
      </c>
      <c r="K13" s="148" t="inlineStr">
        <is>
          <t>O</t>
        </is>
      </c>
      <c r="L13" s="148" t="inlineStr">
        <is>
          <t>O</t>
        </is>
      </c>
      <c r="M13" s="148" t="inlineStr">
        <is>
          <t>O</t>
        </is>
      </c>
      <c r="N13" s="148" t="n"/>
      <c r="O13" s="148" t="n"/>
      <c r="P13" s="148" t="inlineStr">
        <is>
          <t>O</t>
        </is>
      </c>
      <c r="Q13" s="148" t="inlineStr">
        <is>
          <t>O</t>
        </is>
      </c>
      <c r="R13" s="148" t="inlineStr">
        <is>
          <t>O</t>
        </is>
      </c>
      <c r="S13" s="148" t="inlineStr">
        <is>
          <t>O</t>
        </is>
      </c>
      <c r="T13" s="148" t="inlineStr">
        <is>
          <t>O</t>
        </is>
      </c>
      <c r="U13" s="148" t="inlineStr">
        <is>
          <t>O</t>
        </is>
      </c>
      <c r="V13" s="148" t="inlineStr">
        <is>
          <t>O</t>
        </is>
      </c>
      <c r="W13" s="148" t="inlineStr">
        <is>
          <t>O</t>
        </is>
      </c>
      <c r="X13" s="148" t="inlineStr">
        <is>
          <t>O</t>
        </is>
      </c>
      <c r="Y13" s="148" t="inlineStr">
        <is>
          <t>O</t>
        </is>
      </c>
      <c r="Z13" s="148" t="n"/>
      <c r="AA13" s="148" t="n"/>
      <c r="AB13" s="170" t="n"/>
    </row>
    <row r="14" ht="13.5" customHeight="1" s="426">
      <c r="A14" s="171" t="n"/>
      <c r="B14" s="75" t="n"/>
      <c r="C14" s="76" t="n"/>
      <c r="D14" s="77" t="inlineStr">
        <is>
          <t>RoleId Does not Existed</t>
        </is>
      </c>
      <c r="E14" s="80" t="n"/>
      <c r="F14" s="148" t="n"/>
      <c r="G14" s="148" t="inlineStr">
        <is>
          <t>O</t>
        </is>
      </c>
      <c r="H14" s="148" t="n"/>
      <c r="I14" s="148" t="n"/>
      <c r="J14" s="148" t="n"/>
      <c r="K14" s="148" t="n"/>
      <c r="L14" s="148" t="n"/>
      <c r="M14" s="148" t="n"/>
      <c r="N14" s="148" t="inlineStr">
        <is>
          <t>O</t>
        </is>
      </c>
      <c r="O14" s="148" t="inlineStr">
        <is>
          <t>O</t>
        </is>
      </c>
      <c r="P14" s="148" t="n"/>
      <c r="Q14" s="148" t="n"/>
      <c r="R14" s="148" t="n"/>
      <c r="S14" s="148" t="n"/>
      <c r="T14" s="170" t="n"/>
      <c r="U14" s="170" t="n"/>
      <c r="V14" s="170" t="n"/>
      <c r="W14" s="170" t="n"/>
      <c r="X14" s="170" t="n"/>
      <c r="Y14" s="170" t="n"/>
      <c r="Z14" s="170" t="n"/>
      <c r="AA14" s="170" t="n"/>
      <c r="AB14" s="170" t="n"/>
    </row>
    <row r="15" ht="13.5" customHeight="1" s="426">
      <c r="A15" s="171" t="n"/>
      <c r="B15" s="75" t="inlineStr">
        <is>
          <t>UserId</t>
        </is>
      </c>
      <c r="C15" s="76" t="n"/>
      <c r="D15" s="77" t="n"/>
      <c r="E15" s="80" t="n"/>
      <c r="F15" s="148" t="n"/>
      <c r="G15" s="148" t="n"/>
      <c r="H15" s="148" t="n"/>
      <c r="I15" s="148" t="n"/>
      <c r="J15" s="148" t="n"/>
      <c r="K15" s="148" t="n"/>
      <c r="L15" s="148" t="n"/>
      <c r="M15" s="148" t="n"/>
      <c r="N15" s="148" t="n"/>
      <c r="O15" s="148" t="n"/>
      <c r="P15" s="148" t="n"/>
      <c r="Q15" s="148" t="n"/>
      <c r="R15" s="148" t="n"/>
      <c r="S15" s="148" t="n"/>
      <c r="T15" s="170" t="n"/>
      <c r="U15" s="170" t="n"/>
      <c r="V15" s="170" t="n"/>
      <c r="W15" s="170" t="n"/>
      <c r="X15" s="170" t="n"/>
      <c r="Y15" s="170" t="n"/>
      <c r="Z15" s="170" t="n"/>
      <c r="AA15" s="170" t="n"/>
      <c r="AB15" s="170" t="n"/>
    </row>
    <row r="16" ht="13.5" customHeight="1" s="426">
      <c r="A16" s="171" t="n"/>
      <c r="B16" s="75" t="n"/>
      <c r="C16" s="76" t="n"/>
      <c r="D16" s="77" t="inlineStr">
        <is>
          <t>Guid</t>
        </is>
      </c>
      <c r="E16" s="80" t="n"/>
      <c r="F16" s="148" t="inlineStr">
        <is>
          <t>O</t>
        </is>
      </c>
      <c r="G16" s="148" t="n"/>
      <c r="H16" s="148" t="inlineStr">
        <is>
          <t>O</t>
        </is>
      </c>
      <c r="I16" s="148" t="inlineStr">
        <is>
          <t>O</t>
        </is>
      </c>
      <c r="J16" s="148" t="inlineStr">
        <is>
          <t>O</t>
        </is>
      </c>
      <c r="K16" s="148" t="inlineStr">
        <is>
          <t>O</t>
        </is>
      </c>
      <c r="L16" s="148" t="inlineStr">
        <is>
          <t>O</t>
        </is>
      </c>
      <c r="M16" s="148" t="inlineStr">
        <is>
          <t>O</t>
        </is>
      </c>
      <c r="N16" s="148" t="inlineStr">
        <is>
          <t>O</t>
        </is>
      </c>
      <c r="O16" s="148" t="inlineStr">
        <is>
          <t>O</t>
        </is>
      </c>
      <c r="P16" s="148" t="inlineStr">
        <is>
          <t>O</t>
        </is>
      </c>
      <c r="Q16" s="148" t="inlineStr">
        <is>
          <t>O</t>
        </is>
      </c>
      <c r="R16" s="148" t="inlineStr">
        <is>
          <t>O</t>
        </is>
      </c>
      <c r="S16" s="148" t="inlineStr">
        <is>
          <t>O</t>
        </is>
      </c>
      <c r="T16" s="148" t="inlineStr">
        <is>
          <t>O</t>
        </is>
      </c>
      <c r="U16" s="148" t="inlineStr">
        <is>
          <t>O</t>
        </is>
      </c>
      <c r="V16" s="148" t="inlineStr">
        <is>
          <t>O</t>
        </is>
      </c>
      <c r="W16" s="148" t="inlineStr">
        <is>
          <t>O</t>
        </is>
      </c>
      <c r="X16" s="148" t="inlineStr">
        <is>
          <t>O</t>
        </is>
      </c>
      <c r="Y16" s="148" t="inlineStr">
        <is>
          <t>O</t>
        </is>
      </c>
      <c r="Z16" s="170" t="n"/>
      <c r="AA16" s="170" t="n"/>
      <c r="AB16" s="170" t="n"/>
    </row>
    <row r="17" ht="13.5" customHeight="1" s="426">
      <c r="A17" s="171" t="n"/>
      <c r="B17" s="75" t="n"/>
      <c r="C17" s="76" t="n"/>
      <c r="D17" s="77" t="inlineStr">
        <is>
          <t>null</t>
        </is>
      </c>
      <c r="E17" s="80" t="n"/>
      <c r="F17" s="148" t="n"/>
      <c r="G17" s="148" t="inlineStr">
        <is>
          <t>O</t>
        </is>
      </c>
      <c r="H17" s="148" t="n"/>
      <c r="I17" s="148" t="n"/>
      <c r="J17" s="148" t="n"/>
      <c r="K17" s="148" t="n"/>
      <c r="L17" s="148" t="n"/>
      <c r="M17" s="148" t="n"/>
      <c r="N17" s="148" t="n"/>
      <c r="O17" s="148" t="n"/>
      <c r="P17" s="148" t="n"/>
      <c r="Q17" s="148" t="n"/>
      <c r="R17" s="148" t="n"/>
      <c r="S17" s="148" t="n"/>
      <c r="T17" s="170" t="n"/>
      <c r="U17" s="170" t="n"/>
      <c r="V17" s="170" t="n"/>
      <c r="W17" s="170" t="n"/>
      <c r="X17" s="170" t="n"/>
      <c r="Y17" s="170" t="n"/>
      <c r="Z17" s="170" t="n"/>
      <c r="AA17" s="170" t="n"/>
      <c r="AB17" s="170" t="n"/>
    </row>
    <row r="18" ht="13.5" customHeight="1" s="426">
      <c r="A18" s="171" t="n"/>
      <c r="B18" s="75" t="inlineStr">
        <is>
          <t>UserCode</t>
        </is>
      </c>
      <c r="C18" s="76" t="n"/>
      <c r="D18" s="77" t="n"/>
      <c r="E18" s="80" t="n"/>
      <c r="F18" s="148" t="n"/>
      <c r="G18" s="148" t="n"/>
      <c r="H18" s="148" t="n"/>
      <c r="I18" s="148" t="n"/>
      <c r="J18" s="148" t="n"/>
      <c r="K18" s="148" t="n"/>
      <c r="L18" s="148" t="n"/>
      <c r="M18" s="148" t="n"/>
      <c r="N18" s="148" t="n"/>
      <c r="O18" s="148" t="n"/>
      <c r="P18" s="148" t="n"/>
      <c r="Q18" s="148" t="n"/>
      <c r="R18" s="148" t="n"/>
      <c r="S18" s="148" t="n"/>
      <c r="T18" s="170" t="n"/>
      <c r="U18" s="170" t="n"/>
      <c r="V18" s="170" t="n"/>
      <c r="W18" s="170" t="n"/>
      <c r="X18" s="170" t="n"/>
      <c r="Y18" s="170" t="n"/>
      <c r="Z18" s="170" t="n"/>
      <c r="AA18" s="170" t="n"/>
      <c r="AB18" s="170" t="n"/>
    </row>
    <row r="19" ht="13.5" customHeight="1" s="426">
      <c r="A19" s="171" t="n"/>
      <c r="B19" s="75" t="n"/>
      <c r="C19" s="76" t="n"/>
      <c r="D19" s="77" t="inlineStr">
        <is>
          <t>"USER001"</t>
        </is>
      </c>
      <c r="E19" s="80" t="n"/>
      <c r="F19" s="148" t="inlineStr">
        <is>
          <t>O</t>
        </is>
      </c>
      <c r="G19" s="148" t="n"/>
      <c r="H19" s="148" t="inlineStr">
        <is>
          <t>O</t>
        </is>
      </c>
      <c r="I19" s="148" t="inlineStr">
        <is>
          <t>O</t>
        </is>
      </c>
      <c r="J19" s="148" t="n"/>
      <c r="K19" s="148" t="inlineStr">
        <is>
          <t>O</t>
        </is>
      </c>
      <c r="L19" s="148" t="inlineStr">
        <is>
          <t>O</t>
        </is>
      </c>
      <c r="M19" s="148" t="inlineStr">
        <is>
          <t>O</t>
        </is>
      </c>
      <c r="N19" s="148" t="inlineStr">
        <is>
          <t>O</t>
        </is>
      </c>
      <c r="O19" s="148" t="inlineStr">
        <is>
          <t>O</t>
        </is>
      </c>
      <c r="P19" s="148" t="n"/>
      <c r="Q19" s="148" t="n"/>
      <c r="R19" s="148" t="inlineStr">
        <is>
          <t>O</t>
        </is>
      </c>
      <c r="S19" s="148" t="inlineStr">
        <is>
          <t>O</t>
        </is>
      </c>
      <c r="T19" s="148" t="inlineStr">
        <is>
          <t>O</t>
        </is>
      </c>
      <c r="U19" s="148" t="inlineStr">
        <is>
          <t>O</t>
        </is>
      </c>
      <c r="V19" s="148" t="inlineStr">
        <is>
          <t>O</t>
        </is>
      </c>
      <c r="W19" s="148" t="inlineStr">
        <is>
          <t>O</t>
        </is>
      </c>
      <c r="X19" s="148" t="inlineStr">
        <is>
          <t>O</t>
        </is>
      </c>
      <c r="Y19" s="148" t="inlineStr">
        <is>
          <t>O</t>
        </is>
      </c>
      <c r="Z19" s="170" t="n"/>
      <c r="AA19" s="170" t="n"/>
      <c r="AB19" s="170" t="n"/>
    </row>
    <row r="20" ht="13.5" customHeight="1" s="426">
      <c r="A20" s="171" t="n"/>
      <c r="B20" s="75" t="n"/>
      <c r="C20" s="76" t="n"/>
      <c r="D20" s="77" t="inlineStr">
        <is>
          <t>null</t>
        </is>
      </c>
      <c r="E20" s="80" t="n"/>
      <c r="F20" s="148" t="n"/>
      <c r="G20" s="148" t="inlineStr">
        <is>
          <t>O</t>
        </is>
      </c>
      <c r="H20" s="148" t="n"/>
      <c r="I20" s="148" t="n"/>
      <c r="J20" s="148" t="inlineStr">
        <is>
          <t>O</t>
        </is>
      </c>
      <c r="K20" s="148" t="n"/>
      <c r="L20" s="148" t="n"/>
      <c r="M20" s="148" t="n"/>
      <c r="N20" s="148" t="n"/>
      <c r="O20" s="148" t="n"/>
      <c r="P20" s="148" t="n"/>
      <c r="Q20" s="148" t="n"/>
      <c r="R20" s="148" t="n"/>
      <c r="S20" s="148" t="n"/>
      <c r="T20" s="170" t="n"/>
      <c r="U20" s="170" t="n"/>
      <c r="V20" s="170" t="n"/>
      <c r="W20" s="170" t="n"/>
      <c r="X20" s="170" t="n"/>
      <c r="Y20" s="170" t="n"/>
      <c r="Z20" s="170" t="n"/>
      <c r="AA20" s="170" t="n"/>
      <c r="AB20" s="170" t="n"/>
    </row>
    <row r="21" ht="13.5" customHeight="1" s="426">
      <c r="A21" s="171" t="n"/>
      <c r="B21" s="75" t="n"/>
      <c r="C21" s="76" t="n"/>
      <c r="D21" s="77" t="inlineStr">
        <is>
          <t>15 character strings</t>
        </is>
      </c>
      <c r="E21" s="80" t="n"/>
      <c r="F21" s="148" t="n"/>
      <c r="G21" s="148" t="n"/>
      <c r="H21" s="148" t="n"/>
      <c r="I21" s="148" t="n"/>
      <c r="J21" s="148" t="n"/>
      <c r="K21" s="148" t="n"/>
      <c r="L21" s="148" t="n"/>
      <c r="M21" s="148" t="n"/>
      <c r="N21" s="148" t="n"/>
      <c r="O21" s="148" t="n"/>
      <c r="P21" s="148" t="inlineStr">
        <is>
          <t>O</t>
        </is>
      </c>
      <c r="Q21" s="148" t="n"/>
      <c r="R21" s="148" t="n"/>
      <c r="S21" s="148" t="n"/>
      <c r="T21" s="170" t="n"/>
      <c r="U21" s="170" t="n"/>
      <c r="V21" s="170" t="n"/>
      <c r="W21" s="170" t="n"/>
      <c r="X21" s="170" t="n"/>
      <c r="Y21" s="170" t="n"/>
      <c r="Z21" s="170" t="n"/>
      <c r="AA21" s="170" t="n"/>
      <c r="AB21" s="170" t="n"/>
    </row>
    <row r="22" ht="13.5" customHeight="1" s="426">
      <c r="A22" s="171" t="n"/>
      <c r="B22" s="75" t="n"/>
      <c r="C22" s="76" t="n"/>
      <c r="D22" s="77" t="inlineStr">
        <is>
          <t>16 character strings</t>
        </is>
      </c>
      <c r="E22" s="80" t="n"/>
      <c r="F22" s="148" t="n"/>
      <c r="G22" s="148" t="n"/>
      <c r="H22" s="148" t="n"/>
      <c r="I22" s="148" t="n"/>
      <c r="J22" s="148" t="n"/>
      <c r="K22" s="148" t="n"/>
      <c r="L22" s="148" t="n"/>
      <c r="M22" s="148" t="n"/>
      <c r="N22" s="148" t="n"/>
      <c r="O22" s="148" t="n"/>
      <c r="P22" s="148" t="n"/>
      <c r="Q22" s="148" t="inlineStr">
        <is>
          <t>O</t>
        </is>
      </c>
      <c r="R22" s="148" t="n"/>
      <c r="S22" s="148" t="n"/>
      <c r="T22" s="170" t="n"/>
      <c r="U22" s="170" t="n"/>
      <c r="V22" s="170" t="n"/>
      <c r="W22" s="170" t="n"/>
      <c r="X22" s="170" t="n"/>
      <c r="Y22" s="170" t="n"/>
      <c r="Z22" s="170" t="n"/>
      <c r="AA22" s="170" t="n"/>
      <c r="AB22" s="170" t="n"/>
    </row>
    <row r="23" ht="13.5" customHeight="1" s="426">
      <c r="A23" s="171" t="n"/>
      <c r="B23" s="75" t="inlineStr">
        <is>
          <t>Email</t>
        </is>
      </c>
      <c r="C23" s="76" t="n"/>
      <c r="D23" s="77" t="n"/>
      <c r="E23" s="80" t="n"/>
      <c r="F23" s="148" t="n"/>
      <c r="G23" s="148" t="n"/>
      <c r="H23" s="148" t="n"/>
      <c r="I23" s="148" t="n"/>
      <c r="J23" s="148" t="n"/>
      <c r="K23" s="148" t="n"/>
      <c r="L23" s="148" t="n"/>
      <c r="M23" s="148" t="n"/>
      <c r="N23" s="148" t="n"/>
      <c r="O23" s="148" t="n"/>
      <c r="P23" s="148" t="n"/>
      <c r="Q23" s="148" t="n"/>
      <c r="R23" s="148" t="n"/>
      <c r="S23" s="148" t="n"/>
      <c r="T23" s="170" t="n"/>
      <c r="U23" s="170" t="n"/>
      <c r="V23" s="170" t="n"/>
      <c r="W23" s="170" t="n"/>
      <c r="X23" s="170" t="n"/>
      <c r="Y23" s="170" t="n"/>
      <c r="Z23" s="170" t="n"/>
      <c r="AA23" s="170" t="n"/>
      <c r="AB23" s="170" t="n"/>
    </row>
    <row r="24" ht="13.5" customHeight="1" s="426">
      <c r="A24" s="171" t="n"/>
      <c r="B24" s="75" t="n"/>
      <c r="C24" s="76" t="n"/>
      <c r="D24" s="278" t="inlineStr">
        <is>
          <t>user1@example.com</t>
        </is>
      </c>
      <c r="E24" s="80" t="n"/>
      <c r="F24" s="148" t="inlineStr">
        <is>
          <t>O</t>
        </is>
      </c>
      <c r="G24" s="148" t="n"/>
      <c r="H24" s="148" t="n"/>
      <c r="I24" s="148" t="n"/>
      <c r="J24" s="148" t="inlineStr">
        <is>
          <t>O</t>
        </is>
      </c>
      <c r="K24" s="148" t="inlineStr">
        <is>
          <t>O</t>
        </is>
      </c>
      <c r="L24" s="148" t="inlineStr">
        <is>
          <t>O</t>
        </is>
      </c>
      <c r="M24" s="148" t="inlineStr">
        <is>
          <t>O</t>
        </is>
      </c>
      <c r="N24" s="148" t="inlineStr">
        <is>
          <t>O</t>
        </is>
      </c>
      <c r="O24" s="148" t="inlineStr">
        <is>
          <t>O</t>
        </is>
      </c>
      <c r="P24" s="148" t="inlineStr">
        <is>
          <t>O</t>
        </is>
      </c>
      <c r="Q24" s="148" t="inlineStr">
        <is>
          <t>O</t>
        </is>
      </c>
      <c r="R24" s="148" t="n"/>
      <c r="S24" s="148" t="n"/>
      <c r="T24" s="148" t="inlineStr">
        <is>
          <t>O</t>
        </is>
      </c>
      <c r="U24" s="148" t="inlineStr">
        <is>
          <t>O</t>
        </is>
      </c>
      <c r="V24" s="148" t="inlineStr">
        <is>
          <t>O</t>
        </is>
      </c>
      <c r="W24" s="148" t="inlineStr">
        <is>
          <t>O</t>
        </is>
      </c>
      <c r="X24" s="148" t="inlineStr">
        <is>
          <t>O</t>
        </is>
      </c>
      <c r="Y24" s="148" t="inlineStr">
        <is>
          <t>O</t>
        </is>
      </c>
      <c r="Z24" s="170" t="n"/>
      <c r="AA24" s="170" t="n"/>
      <c r="AB24" s="170" t="n"/>
    </row>
    <row r="25" ht="13.5" customHeight="1" s="426">
      <c r="A25" s="171" t="n"/>
      <c r="B25" s="75" t="n"/>
      <c r="C25" s="76" t="n"/>
      <c r="D25" s="77" t="inlineStr">
        <is>
          <t>"invalid-email"</t>
        </is>
      </c>
      <c r="E25" s="80" t="n"/>
      <c r="F25" s="148" t="n"/>
      <c r="G25" s="148" t="n"/>
      <c r="H25" s="148" t="inlineStr">
        <is>
          <t>O</t>
        </is>
      </c>
      <c r="I25" s="148" t="n"/>
      <c r="J25" s="148" t="n"/>
      <c r="K25" s="148" t="n"/>
      <c r="L25" s="148" t="n"/>
      <c r="M25" s="148" t="n"/>
      <c r="N25" s="148" t="n"/>
      <c r="O25" s="148" t="n"/>
      <c r="P25" s="148" t="n"/>
      <c r="Q25" s="148" t="n"/>
      <c r="R25" s="148" t="n"/>
      <c r="S25" s="148" t="n"/>
      <c r="T25" s="170" t="n"/>
      <c r="U25" s="170" t="n"/>
      <c r="V25" s="170" t="n"/>
      <c r="W25" s="170" t="n"/>
      <c r="X25" s="170" t="n"/>
      <c r="Y25" s="170" t="n"/>
      <c r="Z25" s="170" t="n"/>
      <c r="AA25" s="170" t="n"/>
      <c r="AB25" s="170" t="n"/>
    </row>
    <row r="26" ht="13.5" customHeight="1" s="426">
      <c r="A26" s="171" t="n"/>
      <c r="B26" s="75" t="n"/>
      <c r="C26" s="76" t="n"/>
      <c r="D26" s="77" t="inlineStr">
        <is>
          <t>null</t>
        </is>
      </c>
      <c r="E26" s="80" t="n"/>
      <c r="F26" s="148" t="n"/>
      <c r="G26" s="148" t="inlineStr">
        <is>
          <t>O</t>
        </is>
      </c>
      <c r="H26" s="148" t="n"/>
      <c r="I26" s="148" t="inlineStr">
        <is>
          <t>O</t>
        </is>
      </c>
      <c r="J26" s="148" t="n"/>
      <c r="K26" s="148" t="n"/>
      <c r="L26" s="148" t="n"/>
      <c r="M26" s="148" t="n"/>
      <c r="N26" s="148" t="n"/>
      <c r="O26" s="148" t="n"/>
      <c r="P26" s="148" t="n"/>
      <c r="Q26" s="148" t="n"/>
      <c r="R26" s="148" t="n"/>
      <c r="S26" s="148" t="n"/>
      <c r="T26" s="170" t="n"/>
      <c r="U26" s="170" t="n"/>
      <c r="V26" s="170" t="n"/>
      <c r="W26" s="170" t="n"/>
      <c r="X26" s="170" t="n"/>
      <c r="Y26" s="170" t="n"/>
      <c r="Z26" s="170" t="n"/>
      <c r="AA26" s="170" t="n"/>
      <c r="AB26" s="170" t="n"/>
    </row>
    <row r="27" ht="13.5" customHeight="1" s="426">
      <c r="A27" s="171" t="n"/>
      <c r="B27" s="75" t="n"/>
      <c r="C27" s="76" t="n"/>
      <c r="D27" s="77" t="inlineStr">
        <is>
          <t>50 character strings</t>
        </is>
      </c>
      <c r="E27" s="80" t="n"/>
      <c r="F27" s="148" t="n"/>
      <c r="G27" s="148" t="n"/>
      <c r="H27" s="148" t="n"/>
      <c r="I27" s="148" t="n"/>
      <c r="J27" s="148" t="n"/>
      <c r="K27" s="148" t="n"/>
      <c r="L27" s="148" t="n"/>
      <c r="M27" s="148" t="n"/>
      <c r="N27" s="148" t="n"/>
      <c r="O27" s="148" t="n"/>
      <c r="P27" s="148" t="n"/>
      <c r="Q27" s="148" t="n"/>
      <c r="R27" s="148" t="inlineStr">
        <is>
          <t>O</t>
        </is>
      </c>
      <c r="S27" s="148" t="n"/>
      <c r="T27" s="170" t="n"/>
      <c r="U27" s="170" t="n"/>
      <c r="V27" s="170" t="n"/>
      <c r="W27" s="170" t="n"/>
      <c r="X27" s="170" t="n"/>
      <c r="Y27" s="170" t="n"/>
      <c r="Z27" s="170" t="n"/>
      <c r="AA27" s="170" t="n"/>
      <c r="AB27" s="170" t="n"/>
    </row>
    <row r="28" ht="13.5" customHeight="1" s="426">
      <c r="A28" s="171" t="n"/>
      <c r="B28" s="75" t="n"/>
      <c r="C28" s="76" t="n"/>
      <c r="D28" s="77" t="inlineStr">
        <is>
          <t>51 character strings</t>
        </is>
      </c>
      <c r="E28" s="80" t="n"/>
      <c r="F28" s="148" t="n"/>
      <c r="G28" s="148" t="n"/>
      <c r="H28" s="148" t="n"/>
      <c r="I28" s="148" t="n"/>
      <c r="J28" s="148" t="n"/>
      <c r="K28" s="148" t="n"/>
      <c r="L28" s="148" t="n"/>
      <c r="M28" s="148" t="n"/>
      <c r="N28" s="148" t="n"/>
      <c r="O28" s="148" t="n"/>
      <c r="P28" s="148" t="n"/>
      <c r="Q28" s="148" t="n"/>
      <c r="R28" s="148" t="n"/>
      <c r="S28" s="148" t="inlineStr">
        <is>
          <t>O</t>
        </is>
      </c>
      <c r="T28" s="170" t="n"/>
      <c r="U28" s="170" t="n"/>
      <c r="V28" s="170" t="n"/>
      <c r="W28" s="170" t="n"/>
      <c r="X28" s="170" t="n"/>
      <c r="Y28" s="170" t="n"/>
      <c r="Z28" s="170" t="n"/>
      <c r="AA28" s="170" t="n"/>
      <c r="AB28" s="170" t="n"/>
    </row>
    <row r="29" ht="13.5" customHeight="1" s="426">
      <c r="A29" s="171" t="n"/>
      <c r="B29" s="75" t="inlineStr">
        <is>
          <t>RoleId</t>
        </is>
      </c>
      <c r="C29" s="76" t="n"/>
      <c r="D29" s="77" t="n"/>
      <c r="E29" s="80" t="n"/>
      <c r="F29" s="148" t="n"/>
      <c r="G29" s="148" t="n"/>
      <c r="H29" s="148" t="n"/>
      <c r="I29" s="148" t="n"/>
      <c r="J29" s="148" t="n"/>
      <c r="K29" s="148" t="n"/>
      <c r="L29" s="148" t="n"/>
      <c r="M29" s="148" t="n"/>
      <c r="N29" s="148" t="n"/>
      <c r="O29" s="148" t="n"/>
      <c r="P29" s="148" t="n"/>
      <c r="Q29" s="148" t="n"/>
      <c r="R29" s="148" t="n"/>
      <c r="S29" s="148" t="n"/>
      <c r="T29" s="170" t="n"/>
      <c r="U29" s="170" t="n"/>
      <c r="V29" s="170" t="n"/>
      <c r="W29" s="170" t="n"/>
      <c r="X29" s="170" t="n"/>
      <c r="Y29" s="170" t="n"/>
      <c r="Z29" s="170" t="n"/>
      <c r="AA29" s="170" t="n"/>
      <c r="AB29" s="170" t="n"/>
    </row>
    <row r="30" ht="13.5" customHeight="1" s="426">
      <c r="A30" s="171" t="n"/>
      <c r="B30" s="75" t="n"/>
      <c r="C30" s="76" t="n"/>
      <c r="D30" s="77" t="n">
        <v>1</v>
      </c>
      <c r="E30" s="80" t="n"/>
      <c r="F30" s="148" t="inlineStr">
        <is>
          <t>O</t>
        </is>
      </c>
      <c r="G30" s="148" t="n"/>
      <c r="H30" s="148" t="inlineStr">
        <is>
          <t>O</t>
        </is>
      </c>
      <c r="I30" s="148" t="inlineStr">
        <is>
          <t>O</t>
        </is>
      </c>
      <c r="J30" s="148" t="inlineStr">
        <is>
          <t>O</t>
        </is>
      </c>
      <c r="K30" s="148" t="inlineStr">
        <is>
          <t>O</t>
        </is>
      </c>
      <c r="L30" s="148" t="inlineStr">
        <is>
          <t>O</t>
        </is>
      </c>
      <c r="M30" s="148" t="inlineStr">
        <is>
          <t>O</t>
        </is>
      </c>
      <c r="N30" s="148" t="n"/>
      <c r="O30" s="148" t="inlineStr">
        <is>
          <t>O</t>
        </is>
      </c>
      <c r="P30" s="148" t="inlineStr">
        <is>
          <t>O</t>
        </is>
      </c>
      <c r="Q30" s="148" t="inlineStr">
        <is>
          <t>O</t>
        </is>
      </c>
      <c r="R30" s="148" t="inlineStr">
        <is>
          <t>O</t>
        </is>
      </c>
      <c r="S30" s="148" t="inlineStr">
        <is>
          <t>O</t>
        </is>
      </c>
      <c r="T30" s="148" t="inlineStr">
        <is>
          <t>O</t>
        </is>
      </c>
      <c r="U30" s="148" t="inlineStr">
        <is>
          <t>O</t>
        </is>
      </c>
      <c r="V30" s="148" t="inlineStr">
        <is>
          <t>O</t>
        </is>
      </c>
      <c r="W30" s="148" t="inlineStr">
        <is>
          <t>O</t>
        </is>
      </c>
      <c r="X30" s="148" t="inlineStr">
        <is>
          <t>O</t>
        </is>
      </c>
      <c r="Y30" s="148" t="inlineStr">
        <is>
          <t>O</t>
        </is>
      </c>
      <c r="Z30" s="170" t="n"/>
      <c r="AA30" s="170" t="n"/>
      <c r="AB30" s="170" t="n"/>
    </row>
    <row r="31" ht="13.5" customHeight="1" s="426">
      <c r="A31" s="171" t="n"/>
      <c r="B31" s="75" t="n"/>
      <c r="C31" s="76" t="n"/>
      <c r="D31" s="77" t="n">
        <v>9999</v>
      </c>
      <c r="E31" s="80" t="n"/>
      <c r="F31" s="148" t="n"/>
      <c r="G31" s="148" t="n"/>
      <c r="H31" s="148" t="n"/>
      <c r="I31" s="148" t="n"/>
      <c r="J31" s="148" t="n"/>
      <c r="K31" s="148" t="n"/>
      <c r="L31" s="148" t="n"/>
      <c r="M31" s="148" t="n"/>
      <c r="N31" s="148" t="inlineStr">
        <is>
          <t>O</t>
        </is>
      </c>
      <c r="O31" s="148" t="n"/>
      <c r="P31" s="148" t="n"/>
      <c r="Q31" s="148" t="n"/>
      <c r="R31" s="148" t="n"/>
      <c r="S31" s="148" t="n"/>
      <c r="T31" s="170" t="n"/>
      <c r="U31" s="170" t="n"/>
      <c r="V31" s="170" t="n"/>
      <c r="W31" s="170" t="n"/>
      <c r="X31" s="170" t="n"/>
      <c r="Y31" s="170" t="n"/>
      <c r="Z31" s="170" t="n"/>
      <c r="AA31" s="170" t="n"/>
      <c r="AB31" s="170" t="n"/>
    </row>
    <row r="32" ht="13.5" customHeight="1" s="426">
      <c r="A32" s="171" t="n"/>
      <c r="B32" s="75" t="n"/>
      <c r="C32" s="76" t="n"/>
      <c r="D32" s="77" t="inlineStr">
        <is>
          <t>null</t>
        </is>
      </c>
      <c r="E32" s="80" t="n"/>
      <c r="F32" s="148" t="n"/>
      <c r="G32" s="148" t="inlineStr">
        <is>
          <t>O</t>
        </is>
      </c>
      <c r="H32" s="148" t="n"/>
      <c r="I32" s="148" t="n"/>
      <c r="J32" s="148" t="n"/>
      <c r="K32" s="148" t="n"/>
      <c r="L32" s="148" t="n"/>
      <c r="M32" s="148" t="n"/>
      <c r="N32" s="148" t="n"/>
      <c r="O32" s="148" t="n"/>
      <c r="P32" s="148" t="n"/>
      <c r="Q32" s="148" t="n"/>
      <c r="R32" s="148" t="n"/>
      <c r="S32" s="148" t="n"/>
      <c r="T32" s="170" t="n"/>
      <c r="U32" s="170" t="n"/>
      <c r="V32" s="170" t="n"/>
      <c r="W32" s="170" t="n"/>
      <c r="X32" s="170" t="n"/>
      <c r="Y32" s="170" t="n"/>
      <c r="Z32" s="170" t="n"/>
      <c r="AA32" s="170" t="n"/>
      <c r="AB32" s="170" t="n"/>
    </row>
    <row r="33" ht="13.5" customHeight="1" s="426">
      <c r="A33" s="171" t="n"/>
      <c r="B33" s="75" t="inlineStr">
        <is>
          <t>Fullname</t>
        </is>
      </c>
      <c r="C33" s="76" t="n"/>
      <c r="D33" s="77" t="n"/>
      <c r="E33" s="80" t="n"/>
      <c r="F33" s="148" t="n"/>
      <c r="G33" s="148" t="n"/>
      <c r="H33" s="148" t="n"/>
      <c r="I33" s="148" t="n"/>
      <c r="J33" s="148" t="n"/>
      <c r="K33" s="148" t="n"/>
      <c r="L33" s="148" t="n"/>
      <c r="M33" s="148" t="n"/>
      <c r="N33" s="148" t="n"/>
      <c r="O33" s="148" t="n"/>
      <c r="P33" s="148" t="n"/>
      <c r="Q33" s="148" t="n"/>
      <c r="R33" s="148" t="n"/>
      <c r="S33" s="148" t="n"/>
      <c r="T33" s="170" t="n"/>
      <c r="U33" s="170" t="n"/>
      <c r="V33" s="170" t="n"/>
      <c r="W33" s="170" t="n"/>
      <c r="X33" s="170" t="n"/>
      <c r="Y33" s="170" t="n"/>
      <c r="Z33" s="170" t="n"/>
      <c r="AA33" s="170" t="n"/>
      <c r="AB33" s="170" t="n"/>
    </row>
    <row r="34" ht="13.5" customHeight="1" s="426">
      <c r="A34" s="171" t="n"/>
      <c r="B34" s="75" t="n"/>
      <c r="C34" s="76" t="n"/>
      <c r="D34" s="77" t="inlineStr">
        <is>
          <t>"User One"</t>
        </is>
      </c>
      <c r="E34" s="80" t="n"/>
      <c r="F34" s="148" t="inlineStr">
        <is>
          <t>O</t>
        </is>
      </c>
      <c r="G34" s="148" t="n"/>
      <c r="H34" s="148" t="inlineStr">
        <is>
          <t>O</t>
        </is>
      </c>
      <c r="I34" s="148" t="inlineStr">
        <is>
          <t>O</t>
        </is>
      </c>
      <c r="J34" s="148" t="inlineStr">
        <is>
          <t>O</t>
        </is>
      </c>
      <c r="K34" s="148" t="inlineStr">
        <is>
          <t>O</t>
        </is>
      </c>
      <c r="L34" s="148" t="inlineStr">
        <is>
          <t>O</t>
        </is>
      </c>
      <c r="M34" s="148" t="inlineStr">
        <is>
          <t>O</t>
        </is>
      </c>
      <c r="N34" s="148" t="inlineStr">
        <is>
          <t>O</t>
        </is>
      </c>
      <c r="O34" s="148" t="inlineStr">
        <is>
          <t>O</t>
        </is>
      </c>
      <c r="P34" s="148" t="inlineStr">
        <is>
          <t>O</t>
        </is>
      </c>
      <c r="Q34" s="148" t="inlineStr">
        <is>
          <t>O</t>
        </is>
      </c>
      <c r="R34" s="148" t="inlineStr">
        <is>
          <t>O</t>
        </is>
      </c>
      <c r="S34" s="148" t="inlineStr">
        <is>
          <t>O</t>
        </is>
      </c>
      <c r="T34" s="170" t="n"/>
      <c r="U34" s="170" t="n"/>
      <c r="V34" s="148" t="inlineStr">
        <is>
          <t>O</t>
        </is>
      </c>
      <c r="W34" s="148" t="inlineStr">
        <is>
          <t>O</t>
        </is>
      </c>
      <c r="X34" s="148" t="inlineStr">
        <is>
          <t>O</t>
        </is>
      </c>
      <c r="Y34" s="148" t="inlineStr">
        <is>
          <t>O</t>
        </is>
      </c>
      <c r="Z34" s="170" t="n"/>
      <c r="AA34" s="170" t="n"/>
      <c r="AB34" s="170" t="n"/>
    </row>
    <row r="35" ht="13.5" customHeight="1" s="426">
      <c r="A35" s="171" t="n"/>
      <c r="B35" s="75" t="n"/>
      <c r="C35" s="76" t="n"/>
      <c r="D35" s="77" t="inlineStr">
        <is>
          <t>null</t>
        </is>
      </c>
      <c r="E35" s="80" t="n"/>
      <c r="F35" s="148" t="n"/>
      <c r="G35" s="148" t="inlineStr">
        <is>
          <t>O</t>
        </is>
      </c>
      <c r="H35" s="148" t="n"/>
      <c r="I35" s="148" t="n"/>
      <c r="J35" s="148" t="n"/>
      <c r="K35" s="148" t="n"/>
      <c r="L35" s="148" t="n"/>
      <c r="M35" s="148" t="n"/>
      <c r="N35" s="148" t="n"/>
      <c r="O35" s="148" t="n"/>
      <c r="P35" s="148" t="n"/>
      <c r="Q35" s="148" t="n"/>
      <c r="R35" s="148" t="n"/>
      <c r="S35" s="148" t="n"/>
      <c r="T35" s="170" t="n"/>
      <c r="U35" s="170" t="n"/>
      <c r="V35" s="170" t="n"/>
      <c r="W35" s="170" t="n"/>
      <c r="X35" s="170" t="n"/>
      <c r="Y35" s="170" t="n"/>
      <c r="Z35" s="170" t="n"/>
      <c r="AA35" s="170" t="n"/>
      <c r="AB35" s="170" t="n"/>
    </row>
    <row r="36" ht="13.5" customHeight="1" s="426">
      <c r="A36" s="171" t="n"/>
      <c r="B36" s="75" t="n"/>
      <c r="C36" s="76" t="n"/>
      <c r="D36" s="77" t="inlineStr">
        <is>
          <t>50 character strings</t>
        </is>
      </c>
      <c r="E36" s="80" t="n"/>
      <c r="F36" s="148" t="n"/>
      <c r="G36" s="148" t="n"/>
      <c r="H36" s="148" t="n"/>
      <c r="I36" s="148" t="n"/>
      <c r="J36" s="148" t="n"/>
      <c r="K36" s="148" t="n"/>
      <c r="L36" s="148" t="n"/>
      <c r="M36" s="148" t="n"/>
      <c r="N36" s="148" t="n"/>
      <c r="O36" s="148" t="n"/>
      <c r="P36" s="148" t="n"/>
      <c r="Q36" s="148" t="n"/>
      <c r="R36" s="148" t="n"/>
      <c r="S36" s="148" t="n"/>
      <c r="T36" s="148" t="inlineStr">
        <is>
          <t>O</t>
        </is>
      </c>
      <c r="U36" s="170" t="n"/>
      <c r="V36" s="170" t="n"/>
      <c r="W36" s="170" t="n"/>
      <c r="X36" s="170" t="n"/>
      <c r="Y36" s="170" t="n"/>
      <c r="Z36" s="170" t="n"/>
      <c r="AA36" s="170" t="n"/>
      <c r="AB36" s="170" t="n"/>
    </row>
    <row r="37" ht="13.5" customHeight="1" s="426">
      <c r="A37" s="171" t="n"/>
      <c r="B37" s="75" t="n"/>
      <c r="C37" s="76" t="n"/>
      <c r="D37" s="77" t="inlineStr">
        <is>
          <t>51 character strings</t>
        </is>
      </c>
      <c r="E37" s="80" t="n"/>
      <c r="F37" s="148" t="n"/>
      <c r="G37" s="148" t="n"/>
      <c r="H37" s="148" t="n"/>
      <c r="I37" s="148" t="n"/>
      <c r="J37" s="148" t="n"/>
      <c r="K37" s="148" t="n"/>
      <c r="L37" s="148" t="n"/>
      <c r="M37" s="148" t="n"/>
      <c r="N37" s="148" t="n"/>
      <c r="O37" s="148" t="n"/>
      <c r="P37" s="148" t="n"/>
      <c r="Q37" s="148" t="n"/>
      <c r="R37" s="148" t="n"/>
      <c r="S37" s="148" t="n"/>
      <c r="T37" s="170" t="n"/>
      <c r="U37" s="148" t="inlineStr">
        <is>
          <t>O</t>
        </is>
      </c>
      <c r="V37" s="170" t="n"/>
      <c r="W37" s="170" t="n"/>
      <c r="X37" s="170" t="n"/>
      <c r="Y37" s="170" t="n"/>
      <c r="Z37" s="170" t="n"/>
      <c r="AA37" s="170" t="n"/>
      <c r="AB37" s="170" t="n"/>
    </row>
    <row r="38" ht="13.5" customHeight="1" s="426">
      <c r="A38" s="171" t="n"/>
      <c r="B38" s="75" t="inlineStr">
        <is>
          <t>PhoneNumber</t>
        </is>
      </c>
      <c r="C38" s="76" t="n"/>
      <c r="D38" s="77" t="n"/>
      <c r="E38" s="80" t="n"/>
      <c r="F38" s="148" t="n"/>
      <c r="G38" s="148" t="n"/>
      <c r="H38" s="148" t="n"/>
      <c r="I38" s="148" t="n"/>
      <c r="J38" s="148" t="n"/>
      <c r="K38" s="148" t="n"/>
      <c r="L38" s="148" t="n"/>
      <c r="M38" s="148" t="n"/>
      <c r="N38" s="148" t="n"/>
      <c r="O38" s="148" t="n"/>
      <c r="P38" s="148" t="n"/>
      <c r="Q38" s="148" t="n"/>
      <c r="R38" s="148" t="n"/>
      <c r="S38" s="148" t="n"/>
      <c r="T38" s="170" t="n"/>
      <c r="U38" s="170" t="n"/>
      <c r="V38" s="170" t="n"/>
      <c r="W38" s="170" t="n"/>
      <c r="X38" s="170" t="n"/>
      <c r="Y38" s="170" t="n"/>
      <c r="Z38" s="170" t="n"/>
      <c r="AA38" s="170" t="n"/>
      <c r="AB38" s="170" t="n"/>
    </row>
    <row r="39" ht="13.5" customHeight="1" s="426">
      <c r="A39" s="171" t="n"/>
      <c r="B39" s="75" t="n"/>
      <c r="C39" s="76" t="n"/>
      <c r="D39" s="77" t="inlineStr">
        <is>
          <t>"1234567890"</t>
        </is>
      </c>
      <c r="E39" s="80" t="n"/>
      <c r="F39" s="148" t="inlineStr">
        <is>
          <t>O</t>
        </is>
      </c>
      <c r="G39" s="148" t="n"/>
      <c r="H39" s="148" t="inlineStr">
        <is>
          <t>O</t>
        </is>
      </c>
      <c r="I39" s="148" t="inlineStr">
        <is>
          <t>O</t>
        </is>
      </c>
      <c r="J39" s="148" t="inlineStr">
        <is>
          <t>O</t>
        </is>
      </c>
      <c r="K39" s="148" t="n"/>
      <c r="L39" s="148" t="inlineStr">
        <is>
          <t>O</t>
        </is>
      </c>
      <c r="M39" s="148" t="n"/>
      <c r="N39" s="148" t="inlineStr">
        <is>
          <t>O</t>
        </is>
      </c>
      <c r="O39" s="148" t="inlineStr">
        <is>
          <t>O</t>
        </is>
      </c>
      <c r="P39" s="148" t="inlineStr">
        <is>
          <t>O</t>
        </is>
      </c>
      <c r="Q39" s="148" t="inlineStr">
        <is>
          <t>O</t>
        </is>
      </c>
      <c r="R39" s="148" t="inlineStr">
        <is>
          <t>O</t>
        </is>
      </c>
      <c r="S39" s="148" t="inlineStr">
        <is>
          <t>O</t>
        </is>
      </c>
      <c r="T39" s="148" t="inlineStr">
        <is>
          <t>O</t>
        </is>
      </c>
      <c r="U39" s="148" t="inlineStr">
        <is>
          <t>O</t>
        </is>
      </c>
      <c r="V39" s="170" t="n"/>
      <c r="W39" s="170" t="n"/>
      <c r="X39" s="148" t="inlineStr">
        <is>
          <t>O</t>
        </is>
      </c>
      <c r="Y39" s="148" t="inlineStr">
        <is>
          <t>O</t>
        </is>
      </c>
      <c r="Z39" s="170" t="n"/>
      <c r="AA39" s="170" t="n"/>
      <c r="AB39" s="170" t="n"/>
    </row>
    <row r="40" ht="13.5" customHeight="1" s="426">
      <c r="A40" s="171" t="n"/>
      <c r="B40" s="75" t="n"/>
      <c r="C40" s="76" t="n"/>
      <c r="D40" s="77" t="inlineStr">
        <is>
          <t>"invalid-phone-number"</t>
        </is>
      </c>
      <c r="E40" s="80" t="n"/>
      <c r="F40" s="148" t="n"/>
      <c r="G40" s="148" t="n"/>
      <c r="H40" s="148" t="n"/>
      <c r="I40" s="148" t="n"/>
      <c r="J40" s="148" t="n"/>
      <c r="K40" s="148" t="n"/>
      <c r="L40" s="148" t="n"/>
      <c r="M40" s="148" t="inlineStr">
        <is>
          <t>O</t>
        </is>
      </c>
      <c r="N40" s="148" t="n"/>
      <c r="O40" s="148" t="n"/>
      <c r="P40" s="148" t="n"/>
      <c r="Q40" s="148" t="n"/>
      <c r="R40" s="148" t="n"/>
      <c r="S40" s="148" t="n"/>
      <c r="T40" s="170" t="n"/>
      <c r="U40" s="170" t="n"/>
      <c r="V40" s="170" t="n"/>
      <c r="W40" s="170" t="n"/>
      <c r="X40" s="170" t="n"/>
      <c r="Y40" s="170" t="n"/>
      <c r="Z40" s="170" t="n"/>
      <c r="AA40" s="170" t="n"/>
      <c r="AB40" s="170" t="n"/>
    </row>
    <row r="41" ht="13.5" customHeight="1" s="426">
      <c r="A41" s="171" t="n"/>
      <c r="B41" s="75" t="n"/>
      <c r="C41" s="76" t="n"/>
      <c r="D41" s="77" t="inlineStr">
        <is>
          <t>null</t>
        </is>
      </c>
      <c r="E41" s="80" t="n"/>
      <c r="F41" s="148" t="n"/>
      <c r="G41" s="148" t="inlineStr">
        <is>
          <t>O</t>
        </is>
      </c>
      <c r="H41" s="148" t="n"/>
      <c r="I41" s="148" t="n"/>
      <c r="J41" s="148" t="n"/>
      <c r="K41" s="148" t="inlineStr">
        <is>
          <t>O</t>
        </is>
      </c>
      <c r="L41" s="148" t="n"/>
      <c r="M41" s="148" t="n"/>
      <c r="N41" s="148" t="n"/>
      <c r="O41" s="148" t="n"/>
      <c r="P41" s="148" t="n"/>
      <c r="Q41" s="148" t="n"/>
      <c r="R41" s="148" t="n"/>
      <c r="S41" s="148" t="n"/>
      <c r="T41" s="170" t="n"/>
      <c r="U41" s="170" t="n"/>
      <c r="V41" s="170" t="n"/>
      <c r="W41" s="170" t="n"/>
      <c r="X41" s="170" t="n"/>
      <c r="Y41" s="170" t="n"/>
      <c r="Z41" s="170" t="n"/>
      <c r="AA41" s="170" t="n"/>
      <c r="AB41" s="170" t="n"/>
    </row>
    <row r="42" ht="13.5" customHeight="1" s="426">
      <c r="A42" s="171" t="n"/>
      <c r="B42" s="75" t="n"/>
      <c r="C42" s="76" t="n"/>
      <c r="D42" s="77" t="inlineStr">
        <is>
          <t>15 character strings</t>
        </is>
      </c>
      <c r="E42" s="80" t="n"/>
      <c r="F42" s="148" t="n"/>
      <c r="G42" s="148" t="n"/>
      <c r="H42" s="148" t="n"/>
      <c r="I42" s="148" t="n"/>
      <c r="J42" s="148" t="n"/>
      <c r="K42" s="148" t="n"/>
      <c r="L42" s="148" t="n"/>
      <c r="M42" s="148" t="n"/>
      <c r="N42" s="148" t="n"/>
      <c r="O42" s="148" t="n"/>
      <c r="P42" s="148" t="n"/>
      <c r="Q42" s="148" t="n"/>
      <c r="R42" s="148" t="n"/>
      <c r="S42" s="148" t="n"/>
      <c r="T42" s="170" t="n"/>
      <c r="U42" s="170" t="n"/>
      <c r="V42" s="148" t="inlineStr">
        <is>
          <t>O</t>
        </is>
      </c>
      <c r="W42" s="170" t="n"/>
      <c r="X42" s="170" t="n"/>
      <c r="Y42" s="170" t="n"/>
      <c r="Z42" s="170" t="n"/>
      <c r="AA42" s="170" t="n"/>
      <c r="AB42" s="170" t="n"/>
    </row>
    <row r="43" ht="13.5" customHeight="1" s="426">
      <c r="A43" s="171" t="n"/>
      <c r="B43" s="75" t="n"/>
      <c r="C43" s="76" t="n"/>
      <c r="D43" s="77" t="inlineStr">
        <is>
          <t>16 character strings</t>
        </is>
      </c>
      <c r="E43" s="80" t="n"/>
      <c r="F43" s="148" t="n"/>
      <c r="G43" s="148" t="n"/>
      <c r="H43" s="148" t="n"/>
      <c r="I43" s="148" t="n"/>
      <c r="J43" s="148" t="n"/>
      <c r="K43" s="148" t="n"/>
      <c r="L43" s="148" t="n"/>
      <c r="M43" s="148" t="n"/>
      <c r="N43" s="148" t="n"/>
      <c r="O43" s="148" t="n"/>
      <c r="P43" s="148" t="n"/>
      <c r="Q43" s="148" t="n"/>
      <c r="R43" s="148" t="n"/>
      <c r="S43" s="148" t="n"/>
      <c r="T43" s="170" t="n"/>
      <c r="U43" s="170" t="n"/>
      <c r="V43" s="170" t="n"/>
      <c r="W43" s="148" t="inlineStr">
        <is>
          <t>O</t>
        </is>
      </c>
      <c r="X43" s="170" t="n"/>
      <c r="Y43" s="170" t="n"/>
      <c r="Z43" s="170" t="n"/>
      <c r="AA43" s="170" t="n"/>
      <c r="AB43" s="170" t="n"/>
    </row>
    <row r="44" ht="13.5" customHeight="1" s="426">
      <c r="A44" s="171" t="n"/>
      <c r="B44" s="75" t="inlineStr">
        <is>
          <t xml:space="preserve"> Address</t>
        </is>
      </c>
      <c r="C44" s="76" t="n"/>
      <c r="D44" s="77" t="n"/>
      <c r="E44" s="80" t="n"/>
      <c r="F44" s="148" t="n"/>
      <c r="G44" s="148" t="n"/>
      <c r="H44" s="148" t="n"/>
      <c r="I44" s="148" t="n"/>
      <c r="J44" s="148" t="n"/>
      <c r="K44" s="148" t="n"/>
      <c r="L44" s="148" t="n"/>
      <c r="M44" s="148" t="n"/>
      <c r="N44" s="148" t="n"/>
      <c r="O44" s="148" t="n"/>
      <c r="P44" s="148" t="n"/>
      <c r="Q44" s="148" t="n"/>
      <c r="R44" s="148" t="n"/>
      <c r="S44" s="148" t="n"/>
      <c r="T44" s="170" t="n"/>
      <c r="U44" s="170" t="n"/>
      <c r="V44" s="170" t="n"/>
      <c r="W44" s="170" t="n"/>
      <c r="X44" s="170" t="n"/>
      <c r="Y44" s="170" t="n"/>
      <c r="Z44" s="170" t="n"/>
      <c r="AA44" s="170" t="n"/>
      <c r="AB44" s="170" t="n"/>
    </row>
    <row r="45" ht="13.5" customHeight="1" s="426">
      <c r="A45" s="171" t="n"/>
      <c r="B45" s="75" t="n"/>
      <c r="C45" s="76" t="n"/>
      <c r="D45" s="77" t="inlineStr">
        <is>
          <t>"Address One"</t>
        </is>
      </c>
      <c r="E45" s="80" t="n"/>
      <c r="F45" s="148" t="inlineStr">
        <is>
          <t>O</t>
        </is>
      </c>
      <c r="G45" s="148" t="n"/>
      <c r="H45" s="148" t="inlineStr">
        <is>
          <t>O</t>
        </is>
      </c>
      <c r="I45" s="148" t="inlineStr">
        <is>
          <t>O</t>
        </is>
      </c>
      <c r="J45" s="148" t="inlineStr">
        <is>
          <t>O</t>
        </is>
      </c>
      <c r="K45" s="148" t="inlineStr">
        <is>
          <t>O</t>
        </is>
      </c>
      <c r="L45" s="148" t="n"/>
      <c r="M45" s="148" t="inlineStr">
        <is>
          <t>O</t>
        </is>
      </c>
      <c r="N45" s="148" t="inlineStr">
        <is>
          <t>O</t>
        </is>
      </c>
      <c r="O45" s="148" t="inlineStr">
        <is>
          <t>O</t>
        </is>
      </c>
      <c r="P45" s="148" t="inlineStr">
        <is>
          <t>O</t>
        </is>
      </c>
      <c r="Q45" s="148" t="inlineStr">
        <is>
          <t>O</t>
        </is>
      </c>
      <c r="R45" s="148" t="inlineStr">
        <is>
          <t>O</t>
        </is>
      </c>
      <c r="S45" s="148" t="inlineStr">
        <is>
          <t>O</t>
        </is>
      </c>
      <c r="T45" s="148" t="inlineStr">
        <is>
          <t>O</t>
        </is>
      </c>
      <c r="U45" s="148" t="inlineStr">
        <is>
          <t>O</t>
        </is>
      </c>
      <c r="V45" s="148" t="inlineStr">
        <is>
          <t>O</t>
        </is>
      </c>
      <c r="W45" s="148" t="inlineStr">
        <is>
          <t>O</t>
        </is>
      </c>
      <c r="X45" s="170" t="n"/>
      <c r="Y45" s="170" t="n"/>
      <c r="Z45" s="170" t="n"/>
      <c r="AA45" s="170" t="n"/>
      <c r="AB45" s="170" t="n"/>
    </row>
    <row r="46" ht="13.5" customHeight="1" s="426">
      <c r="A46" s="171" t="n"/>
      <c r="B46" s="75" t="n"/>
      <c r="C46" s="76" t="n"/>
      <c r="D46" s="77" t="inlineStr">
        <is>
          <t>null</t>
        </is>
      </c>
      <c r="E46" s="80" t="n"/>
      <c r="F46" s="148" t="n"/>
      <c r="G46" s="148" t="inlineStr">
        <is>
          <t>O</t>
        </is>
      </c>
      <c r="H46" s="148" t="n"/>
      <c r="I46" s="148" t="n"/>
      <c r="J46" s="148" t="n"/>
      <c r="K46" s="148" t="n"/>
      <c r="L46" s="148" t="inlineStr">
        <is>
          <t>O</t>
        </is>
      </c>
      <c r="N46" s="148" t="n"/>
      <c r="O46" s="148" t="n"/>
      <c r="P46" s="148" t="n"/>
      <c r="Q46" s="148" t="n"/>
      <c r="R46" s="148" t="n"/>
      <c r="S46" s="148" t="n"/>
      <c r="T46" s="170" t="n"/>
      <c r="U46" s="170" t="n"/>
      <c r="V46" s="170" t="n"/>
      <c r="W46" s="170" t="n"/>
      <c r="X46" s="170" t="n"/>
      <c r="Y46" s="170" t="n"/>
      <c r="Z46" s="170" t="n"/>
      <c r="AA46" s="170" t="n"/>
      <c r="AB46" s="170" t="n"/>
    </row>
    <row r="47" ht="13.5" customHeight="1" s="426">
      <c r="A47" s="171" t="n"/>
      <c r="B47" s="75" t="n"/>
      <c r="C47" s="76" t="n"/>
      <c r="D47" s="77" t="inlineStr">
        <is>
          <t>125 character strings</t>
        </is>
      </c>
      <c r="E47" s="80" t="n"/>
      <c r="F47" s="148" t="n"/>
      <c r="G47" s="148" t="n"/>
      <c r="H47" s="148" t="n"/>
      <c r="I47" s="148" t="n"/>
      <c r="J47" s="148" t="n"/>
      <c r="K47" s="148" t="n"/>
      <c r="L47" s="148" t="n"/>
      <c r="M47" s="148" t="n"/>
      <c r="N47" s="148" t="n"/>
      <c r="O47" s="148" t="n"/>
      <c r="P47" s="148" t="n"/>
      <c r="Q47" s="148" t="n"/>
      <c r="R47" s="148" t="n"/>
      <c r="S47" s="148" t="n"/>
      <c r="T47" s="170" t="n"/>
      <c r="U47" s="170" t="n"/>
      <c r="V47" s="170" t="n"/>
      <c r="W47" s="170" t="n"/>
      <c r="X47" s="148" t="inlineStr">
        <is>
          <t>O</t>
        </is>
      </c>
      <c r="Y47" s="170" t="n"/>
      <c r="Z47" s="170" t="n"/>
      <c r="AA47" s="170" t="n"/>
      <c r="AB47" s="170" t="n"/>
    </row>
    <row r="48" ht="13.5" customHeight="1" s="426">
      <c r="A48" s="171" t="n"/>
      <c r="B48" s="75" t="n"/>
      <c r="C48" s="76" t="n"/>
      <c r="D48" s="77" t="inlineStr">
        <is>
          <t>126 character strings</t>
        </is>
      </c>
      <c r="E48" s="80" t="n"/>
      <c r="F48" s="148" t="n"/>
      <c r="G48" s="148" t="n"/>
      <c r="H48" s="148" t="n"/>
      <c r="I48" s="148" t="n"/>
      <c r="J48" s="148" t="n"/>
      <c r="K48" s="148" t="n"/>
      <c r="L48" s="148" t="n"/>
      <c r="M48" s="148" t="n"/>
      <c r="N48" s="148" t="n"/>
      <c r="O48" s="148" t="n"/>
      <c r="P48" s="148" t="n"/>
      <c r="Q48" s="148" t="n"/>
      <c r="R48" s="148" t="n"/>
      <c r="S48" s="148" t="n"/>
      <c r="T48" s="170" t="n"/>
      <c r="U48" s="170" t="n"/>
      <c r="V48" s="170" t="n"/>
      <c r="W48" s="170" t="n"/>
      <c r="X48" s="170" t="n"/>
      <c r="Y48" s="148" t="inlineStr">
        <is>
          <t>O</t>
        </is>
      </c>
      <c r="Z48" s="170" t="n"/>
      <c r="AA48" s="170" t="n"/>
      <c r="AB48" s="170" t="n"/>
    </row>
    <row r="49" ht="13.5" customHeight="1" s="426" thickBot="1">
      <c r="A49" s="171" t="n"/>
      <c r="B49" s="75" t="n"/>
      <c r="C49" s="76" t="n"/>
      <c r="D49" s="77" t="n"/>
      <c r="E49" s="80" t="n"/>
      <c r="F49" s="148" t="n"/>
      <c r="G49" s="148" t="n"/>
      <c r="H49" s="148" t="n"/>
      <c r="I49" s="148" t="n"/>
      <c r="J49" s="148" t="n"/>
      <c r="K49" s="148" t="n"/>
      <c r="L49" s="148" t="n"/>
      <c r="M49" s="148" t="n"/>
      <c r="N49" s="148" t="n"/>
      <c r="O49" s="148" t="n"/>
      <c r="P49" s="148" t="n"/>
      <c r="Q49" s="148" t="n"/>
      <c r="R49" s="148" t="n"/>
      <c r="S49" s="148" t="n"/>
      <c r="T49" s="170" t="n"/>
      <c r="U49" s="170" t="n"/>
      <c r="V49" s="170" t="n"/>
      <c r="W49" s="170" t="n"/>
      <c r="X49" s="170" t="n"/>
      <c r="Y49" s="170" t="n"/>
      <c r="Z49" s="170" t="n"/>
      <c r="AA49" s="170" t="n"/>
      <c r="AB49" s="170" t="n"/>
    </row>
    <row r="50" ht="13.5" customHeight="1" s="426">
      <c r="A50" s="182" t="inlineStr">
        <is>
          <t>Confirm</t>
        </is>
      </c>
      <c r="B50" s="208" t="inlineStr">
        <is>
          <t>Return</t>
        </is>
      </c>
      <c r="C50" s="239" t="n"/>
      <c r="D50" s="210" t="n"/>
      <c r="E50" s="86" t="n"/>
      <c r="F50" s="87" t="n"/>
      <c r="G50" s="87" t="n"/>
      <c r="H50" s="87" t="n"/>
      <c r="I50" s="87" t="n"/>
      <c r="J50" s="87" t="n"/>
      <c r="K50" s="87" t="n"/>
      <c r="L50" s="87" t="n"/>
      <c r="M50" s="87" t="n"/>
      <c r="N50" s="87" t="n"/>
      <c r="O50" s="87" t="n"/>
      <c r="P50" s="87" t="n"/>
      <c r="Q50" s="87" t="n"/>
      <c r="R50" s="87" t="n"/>
      <c r="S50" s="87" t="n"/>
      <c r="T50" s="196" t="n"/>
      <c r="U50" s="196" t="n"/>
      <c r="V50" s="196" t="n"/>
      <c r="W50" s="196" t="n"/>
      <c r="X50" s="196" t="n"/>
      <c r="Y50" s="196" t="n"/>
      <c r="Z50" s="196" t="n"/>
      <c r="AA50" s="196" t="n"/>
      <c r="AB50" s="196" t="n"/>
    </row>
    <row r="51" ht="13.5" customHeight="1" s="426">
      <c r="A51" s="181" t="n"/>
      <c r="B51" s="208" t="n"/>
      <c r="C51" s="209" t="n"/>
      <c r="D51" s="210" t="inlineStr">
        <is>
          <t>T</t>
        </is>
      </c>
      <c r="E51" s="91" t="n"/>
      <c r="F51" s="148" t="inlineStr">
        <is>
          <t>O</t>
        </is>
      </c>
      <c r="G51" s="79" t="n"/>
      <c r="H51" s="79" t="n"/>
      <c r="I51" s="79" t="n"/>
      <c r="J51" s="79" t="n"/>
      <c r="K51" s="79" t="n"/>
      <c r="L51" s="148" t="n"/>
      <c r="M51" s="148" t="n"/>
      <c r="N51" s="148" t="n"/>
      <c r="O51" s="148" t="n"/>
      <c r="P51" s="148" t="inlineStr">
        <is>
          <t>O</t>
        </is>
      </c>
      <c r="Q51" s="148" t="n"/>
      <c r="R51" s="148" t="inlineStr">
        <is>
          <t>O</t>
        </is>
      </c>
      <c r="S51" s="79" t="n"/>
      <c r="T51" s="148" t="inlineStr">
        <is>
          <t>O</t>
        </is>
      </c>
      <c r="U51" s="195" t="n"/>
      <c r="V51" s="148" t="inlineStr">
        <is>
          <t>O</t>
        </is>
      </c>
      <c r="W51" s="195" t="n"/>
      <c r="X51" s="148" t="inlineStr">
        <is>
          <t>O</t>
        </is>
      </c>
      <c r="Y51" s="195" t="n"/>
      <c r="Z51" s="195" t="n"/>
      <c r="AA51" s="195" t="n"/>
      <c r="AB51" s="195" t="n"/>
    </row>
    <row r="52" ht="13.5" customHeight="1" s="426">
      <c r="A52" s="181" t="n"/>
      <c r="B52" s="126" t="n"/>
      <c r="C52" s="89" t="n"/>
      <c r="D52" s="90" t="inlineStr">
        <is>
          <t>F</t>
        </is>
      </c>
      <c r="E52" s="91" t="n"/>
      <c r="F52" s="79" t="n"/>
      <c r="G52" s="148" t="inlineStr">
        <is>
          <t>O</t>
        </is>
      </c>
      <c r="H52" s="148" t="inlineStr">
        <is>
          <t>O</t>
        </is>
      </c>
      <c r="I52" s="148" t="inlineStr">
        <is>
          <t>O</t>
        </is>
      </c>
      <c r="J52" s="148" t="inlineStr">
        <is>
          <t>O</t>
        </is>
      </c>
      <c r="K52" s="148" t="inlineStr">
        <is>
          <t>O</t>
        </is>
      </c>
      <c r="L52" s="148" t="inlineStr">
        <is>
          <t>O</t>
        </is>
      </c>
      <c r="M52" s="148" t="inlineStr">
        <is>
          <t>O</t>
        </is>
      </c>
      <c r="N52" s="148" t="inlineStr">
        <is>
          <t>O</t>
        </is>
      </c>
      <c r="O52" s="148" t="n"/>
      <c r="P52" s="148" t="n"/>
      <c r="Q52" s="148" t="inlineStr">
        <is>
          <t>O</t>
        </is>
      </c>
      <c r="R52" s="148" t="n"/>
      <c r="S52" s="148" t="inlineStr">
        <is>
          <t>O</t>
        </is>
      </c>
      <c r="T52" s="195" t="n"/>
      <c r="U52" s="148" t="inlineStr">
        <is>
          <t>O</t>
        </is>
      </c>
      <c r="V52" s="195" t="n"/>
      <c r="W52" s="148" t="inlineStr">
        <is>
          <t>O</t>
        </is>
      </c>
      <c r="X52" s="195" t="n"/>
      <c r="Y52" s="148" t="inlineStr">
        <is>
          <t>O</t>
        </is>
      </c>
      <c r="Z52" s="195" t="n"/>
      <c r="AA52" s="195" t="n"/>
      <c r="AB52" s="195" t="n"/>
    </row>
    <row r="53" ht="13.5" customHeight="1" s="426">
      <c r="A53" s="181" t="n"/>
      <c r="B53" s="116" t="inlineStr">
        <is>
          <t>Exception</t>
        </is>
      </c>
      <c r="C53" s="120" t="n"/>
      <c r="D53" s="118" t="n"/>
      <c r="E53" s="91" t="n"/>
      <c r="F53" s="79" t="n"/>
      <c r="G53" s="79" t="n"/>
      <c r="H53" s="79" t="n"/>
      <c r="I53" s="79" t="n"/>
      <c r="J53" s="79" t="n"/>
      <c r="K53" s="79" t="n"/>
      <c r="L53" s="79" t="n"/>
      <c r="M53" s="79" t="n"/>
      <c r="N53" s="79" t="n"/>
      <c r="O53" s="79" t="n"/>
      <c r="P53" s="79" t="n"/>
      <c r="Q53" s="79" t="n"/>
      <c r="R53" s="79" t="n"/>
      <c r="S53" s="79" t="n"/>
      <c r="T53" s="195" t="n"/>
      <c r="U53" s="195" t="n"/>
      <c r="V53" s="195" t="n"/>
      <c r="W53" s="195" t="n"/>
      <c r="X53" s="195" t="n"/>
      <c r="Y53" s="195" t="n"/>
      <c r="Z53" s="195" t="n"/>
      <c r="AA53" s="195" t="n"/>
      <c r="AB53" s="195" t="n"/>
    </row>
    <row r="54" ht="13.5" customHeight="1" s="426">
      <c r="A54" s="181" t="n"/>
      <c r="B54" s="116" t="n"/>
      <c r="C54" s="120" t="n"/>
      <c r="D54" s="118" t="inlineStr">
        <is>
          <t>InvalidOperationException</t>
        </is>
      </c>
      <c r="E54" s="91" t="n"/>
      <c r="F54" s="79" t="n"/>
      <c r="G54" s="79" t="n"/>
      <c r="H54" s="79" t="n"/>
      <c r="I54" s="148" t="n"/>
      <c r="J54" s="79" t="n"/>
      <c r="K54" s="148" t="n"/>
      <c r="L54" s="79" t="n"/>
      <c r="M54" s="79" t="n"/>
      <c r="N54" s="79" t="n"/>
      <c r="O54" s="148" t="inlineStr">
        <is>
          <t>O</t>
        </is>
      </c>
      <c r="P54" s="79" t="n"/>
      <c r="Q54" s="79" t="n"/>
      <c r="R54" s="148" t="n"/>
      <c r="S54" s="79" t="n"/>
      <c r="T54" s="195" t="n"/>
      <c r="U54" s="195" t="n"/>
      <c r="V54" s="195" t="n"/>
      <c r="W54" s="195" t="n"/>
      <c r="X54" s="195" t="n"/>
      <c r="Y54" s="195" t="n"/>
      <c r="Z54" s="195" t="n"/>
      <c r="AA54" s="195" t="n"/>
      <c r="AB54" s="195" t="n"/>
    </row>
    <row r="55" ht="13.5" customHeight="1" s="426">
      <c r="A55" s="181" t="n"/>
      <c r="B55" s="88" t="inlineStr">
        <is>
          <t>Log message</t>
        </is>
      </c>
      <c r="C55" s="89" t="n"/>
      <c r="D55" s="90" t="n"/>
      <c r="E55" s="91" t="n"/>
      <c r="F55" s="79" t="n"/>
      <c r="G55" s="79" t="n"/>
      <c r="H55" s="79" t="n"/>
      <c r="I55" s="79" t="n"/>
      <c r="J55" s="79" t="n"/>
      <c r="K55" s="79" t="n"/>
      <c r="L55" s="79" t="n"/>
      <c r="M55" s="79" t="n"/>
      <c r="N55" s="79" t="n"/>
      <c r="O55" s="79" t="n"/>
      <c r="P55" s="79" t="n"/>
      <c r="Q55" s="79" t="n"/>
      <c r="R55" s="79" t="n"/>
      <c r="S55" s="79" t="n"/>
      <c r="T55" s="195" t="n"/>
      <c r="U55" s="195" t="n"/>
      <c r="V55" s="195" t="n"/>
      <c r="W55" s="195" t="n"/>
      <c r="X55" s="195" t="n"/>
      <c r="Y55" s="195" t="n"/>
      <c r="Z55" s="195" t="n"/>
      <c r="AA55" s="195" t="n"/>
      <c r="AB55" s="195" t="n"/>
    </row>
    <row r="56" ht="13.5" customHeight="1" s="426">
      <c r="A56" s="181" t="n"/>
      <c r="B56" s="88" t="n"/>
      <c r="C56" s="89" t="n"/>
      <c r="D56" s="90" t="inlineStr">
        <is>
          <t>"Expected AddNewUser to return true for a valid user."</t>
        </is>
      </c>
      <c r="E56" s="91" t="n"/>
      <c r="F56" s="148" t="inlineStr">
        <is>
          <t>O</t>
        </is>
      </c>
      <c r="G56" s="79" t="n"/>
      <c r="H56" s="79" t="n"/>
      <c r="I56" s="79" t="n"/>
      <c r="J56" s="79" t="n"/>
      <c r="K56" s="79" t="n"/>
      <c r="L56" s="79" t="n"/>
      <c r="M56" s="79" t="n"/>
      <c r="N56" s="79" t="n"/>
      <c r="O56" s="79" t="n"/>
      <c r="P56" s="79" t="n"/>
      <c r="Q56" s="79" t="n"/>
      <c r="R56" s="79" t="n"/>
      <c r="S56" s="79" t="n"/>
      <c r="T56" s="195" t="n"/>
      <c r="U56" s="195" t="n"/>
      <c r="V56" s="195" t="n"/>
      <c r="W56" s="195" t="n"/>
      <c r="X56" s="195" t="n"/>
      <c r="Y56" s="195" t="n"/>
      <c r="Z56" s="195" t="n"/>
      <c r="AA56" s="195" t="n"/>
      <c r="AB56" s="195" t="n"/>
    </row>
    <row r="57" ht="13.5" customHeight="1" s="426">
      <c r="A57" s="181" t="n"/>
      <c r="B57" s="88" t="n"/>
      <c r="C57" s="89" t="n"/>
      <c r="D57" s="90" t="inlineStr">
        <is>
          <t>"Expected AddNewUser to return false for a null user DTO."</t>
        </is>
      </c>
      <c r="E57" s="91" t="n"/>
      <c r="F57" s="79" t="n"/>
      <c r="G57" s="148" t="inlineStr">
        <is>
          <t>O</t>
        </is>
      </c>
      <c r="H57" s="79" t="n"/>
      <c r="I57" s="79" t="n"/>
      <c r="J57" s="79" t="n"/>
      <c r="K57" s="79" t="n"/>
      <c r="L57" s="79" t="n"/>
      <c r="M57" s="79" t="n"/>
      <c r="N57" s="79" t="n"/>
      <c r="O57" s="79" t="n"/>
      <c r="P57" s="79" t="n"/>
      <c r="Q57" s="79" t="n"/>
      <c r="R57" s="79" t="n"/>
      <c r="S57" s="79" t="n"/>
      <c r="T57" s="195" t="n"/>
      <c r="U57" s="195" t="n"/>
      <c r="V57" s="195" t="n"/>
      <c r="W57" s="195" t="n"/>
      <c r="X57" s="195" t="n"/>
      <c r="Y57" s="195" t="n"/>
      <c r="Z57" s="195" t="n"/>
      <c r="AA57" s="195" t="n"/>
      <c r="AB57" s="195" t="n"/>
    </row>
    <row r="58" ht="13.5" customHeight="1" s="426">
      <c r="A58" s="181" t="n"/>
      <c r="B58" s="88" t="n"/>
      <c r="C58" s="89" t="n"/>
      <c r="D58" s="90" t="inlineStr">
        <is>
          <t>"Expected AddNewUser to return false for an invalid email."</t>
        </is>
      </c>
      <c r="E58" s="91" t="n"/>
      <c r="F58" s="79" t="n"/>
      <c r="G58" s="79" t="n"/>
      <c r="H58" s="148" t="inlineStr">
        <is>
          <t>O</t>
        </is>
      </c>
      <c r="I58" s="79" t="n"/>
      <c r="J58" s="79" t="n"/>
      <c r="K58" s="79" t="n"/>
      <c r="L58" s="79" t="n"/>
      <c r="M58" s="79" t="n"/>
      <c r="N58" s="79" t="n"/>
      <c r="O58" s="79" t="n"/>
      <c r="P58" s="79" t="n"/>
      <c r="Q58" s="79" t="n"/>
      <c r="R58" s="79" t="n"/>
      <c r="S58" s="79" t="n"/>
      <c r="T58" s="195" t="n"/>
      <c r="U58" s="195" t="n"/>
      <c r="V58" s="195" t="n"/>
      <c r="W58" s="195" t="n"/>
      <c r="X58" s="195" t="n"/>
      <c r="Y58" s="195" t="n"/>
      <c r="Z58" s="195" t="n"/>
      <c r="AA58" s="195" t="n"/>
      <c r="AB58" s="195" t="n"/>
    </row>
    <row r="59" ht="13.5" customHeight="1" s="426">
      <c r="A59" s="181" t="n"/>
      <c r="B59" s="88" t="n"/>
      <c r="C59" s="89" t="n"/>
      <c r="D59" s="90" t="inlineStr">
        <is>
          <t>"Expected AddNewUser to return false when Email is empty."</t>
        </is>
      </c>
      <c r="E59" s="91" t="n"/>
      <c r="F59" s="79" t="n"/>
      <c r="G59" s="79" t="n"/>
      <c r="H59" s="79" t="n"/>
      <c r="I59" s="148" t="inlineStr">
        <is>
          <t>O</t>
        </is>
      </c>
      <c r="J59" s="79" t="n"/>
      <c r="K59" s="79" t="n"/>
      <c r="L59" s="79" t="n"/>
      <c r="M59" s="79" t="n"/>
      <c r="N59" s="79" t="n"/>
      <c r="O59" s="79" t="n"/>
      <c r="P59" s="79" t="n"/>
      <c r="Q59" s="79" t="n"/>
      <c r="R59" s="79" t="n"/>
      <c r="S59" s="79" t="n"/>
      <c r="T59" s="195" t="n"/>
      <c r="U59" s="195" t="n"/>
      <c r="V59" s="195" t="n"/>
      <c r="W59" s="195" t="n"/>
      <c r="X59" s="195" t="n"/>
      <c r="Y59" s="195" t="n"/>
      <c r="Z59" s="195" t="n"/>
      <c r="AA59" s="195" t="n"/>
      <c r="AB59" s="195" t="n"/>
    </row>
    <row r="60" ht="13.5" customHeight="1" s="426">
      <c r="A60" s="181" t="n"/>
      <c r="B60" s="88" t="n"/>
      <c r="C60" s="92" t="n"/>
      <c r="D60" s="90" t="inlineStr">
        <is>
          <t>Expected AddNewUser to return false when UserCode is empty."</t>
        </is>
      </c>
      <c r="E60" s="93" t="n"/>
      <c r="F60" s="148" t="n"/>
      <c r="G60" s="79" t="n"/>
      <c r="H60" s="79" t="n"/>
      <c r="I60" s="79" t="n"/>
      <c r="J60" s="148" t="inlineStr">
        <is>
          <t>O</t>
        </is>
      </c>
      <c r="K60" s="79" t="n"/>
      <c r="L60" s="79" t="n"/>
      <c r="M60" s="79" t="n"/>
      <c r="N60" s="79" t="n"/>
      <c r="O60" s="79" t="n"/>
      <c r="P60" s="79" t="n"/>
      <c r="Q60" s="79" t="n"/>
      <c r="R60" s="79" t="n"/>
      <c r="S60" s="79" t="n"/>
      <c r="T60" s="195" t="n"/>
      <c r="U60" s="195" t="n"/>
      <c r="V60" s="195" t="n"/>
      <c r="W60" s="195" t="n"/>
      <c r="X60" s="195" t="n"/>
      <c r="Y60" s="195" t="n"/>
      <c r="Z60" s="195" t="n"/>
      <c r="AA60" s="195" t="n"/>
      <c r="AB60" s="195" t="n"/>
    </row>
    <row r="61" ht="13.5" customHeight="1" s="426">
      <c r="A61" s="181" t="n"/>
      <c r="B61" s="88" t="n"/>
      <c r="C61" s="92" t="n"/>
      <c r="D61" s="90" t="inlineStr">
        <is>
          <t>"Expected AddNewUser to return false when PhoneNumber is empty."</t>
        </is>
      </c>
      <c r="E61" s="93" t="n"/>
      <c r="F61" s="148" t="n"/>
      <c r="G61" s="79" t="n"/>
      <c r="H61" s="79" t="n"/>
      <c r="I61" s="79" t="n"/>
      <c r="J61" s="148" t="n"/>
      <c r="K61" s="148" t="inlineStr">
        <is>
          <t>O</t>
        </is>
      </c>
      <c r="L61" s="79" t="n"/>
      <c r="M61" s="79" t="n"/>
      <c r="N61" s="79" t="n"/>
      <c r="O61" s="79" t="n"/>
      <c r="P61" s="79" t="n"/>
      <c r="Q61" s="79" t="n"/>
      <c r="R61" s="79" t="n"/>
      <c r="S61" s="79" t="n"/>
      <c r="T61" s="195" t="n"/>
      <c r="U61" s="195" t="n"/>
      <c r="V61" s="195" t="n"/>
      <c r="W61" s="195" t="n"/>
      <c r="X61" s="195" t="n"/>
      <c r="Y61" s="195" t="n"/>
      <c r="Z61" s="195" t="n"/>
      <c r="AA61" s="195" t="n"/>
      <c r="AB61" s="195" t="n"/>
    </row>
    <row r="62" ht="13.5" customHeight="1" s="426">
      <c r="A62" s="181" t="n"/>
      <c r="B62" s="88" t="n"/>
      <c r="C62" s="92" t="n"/>
      <c r="D62" s="90" t="inlineStr">
        <is>
          <t>Expected AddNewUser to return false when Address is empty.</t>
        </is>
      </c>
      <c r="E62" s="93" t="n"/>
      <c r="F62" s="148" t="n"/>
      <c r="G62" s="79" t="n"/>
      <c r="H62" s="79" t="n"/>
      <c r="I62" s="79" t="n"/>
      <c r="J62" s="148" t="n"/>
      <c r="K62" s="79" t="n"/>
      <c r="L62" s="148" t="inlineStr">
        <is>
          <t>O</t>
        </is>
      </c>
      <c r="M62" s="79" t="n"/>
      <c r="N62" s="79" t="n"/>
      <c r="O62" s="79" t="n"/>
      <c r="P62" s="79" t="n"/>
      <c r="Q62" s="79" t="n"/>
      <c r="R62" s="79" t="n"/>
      <c r="S62" s="79" t="n"/>
      <c r="T62" s="195" t="n"/>
      <c r="U62" s="195" t="n"/>
      <c r="V62" s="195" t="n"/>
      <c r="W62" s="195" t="n"/>
      <c r="X62" s="195" t="n"/>
      <c r="Y62" s="195" t="n"/>
      <c r="Z62" s="195" t="n"/>
      <c r="AA62" s="195" t="n"/>
      <c r="AB62" s="195" t="n"/>
    </row>
    <row r="63" ht="13.5" customHeight="1" s="426">
      <c r="A63" s="181" t="n"/>
      <c r="B63" s="88" t="n"/>
      <c r="C63" s="92" t="n"/>
      <c r="D63" s="90" t="inlineStr">
        <is>
          <t>Expected AddNewUser to return false for an invalid phone number.</t>
        </is>
      </c>
      <c r="E63" s="93" t="n"/>
      <c r="F63" s="148" t="n"/>
      <c r="G63" s="79" t="n"/>
      <c r="H63" s="79" t="n"/>
      <c r="I63" s="79" t="n"/>
      <c r="J63" s="148" t="n"/>
      <c r="K63" s="79" t="n"/>
      <c r="L63" s="79" t="n"/>
      <c r="M63" s="148" t="inlineStr">
        <is>
          <t>O</t>
        </is>
      </c>
      <c r="N63" s="79" t="n"/>
      <c r="O63" s="79" t="n"/>
      <c r="P63" s="79" t="n"/>
      <c r="Q63" s="79" t="n"/>
      <c r="R63" s="79" t="n"/>
      <c r="S63" s="79" t="n"/>
      <c r="T63" s="195" t="n"/>
      <c r="U63" s="195" t="n"/>
      <c r="V63" s="195" t="n"/>
      <c r="W63" s="195" t="n"/>
      <c r="X63" s="195" t="n"/>
      <c r="Y63" s="195" t="n"/>
      <c r="Z63" s="195" t="n"/>
      <c r="AA63" s="195" t="n"/>
      <c r="AB63" s="195" t="n"/>
    </row>
    <row r="64" ht="13.5" customHeight="1" s="426">
      <c r="A64" s="181" t="n"/>
      <c r="B64" s="88" t="n"/>
      <c r="C64" s="92" t="n"/>
      <c r="D64" s="90" t="inlineStr">
        <is>
          <t>"Expected AddNewUser to return false when RoleId does not exist."</t>
        </is>
      </c>
      <c r="E64" s="93" t="n"/>
      <c r="F64" s="148" t="n"/>
      <c r="G64" s="79" t="n"/>
      <c r="H64" s="79" t="n"/>
      <c r="I64" s="79" t="n"/>
      <c r="J64" s="148" t="n"/>
      <c r="K64" s="79" t="n"/>
      <c r="L64" s="79" t="n"/>
      <c r="M64" s="79" t="n"/>
      <c r="N64" s="148" t="inlineStr">
        <is>
          <t>O</t>
        </is>
      </c>
      <c r="O64" s="79" t="n"/>
      <c r="P64" s="79" t="n"/>
      <c r="Q64" s="79" t="n"/>
      <c r="R64" s="79" t="n"/>
      <c r="S64" s="79" t="n"/>
      <c r="T64" s="195" t="n"/>
      <c r="U64" s="195" t="n"/>
      <c r="V64" s="195" t="n"/>
      <c r="W64" s="195" t="n"/>
      <c r="X64" s="195" t="n"/>
      <c r="Y64" s="195" t="n"/>
      <c r="Z64" s="195" t="n"/>
      <c r="AA64" s="195" t="n"/>
      <c r="AB64" s="195" t="n"/>
    </row>
    <row r="65" ht="13.5" customHeight="1" s="426" thickBot="1">
      <c r="A65" s="181" t="n"/>
      <c r="B65" s="88" t="n"/>
      <c r="C65" s="92" t="n"/>
      <c r="D65" s="90" t="inlineStr">
        <is>
          <t>"Simulated DB error"</t>
        </is>
      </c>
      <c r="E65" s="93" t="n"/>
      <c r="F65" s="148" t="n"/>
      <c r="G65" s="79" t="n"/>
      <c r="H65" s="79" t="n"/>
      <c r="I65" s="79" t="n"/>
      <c r="J65" s="148" t="n"/>
      <c r="K65" s="79" t="n"/>
      <c r="L65" s="79" t="n"/>
      <c r="M65" s="79" t="n"/>
      <c r="N65" s="79" t="n"/>
      <c r="O65" s="148" t="inlineStr">
        <is>
          <t>O</t>
        </is>
      </c>
      <c r="P65" s="79" t="n"/>
      <c r="Q65" s="79" t="n"/>
      <c r="R65" s="79" t="n"/>
      <c r="S65" s="79" t="n"/>
      <c r="T65" s="195" t="n"/>
      <c r="U65" s="195" t="n"/>
      <c r="V65" s="195" t="n"/>
      <c r="W65" s="195" t="n"/>
      <c r="X65" s="195" t="n"/>
      <c r="Y65" s="195" t="n"/>
      <c r="Z65" s="195" t="n"/>
      <c r="AA65" s="195" t="n"/>
      <c r="AB65" s="195" t="n"/>
    </row>
    <row r="66" ht="13.5" customHeight="1" s="426" thickTop="1">
      <c r="A66" s="182" t="inlineStr">
        <is>
          <t>Result</t>
        </is>
      </c>
      <c r="B66" s="331" t="inlineStr">
        <is>
          <t>Type(N : Normal, A : Abnormal, B : Boundary)</t>
        </is>
      </c>
      <c r="C66" s="472" t="n"/>
      <c r="D66" s="473" t="n"/>
      <c r="E66" s="331" t="n"/>
      <c r="F66" s="188" t="inlineStr">
        <is>
          <t>N</t>
        </is>
      </c>
      <c r="G66" s="188" t="inlineStr">
        <is>
          <t>A</t>
        </is>
      </c>
      <c r="H66" s="188" t="inlineStr">
        <is>
          <t>A</t>
        </is>
      </c>
      <c r="I66" s="188" t="inlineStr">
        <is>
          <t>A</t>
        </is>
      </c>
      <c r="J66" s="188" t="inlineStr">
        <is>
          <t>A</t>
        </is>
      </c>
      <c r="K66" s="188" t="inlineStr">
        <is>
          <t>A</t>
        </is>
      </c>
      <c r="L66" s="188" t="inlineStr">
        <is>
          <t>A</t>
        </is>
      </c>
      <c r="M66" s="188" t="inlineStr">
        <is>
          <t>A</t>
        </is>
      </c>
      <c r="N66" s="188" t="inlineStr">
        <is>
          <t>A</t>
        </is>
      </c>
      <c r="O66" s="188" t="inlineStr">
        <is>
          <t>A</t>
        </is>
      </c>
      <c r="P66" s="188" t="inlineStr">
        <is>
          <t>B</t>
        </is>
      </c>
      <c r="Q66" s="188" t="inlineStr">
        <is>
          <t>B</t>
        </is>
      </c>
      <c r="R66" s="188" t="inlineStr">
        <is>
          <t>B</t>
        </is>
      </c>
      <c r="S66" s="188" t="inlineStr">
        <is>
          <t>B</t>
        </is>
      </c>
      <c r="T66" s="188" t="inlineStr">
        <is>
          <t>B</t>
        </is>
      </c>
      <c r="U66" s="188" t="inlineStr">
        <is>
          <t>B</t>
        </is>
      </c>
      <c r="V66" s="188" t="inlineStr">
        <is>
          <t>B</t>
        </is>
      </c>
      <c r="W66" s="188" t="inlineStr">
        <is>
          <t>B</t>
        </is>
      </c>
      <c r="X66" s="188" t="inlineStr">
        <is>
          <t>B</t>
        </is>
      </c>
      <c r="Y66" s="188" t="inlineStr">
        <is>
          <t>B</t>
        </is>
      </c>
      <c r="Z66" s="198" t="n"/>
      <c r="AA66" s="198" t="n"/>
      <c r="AB66" s="198" t="n"/>
    </row>
    <row r="67" ht="13.5" customHeight="1" s="426">
      <c r="A67" s="174" t="n"/>
      <c r="B67" s="320" t="inlineStr">
        <is>
          <t>Passed/Failed</t>
        </is>
      </c>
      <c r="C67" s="449" t="n"/>
      <c r="D67" s="450" t="n"/>
      <c r="E67" s="95" t="n"/>
      <c r="F67" s="94" t="inlineStr">
        <is>
          <t>P</t>
        </is>
      </c>
      <c r="G67" s="94" t="inlineStr">
        <is>
          <t>P</t>
        </is>
      </c>
      <c r="H67" s="94" t="inlineStr">
        <is>
          <t>P</t>
        </is>
      </c>
      <c r="I67" s="94" t="inlineStr">
        <is>
          <t>P</t>
        </is>
      </c>
      <c r="J67" s="94" t="inlineStr">
        <is>
          <t>P</t>
        </is>
      </c>
      <c r="K67" s="94" t="inlineStr">
        <is>
          <t>P</t>
        </is>
      </c>
      <c r="L67" s="94" t="inlineStr">
        <is>
          <t>P</t>
        </is>
      </c>
      <c r="M67" s="94" t="inlineStr">
        <is>
          <t>P</t>
        </is>
      </c>
      <c r="N67" s="94" t="inlineStr">
        <is>
          <t>P</t>
        </is>
      </c>
      <c r="O67" s="94" t="inlineStr">
        <is>
          <t>P</t>
        </is>
      </c>
      <c r="P67" s="94" t="inlineStr">
        <is>
          <t>P</t>
        </is>
      </c>
      <c r="Q67" s="94" t="inlineStr">
        <is>
          <t>P</t>
        </is>
      </c>
      <c r="R67" s="94" t="inlineStr">
        <is>
          <t>P</t>
        </is>
      </c>
      <c r="S67" s="94" t="inlineStr">
        <is>
          <t>P</t>
        </is>
      </c>
      <c r="T67" s="94" t="inlineStr">
        <is>
          <t>P</t>
        </is>
      </c>
      <c r="U67" s="94" t="inlineStr">
        <is>
          <t>P</t>
        </is>
      </c>
      <c r="V67" s="94" t="inlineStr">
        <is>
          <t>P</t>
        </is>
      </c>
      <c r="W67" s="94" t="inlineStr">
        <is>
          <t>P</t>
        </is>
      </c>
      <c r="X67" s="94" t="inlineStr">
        <is>
          <t>P</t>
        </is>
      </c>
      <c r="Y67" s="94" t="inlineStr">
        <is>
          <t>P</t>
        </is>
      </c>
      <c r="Z67" s="199" t="n"/>
      <c r="AA67" s="199" t="n"/>
      <c r="AB67" s="199" t="n"/>
    </row>
    <row r="68" ht="71.5" customHeight="1" s="426">
      <c r="A68" s="174" t="n"/>
      <c r="B68" s="329" t="inlineStr">
        <is>
          <t>Executed Date</t>
        </is>
      </c>
      <c r="C68" s="449" t="n"/>
      <c r="D68" s="450" t="n"/>
      <c r="E68" s="96" t="n"/>
      <c r="F68" s="97" t="n">
        <v>45706</v>
      </c>
      <c r="G68" s="97" t="n">
        <v>45706</v>
      </c>
      <c r="H68" s="97" t="n">
        <v>45706</v>
      </c>
      <c r="I68" s="97" t="n">
        <v>45706</v>
      </c>
      <c r="J68" s="97" t="n">
        <v>45706</v>
      </c>
      <c r="K68" s="97" t="n">
        <v>45706</v>
      </c>
      <c r="L68" s="97" t="n">
        <v>45706</v>
      </c>
      <c r="M68" s="97" t="n">
        <v>45706</v>
      </c>
      <c r="N68" s="97" t="n">
        <v>45706</v>
      </c>
      <c r="O68" s="97" t="n">
        <v>45706</v>
      </c>
      <c r="P68" s="97" t="n">
        <v>45706</v>
      </c>
      <c r="Q68" s="97" t="n">
        <v>45706</v>
      </c>
      <c r="R68" s="97" t="n">
        <v>45706</v>
      </c>
      <c r="S68" s="97" t="n">
        <v>45706</v>
      </c>
      <c r="T68" s="97" t="n">
        <v>45706</v>
      </c>
      <c r="U68" s="97" t="n">
        <v>45706</v>
      </c>
      <c r="V68" s="97" t="n">
        <v>45706</v>
      </c>
      <c r="W68" s="97" t="n">
        <v>45706</v>
      </c>
      <c r="X68" s="97" t="n">
        <v>45706</v>
      </c>
      <c r="Y68" s="97" t="n">
        <v>45706</v>
      </c>
      <c r="Z68" s="97" t="n"/>
      <c r="AA68" s="176" t="n"/>
      <c r="AB68" s="176" t="n"/>
    </row>
    <row r="69" ht="10.5" customHeight="1" s="426" thickBot="1">
      <c r="A69" s="177" t="n"/>
      <c r="B69" s="330" t="inlineStr">
        <is>
          <t>Defect ID</t>
        </is>
      </c>
      <c r="C69" s="474" t="n"/>
      <c r="D69" s="475" t="n"/>
      <c r="E69" s="178" t="n"/>
      <c r="F69" s="179" t="n"/>
      <c r="G69" s="179" t="n"/>
      <c r="H69" s="179" t="n"/>
      <c r="I69" s="179" t="n"/>
      <c r="J69" s="179" t="n"/>
      <c r="K69" s="179" t="n"/>
      <c r="L69" s="179" t="n"/>
      <c r="M69" s="179" t="n"/>
      <c r="N69" s="179" t="n"/>
      <c r="O69" s="179" t="n"/>
      <c r="P69" s="179" t="n"/>
      <c r="Q69" s="179" t="n"/>
      <c r="R69" s="179" t="n"/>
      <c r="S69" s="179" t="n"/>
      <c r="T69" s="180" t="n"/>
      <c r="U69" s="180" t="n"/>
      <c r="V69" s="180" t="n"/>
      <c r="W69" s="180" t="n"/>
      <c r="X69" s="180" t="n"/>
      <c r="Y69" s="180" t="n"/>
      <c r="Z69" s="180" t="n"/>
      <c r="AA69" s="180" t="n"/>
      <c r="AB69" s="180" t="n"/>
    </row>
    <row r="70" ht="10.5" customHeight="1" s="426" thickTop="1">
      <c r="A70" s="73" t="n"/>
      <c r="B70" s="69" t="n"/>
      <c r="C70" s="413" t="n"/>
      <c r="D70" s="69" t="n"/>
    </row>
  </sheetData>
  <mergeCells count="27">
    <mergeCell ref="B67:D67"/>
    <mergeCell ref="F2:K2"/>
    <mergeCell ref="B69:D69"/>
    <mergeCell ref="A6:B6"/>
    <mergeCell ref="C4:D4"/>
    <mergeCell ref="L4:T4"/>
    <mergeCell ref="C2:E2"/>
    <mergeCell ref="A7:B7"/>
    <mergeCell ref="B68:D68"/>
    <mergeCell ref="C7:E7"/>
    <mergeCell ref="L6:N6"/>
    <mergeCell ref="A3:B3"/>
    <mergeCell ref="A2:B2"/>
    <mergeCell ref="A5:B5"/>
    <mergeCell ref="C3:E3"/>
    <mergeCell ref="O7:T7"/>
    <mergeCell ref="F4:K4"/>
    <mergeCell ref="C6:E6"/>
    <mergeCell ref="A4:B4"/>
    <mergeCell ref="L2:T2"/>
    <mergeCell ref="O6:T6"/>
    <mergeCell ref="B66:D66"/>
    <mergeCell ref="F6:K6"/>
    <mergeCell ref="F7:K7"/>
    <mergeCell ref="C5:T5"/>
    <mergeCell ref="L3:T3"/>
    <mergeCell ref="F3:K3"/>
  </mergeCells>
  <dataValidations count="3">
    <dataValidation sqref="F66:AB66" showDropDown="0" showInputMessage="1" showErrorMessage="1" allowBlank="1" type="list">
      <formula1>"N,A,B, "</formula1>
    </dataValidation>
    <dataValidation sqref="F67:AB67" showDropDown="0" showInputMessage="1" showErrorMessage="1" allowBlank="1" type="list">
      <formula1>"P,F, "</formula1>
    </dataValidation>
    <dataValidation sqref="F10:AB45 F46:L46 F47:AB65 N46:AB46" showDropDown="0" showInputMessage="1" showErrorMessage="1" allowBlank="1" type="list">
      <formula1>"O, "</formula1>
    </dataValidation>
  </dataValidations>
  <hyperlinks>
    <hyperlink xmlns:r="http://schemas.openxmlformats.org/officeDocument/2006/relationships" ref="D24" r:id="rId1"/>
  </hyperlink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sheetPr>
  <dimension ref="A1:AB76"/>
  <sheetViews>
    <sheetView zoomScale="115" zoomScaleNormal="115" workbookViewId="0">
      <selection activeCell="AF8" sqref="AF8"/>
    </sheetView>
  </sheetViews>
  <sheetFormatPr baseColWidth="8" defaultColWidth="9" defaultRowHeight="13.5" customHeight="1"/>
  <cols>
    <col width="8.1796875" customWidth="1" style="69" min="1" max="1"/>
    <col width="13.453125" customWidth="1" style="73" min="2" max="2"/>
    <col width="10.81640625" customWidth="1" style="69" min="3" max="3"/>
    <col width="34.26953125" customWidth="1" style="413" min="4" max="4"/>
    <col hidden="1" width="14.1796875" customWidth="1" style="69" min="5" max="5"/>
    <col width="2.81640625" bestFit="1" customWidth="1" style="69" min="6" max="11"/>
    <col width="2.81640625" customWidth="1" style="69" min="12" max="19"/>
    <col width="2.81640625" bestFit="1" customWidth="1" style="69" min="20" max="20"/>
    <col width="2.81640625" customWidth="1" style="69" min="21" max="21"/>
    <col width="3.08984375" customWidth="1" style="69" min="22" max="22"/>
    <col width="2.81640625" customWidth="1" style="69" min="23" max="23"/>
    <col width="3.26953125" customWidth="1" style="69" min="24" max="24"/>
    <col width="3.1796875" customWidth="1" style="69" min="25" max="25"/>
    <col width="2.90625" customWidth="1" style="69" min="26" max="26"/>
    <col width="3.6328125" customWidth="1" style="69" min="27" max="27"/>
    <col width="3.54296875" customWidth="1" style="69" min="28" max="28"/>
    <col width="11" customWidth="1" style="69" min="29" max="256"/>
    <col width="9" customWidth="1" style="69" min="257" max="16384"/>
  </cols>
  <sheetData>
    <row r="1" ht="13.5" customHeight="1" s="426">
      <c r="A1" s="315" t="inlineStr">
        <is>
          <t>Function Code</t>
        </is>
      </c>
      <c r="B1" s="439" t="n"/>
      <c r="C1" s="440" t="inlineStr">
        <is>
          <t>Borrowing - 1</t>
        </is>
      </c>
      <c r="D1" s="439" t="n"/>
      <c r="E1" s="441" t="n"/>
      <c r="F1" s="410" t="inlineStr">
        <is>
          <t>Function Name</t>
        </is>
      </c>
      <c r="G1" s="496" t="n"/>
      <c r="H1" s="496" t="n"/>
      <c r="I1" s="496" t="n"/>
      <c r="J1" s="496" t="n"/>
      <c r="K1" s="496" t="n"/>
      <c r="L1" s="443" t="inlineStr">
        <is>
          <t>Create Borrow Request</t>
        </is>
      </c>
      <c r="M1" s="439" t="n"/>
      <c r="N1" s="439" t="n"/>
      <c r="O1" s="439" t="n"/>
      <c r="P1" s="439" t="n"/>
      <c r="Q1" s="439" t="n"/>
      <c r="R1" s="439" t="n"/>
      <c r="S1" s="439" t="n"/>
      <c r="T1" s="444" t="n"/>
      <c r="V1" s="71" t="n"/>
    </row>
    <row r="2" ht="13.5" customHeight="1" s="426">
      <c r="A2" s="445" t="inlineStr">
        <is>
          <t>Created By</t>
        </is>
      </c>
      <c r="B2" s="428" t="n"/>
      <c r="C2" s="446" t="inlineStr">
        <is>
          <t>Nguyễn Hữu Duy</t>
        </is>
      </c>
      <c r="D2" s="433" t="n"/>
      <c r="E2" s="447" t="n"/>
      <c r="F2" s="448" t="inlineStr">
        <is>
          <t>Executed By</t>
        </is>
      </c>
      <c r="G2" s="449" t="n"/>
      <c r="H2" s="449" t="n"/>
      <c r="I2" s="449" t="n"/>
      <c r="J2" s="449" t="n"/>
      <c r="K2" s="450" t="n"/>
      <c r="L2" s="453" t="inlineStr">
        <is>
          <t>Nguyễn Hữu Duy</t>
        </is>
      </c>
      <c r="M2" s="454" t="n"/>
      <c r="N2" s="454" t="n"/>
      <c r="O2" s="454" t="n"/>
      <c r="P2" s="454" t="n"/>
      <c r="Q2" s="454" t="n"/>
      <c r="R2" s="454" t="n"/>
      <c r="S2" s="454" t="n"/>
      <c r="T2" s="455" t="n"/>
    </row>
    <row r="3" ht="13.5" customHeight="1" s="426">
      <c r="A3" s="445" t="inlineStr">
        <is>
          <t>Lines  of code</t>
        </is>
      </c>
      <c r="B3" s="428" t="n"/>
      <c r="C3" s="327" t="n">
        <v>615</v>
      </c>
      <c r="D3" s="427" t="n"/>
      <c r="E3" s="328" t="n"/>
      <c r="F3" s="448" t="inlineStr">
        <is>
          <t>Lack of test cases</t>
        </is>
      </c>
      <c r="G3" s="449" t="n"/>
      <c r="H3" s="449" t="n"/>
      <c r="I3" s="449" t="n"/>
      <c r="J3" s="449" t="n"/>
      <c r="K3" s="450" t="n"/>
      <c r="L3" s="482" t="n">
        <v>0</v>
      </c>
      <c r="M3" s="427" t="n"/>
      <c r="N3" s="427" t="n"/>
      <c r="O3" s="427" t="n"/>
      <c r="P3" s="427" t="n"/>
      <c r="Q3" s="427" t="n"/>
      <c r="R3" s="427" t="n"/>
      <c r="S3" s="427" t="n"/>
      <c r="T3" s="456" t="n"/>
      <c r="V3" s="71" t="n"/>
    </row>
    <row r="4" ht="13.5" customHeight="1" s="426">
      <c r="A4" s="445" t="inlineStr">
        <is>
          <t>Test requirement</t>
        </is>
      </c>
      <c r="B4" s="428" t="n"/>
      <c r="C4" s="337" t="n"/>
      <c r="D4" s="427" t="n"/>
      <c r="E4" s="427" t="n"/>
      <c r="F4" s="427" t="n"/>
      <c r="G4" s="427" t="n"/>
      <c r="H4" s="427" t="n"/>
      <c r="I4" s="427" t="n"/>
      <c r="J4" s="427" t="n"/>
      <c r="K4" s="427" t="n"/>
      <c r="L4" s="427" t="n"/>
      <c r="M4" s="427" t="n"/>
      <c r="N4" s="427" t="n"/>
      <c r="O4" s="427" t="n"/>
      <c r="P4" s="427" t="n"/>
      <c r="Q4" s="427" t="n"/>
      <c r="R4" s="427" t="n"/>
      <c r="S4" s="427" t="n"/>
      <c r="T4" s="456" t="n"/>
    </row>
    <row r="5" ht="13.5" customHeight="1" s="426">
      <c r="A5" s="457" t="inlineStr">
        <is>
          <t>Passed</t>
        </is>
      </c>
      <c r="B5" s="428" t="n"/>
      <c r="C5" s="458" t="inlineStr">
        <is>
          <t>Failed</t>
        </is>
      </c>
      <c r="D5" s="427" t="n"/>
      <c r="E5" s="428" t="n"/>
      <c r="F5" s="459" t="inlineStr">
        <is>
          <t>Untested</t>
        </is>
      </c>
      <c r="G5" s="427" t="n"/>
      <c r="H5" s="427" t="n"/>
      <c r="I5" s="427" t="n"/>
      <c r="J5" s="427" t="n"/>
      <c r="K5" s="460" t="n"/>
      <c r="L5" s="340" t="inlineStr">
        <is>
          <t>N/A/B</t>
        </is>
      </c>
      <c r="M5" s="427" t="n"/>
      <c r="N5" s="427" t="n"/>
      <c r="O5" s="462" t="inlineStr">
        <is>
          <t>Total Test Cases</t>
        </is>
      </c>
      <c r="P5" s="427" t="n"/>
      <c r="Q5" s="427" t="n"/>
      <c r="R5" s="427" t="n"/>
      <c r="S5" s="427" t="n"/>
      <c r="T5" s="463" t="n"/>
      <c r="V5" s="71" t="n"/>
    </row>
    <row r="6" ht="13.5" customHeight="1" s="426" thickBot="1">
      <c r="A6" s="464">
        <f>COUNTIF(F74:HQ74,"P")</f>
        <v/>
      </c>
      <c r="B6" s="465" t="n"/>
      <c r="C6" s="466">
        <f>COUNTIF(F75:HQ75,"F")</f>
        <v/>
      </c>
      <c r="D6" s="467" t="n"/>
      <c r="E6" s="465" t="n"/>
      <c r="F6" s="468">
        <f>SUM(O6,- A6,- C6)</f>
        <v/>
      </c>
      <c r="G6" s="467" t="n"/>
      <c r="H6" s="467" t="n"/>
      <c r="I6" s="467" t="n"/>
      <c r="J6" s="467" t="n"/>
      <c r="K6" s="469" t="n"/>
      <c r="L6" s="342">
        <f>COUNTIF(E73:HQ73,"N")</f>
        <v/>
      </c>
      <c r="M6" s="342">
        <f>COUNTIF(E73:HQ73,"A")</f>
        <v/>
      </c>
      <c r="N6" s="342">
        <f>COUNTIF(E73:HQ73,"B")</f>
        <v/>
      </c>
      <c r="O6" s="470">
        <f>COUNTA(E8:HT8)</f>
        <v/>
      </c>
      <c r="P6" s="467" t="n"/>
      <c r="Q6" s="467" t="n"/>
      <c r="R6" s="467" t="n"/>
      <c r="S6" s="467" t="n"/>
      <c r="T6" s="471" t="n"/>
      <c r="U6" s="72" t="n"/>
    </row>
    <row r="7" ht="13.5" customHeight="1" s="426" thickBot="1"/>
    <row r="8" ht="42" customHeight="1" s="426" thickBot="1" thickTop="1">
      <c r="A8" s="189" t="n"/>
      <c r="B8" s="165" t="n"/>
      <c r="C8" s="166" t="n"/>
      <c r="D8" s="167" t="n"/>
      <c r="E8" s="166" t="n"/>
      <c r="F8" s="168" t="inlineStr">
        <is>
          <t>UTCID01</t>
        </is>
      </c>
      <c r="G8" s="168" t="inlineStr">
        <is>
          <t>UTCID02</t>
        </is>
      </c>
      <c r="H8" s="168" t="inlineStr">
        <is>
          <t>UTCID03</t>
        </is>
      </c>
      <c r="I8" s="168" t="inlineStr">
        <is>
          <t>UTCID04</t>
        </is>
      </c>
      <c r="J8" s="168" t="inlineStr">
        <is>
          <t>UTCID05</t>
        </is>
      </c>
      <c r="K8" s="168" t="inlineStr">
        <is>
          <t>UTCID06</t>
        </is>
      </c>
      <c r="L8" s="168" t="inlineStr">
        <is>
          <t>UTCID07</t>
        </is>
      </c>
      <c r="M8" s="168" t="inlineStr">
        <is>
          <t>UTCID08</t>
        </is>
      </c>
      <c r="N8" s="168" t="inlineStr">
        <is>
          <t>UTCID09</t>
        </is>
      </c>
      <c r="O8" s="168" t="inlineStr">
        <is>
          <t>UTCID10</t>
        </is>
      </c>
      <c r="P8" s="168" t="inlineStr">
        <is>
          <t>UTCID11</t>
        </is>
      </c>
      <c r="Q8" s="168" t="inlineStr">
        <is>
          <t>UTCID12</t>
        </is>
      </c>
      <c r="R8" s="168" t="inlineStr">
        <is>
          <t>UTCID13</t>
        </is>
      </c>
      <c r="S8" s="168" t="inlineStr">
        <is>
          <t>UTCID14</t>
        </is>
      </c>
      <c r="T8" s="168" t="n"/>
      <c r="U8" s="168" t="n"/>
      <c r="V8" s="168" t="n"/>
      <c r="W8" s="168" t="n"/>
      <c r="X8" s="168" t="n"/>
      <c r="Y8" s="168" t="n"/>
      <c r="Z8" s="168" t="n"/>
      <c r="AA8" s="168" t="n"/>
      <c r="AB8" s="168" t="n"/>
    </row>
    <row r="9" ht="45" customHeight="1" s="426">
      <c r="A9" s="183" t="inlineStr">
        <is>
          <t>Condition</t>
        </is>
      </c>
      <c r="B9" s="75" t="inlineStr">
        <is>
          <t xml:space="preserve">Precondition </t>
        </is>
      </c>
      <c r="C9" s="76" t="n"/>
      <c r="D9" s="77" t="n"/>
      <c r="E9" s="78" t="n"/>
      <c r="F9" s="79" t="n"/>
      <c r="G9" s="79" t="n"/>
      <c r="H9" s="79" t="n"/>
      <c r="I9" s="79" t="n"/>
      <c r="J9" s="79" t="n"/>
      <c r="K9" s="79" t="n"/>
      <c r="L9" s="79" t="n"/>
      <c r="M9" s="79" t="n"/>
      <c r="N9" s="79" t="n"/>
      <c r="O9" s="79" t="n"/>
      <c r="P9" s="79" t="n"/>
      <c r="Q9" s="79" t="n"/>
      <c r="R9" s="79" t="n"/>
      <c r="S9" s="79" t="n"/>
      <c r="T9" s="195" t="n"/>
      <c r="U9" s="195" t="n"/>
      <c r="V9" s="195" t="n"/>
      <c r="W9" s="195" t="n"/>
      <c r="X9" s="195" t="n"/>
      <c r="Y9" s="195" t="n"/>
      <c r="Z9" s="195" t="n"/>
      <c r="AA9" s="195" t="n"/>
      <c r="AB9" s="195" t="n"/>
    </row>
    <row r="10" ht="13.5" customHeight="1" s="426">
      <c r="A10" s="171" t="n"/>
      <c r="B10" s="75" t="n"/>
      <c r="C10" s="76" t="n"/>
      <c r="D10" s="77" t="inlineStr">
        <is>
          <t>Can connect with SQL Server</t>
        </is>
      </c>
      <c r="E10" s="80" t="n"/>
      <c r="F10" s="148" t="inlineStr">
        <is>
          <t>O</t>
        </is>
      </c>
      <c r="G10" s="148" t="inlineStr">
        <is>
          <t>O</t>
        </is>
      </c>
      <c r="H10" s="148" t="inlineStr">
        <is>
          <t>O</t>
        </is>
      </c>
      <c r="I10" s="148" t="inlineStr">
        <is>
          <t>O</t>
        </is>
      </c>
      <c r="J10" s="148" t="inlineStr">
        <is>
          <t>O</t>
        </is>
      </c>
      <c r="K10" s="148" t="inlineStr">
        <is>
          <t>O</t>
        </is>
      </c>
      <c r="L10" s="148" t="inlineStr">
        <is>
          <t>O</t>
        </is>
      </c>
      <c r="M10" s="148" t="inlineStr">
        <is>
          <t>O</t>
        </is>
      </c>
      <c r="N10" s="148" t="inlineStr">
        <is>
          <t>O</t>
        </is>
      </c>
      <c r="O10" s="148" t="n"/>
      <c r="P10" s="148" t="inlineStr">
        <is>
          <t>O</t>
        </is>
      </c>
      <c r="Q10" s="148" t="inlineStr">
        <is>
          <t>O</t>
        </is>
      </c>
      <c r="R10" s="148" t="inlineStr">
        <is>
          <t>O</t>
        </is>
      </c>
      <c r="S10" s="148" t="n"/>
      <c r="T10" s="148" t="n"/>
      <c r="U10" s="148" t="n"/>
      <c r="V10" s="148" t="n"/>
      <c r="W10" s="148" t="n"/>
      <c r="X10" s="148" t="n"/>
      <c r="Y10" s="148" t="n"/>
      <c r="Z10" s="148" t="n"/>
      <c r="AA10" s="148" t="n"/>
      <c r="AB10" s="170" t="n"/>
    </row>
    <row r="11" ht="13.5" customHeight="1" s="426">
      <c r="A11" s="171" t="n"/>
      <c r="B11" s="75" t="n"/>
      <c r="C11" s="76" t="n"/>
      <c r="D11" s="77" t="inlineStr">
        <is>
          <t>Login with Authorize Account</t>
        </is>
      </c>
      <c r="E11" s="80" t="n"/>
      <c r="F11" s="148" t="inlineStr">
        <is>
          <t>O</t>
        </is>
      </c>
      <c r="G11" s="148" t="inlineStr">
        <is>
          <t>O</t>
        </is>
      </c>
      <c r="H11" s="148" t="inlineStr">
        <is>
          <t>O</t>
        </is>
      </c>
      <c r="I11" s="148" t="inlineStr">
        <is>
          <t>O</t>
        </is>
      </c>
      <c r="J11" s="148" t="inlineStr">
        <is>
          <t>O</t>
        </is>
      </c>
      <c r="K11" s="148" t="inlineStr">
        <is>
          <t>O</t>
        </is>
      </c>
      <c r="L11" s="148" t="inlineStr">
        <is>
          <t>O</t>
        </is>
      </c>
      <c r="M11" s="148" t="inlineStr">
        <is>
          <t>O</t>
        </is>
      </c>
      <c r="N11" s="148" t="inlineStr">
        <is>
          <t>O</t>
        </is>
      </c>
      <c r="O11" s="148" t="inlineStr">
        <is>
          <t>O</t>
        </is>
      </c>
      <c r="P11" s="148" t="inlineStr">
        <is>
          <t>O</t>
        </is>
      </c>
      <c r="Q11" s="148" t="inlineStr">
        <is>
          <t>O</t>
        </is>
      </c>
      <c r="R11" s="148" t="inlineStr">
        <is>
          <t>O</t>
        </is>
      </c>
      <c r="S11" s="148" t="inlineStr">
        <is>
          <t>O</t>
        </is>
      </c>
      <c r="T11" s="148" t="n"/>
      <c r="U11" s="148" t="n"/>
      <c r="V11" s="148" t="n"/>
      <c r="W11" s="148" t="n"/>
      <c r="X11" s="148" t="n"/>
      <c r="Y11" s="148" t="n"/>
      <c r="Z11" s="148" t="n"/>
      <c r="AA11" s="148" t="n"/>
      <c r="AB11" s="170" t="n"/>
    </row>
    <row r="12" ht="13.5" customHeight="1" s="426">
      <c r="A12" s="171" t="n"/>
      <c r="B12" s="75" t="n"/>
      <c r="C12" s="76" t="n"/>
      <c r="D12" s="77" t="inlineStr">
        <is>
          <t>Status Existed</t>
        </is>
      </c>
      <c r="E12" s="80" t="n"/>
      <c r="F12" s="148" t="inlineStr">
        <is>
          <t>O</t>
        </is>
      </c>
      <c r="G12" s="148" t="n"/>
      <c r="H12" s="148" t="inlineStr">
        <is>
          <t>O</t>
        </is>
      </c>
      <c r="I12" s="148" t="inlineStr">
        <is>
          <t>O</t>
        </is>
      </c>
      <c r="J12" s="148" t="n"/>
      <c r="K12" s="148" t="inlineStr">
        <is>
          <t>O</t>
        </is>
      </c>
      <c r="L12" s="148" t="inlineStr">
        <is>
          <t>O</t>
        </is>
      </c>
      <c r="M12" s="148" t="inlineStr">
        <is>
          <t>O</t>
        </is>
      </c>
      <c r="N12" s="148" t="inlineStr">
        <is>
          <t>O</t>
        </is>
      </c>
      <c r="O12" s="148" t="inlineStr">
        <is>
          <t>O</t>
        </is>
      </c>
      <c r="P12" s="148" t="inlineStr">
        <is>
          <t>O</t>
        </is>
      </c>
      <c r="Q12" s="148" t="inlineStr">
        <is>
          <t>O</t>
        </is>
      </c>
      <c r="R12" s="148" t="inlineStr">
        <is>
          <t>O</t>
        </is>
      </c>
      <c r="S12" s="148" t="n"/>
      <c r="T12" s="148" t="n"/>
      <c r="U12" s="148" t="n"/>
      <c r="V12" s="148" t="n"/>
      <c r="W12" s="148" t="n"/>
      <c r="X12" s="148" t="n"/>
      <c r="Y12" s="148" t="n"/>
      <c r="Z12" s="148" t="n"/>
      <c r="AA12" s="148" t="n"/>
      <c r="AB12" s="170" t="n"/>
    </row>
    <row r="13" ht="13.5" customHeight="1" s="426">
      <c r="A13" s="171" t="n"/>
      <c r="B13" s="75" t="n"/>
      <c r="C13" s="76" t="n"/>
      <c r="D13" s="77" t="inlineStr">
        <is>
          <t>Status does not exist</t>
        </is>
      </c>
      <c r="E13" s="80" t="n"/>
      <c r="F13" s="148" t="n"/>
      <c r="G13" s="148" t="inlineStr">
        <is>
          <t>O</t>
        </is>
      </c>
      <c r="H13" s="148" t="n"/>
      <c r="I13" s="148" t="n"/>
      <c r="J13" s="148" t="inlineStr">
        <is>
          <t>O</t>
        </is>
      </c>
      <c r="K13" s="148" t="n"/>
      <c r="L13" s="148" t="n"/>
      <c r="M13" s="148" t="n"/>
      <c r="N13" s="148" t="n"/>
      <c r="O13" s="148" t="n"/>
      <c r="P13" s="148" t="n"/>
      <c r="Q13" s="148" t="n"/>
      <c r="R13" s="148" t="n"/>
      <c r="S13" s="148" t="inlineStr">
        <is>
          <t>O</t>
        </is>
      </c>
      <c r="T13" s="170" t="n"/>
      <c r="U13" s="170" t="n"/>
      <c r="V13" s="170" t="n"/>
      <c r="W13" s="170" t="n"/>
      <c r="X13" s="170" t="n"/>
      <c r="Y13" s="170" t="n"/>
      <c r="Z13" s="170" t="n"/>
      <c r="AA13" s="170" t="n"/>
      <c r="AB13" s="170" t="n"/>
    </row>
    <row r="14" ht="13.5" customHeight="1" s="426">
      <c r="A14" s="171" t="n"/>
      <c r="B14" s="75" t="n"/>
      <c r="C14" s="76" t="n"/>
      <c r="D14" s="77" t="inlineStr">
        <is>
          <t>Department Existed</t>
        </is>
      </c>
      <c r="E14" s="80" t="n"/>
      <c r="F14" s="148" t="inlineStr">
        <is>
          <t>O</t>
        </is>
      </c>
      <c r="G14" s="148" t="n"/>
      <c r="H14" s="148" t="inlineStr">
        <is>
          <t>O</t>
        </is>
      </c>
      <c r="I14" s="148" t="inlineStr">
        <is>
          <t>O</t>
        </is>
      </c>
      <c r="J14" s="148" t="inlineStr">
        <is>
          <t>O</t>
        </is>
      </c>
      <c r="K14" s="148" t="n"/>
      <c r="L14" s="148" t="inlineStr">
        <is>
          <t>O</t>
        </is>
      </c>
      <c r="M14" s="148" t="inlineStr">
        <is>
          <t>O</t>
        </is>
      </c>
      <c r="N14" s="148" t="inlineStr">
        <is>
          <t>O</t>
        </is>
      </c>
      <c r="O14" s="148" t="inlineStr">
        <is>
          <t>O</t>
        </is>
      </c>
      <c r="P14" s="148" t="inlineStr">
        <is>
          <t>O</t>
        </is>
      </c>
      <c r="Q14" s="148" t="inlineStr">
        <is>
          <t>O</t>
        </is>
      </c>
      <c r="R14" s="148" t="inlineStr">
        <is>
          <t>O</t>
        </is>
      </c>
      <c r="S14" s="148" t="n"/>
      <c r="T14" s="170" t="n"/>
      <c r="U14" s="170" t="n"/>
      <c r="V14" s="170" t="n"/>
      <c r="W14" s="170" t="n"/>
      <c r="X14" s="170" t="n"/>
      <c r="Y14" s="170" t="n"/>
      <c r="Z14" s="170" t="n"/>
      <c r="AA14" s="170" t="n"/>
      <c r="AB14" s="170" t="n"/>
    </row>
    <row r="15" ht="13.5" customHeight="1" s="426">
      <c r="A15" s="171" t="n"/>
      <c r="B15" s="75" t="n"/>
      <c r="C15" s="76" t="n"/>
      <c r="D15" s="77" t="inlineStr">
        <is>
          <t>Department does not exist</t>
        </is>
      </c>
      <c r="E15" s="80" t="n"/>
      <c r="F15" s="148" t="n"/>
      <c r="G15" s="148" t="inlineStr">
        <is>
          <t>O</t>
        </is>
      </c>
      <c r="H15" s="148" t="n"/>
      <c r="I15" s="148" t="n"/>
      <c r="J15" s="148" t="n"/>
      <c r="K15" s="148" t="inlineStr">
        <is>
          <t>O</t>
        </is>
      </c>
      <c r="L15" s="148" t="n"/>
      <c r="M15" s="148" t="n"/>
      <c r="N15" s="148" t="n"/>
      <c r="O15" s="148" t="n"/>
      <c r="P15" s="148" t="n"/>
      <c r="Q15" s="148" t="n"/>
      <c r="R15" s="148" t="n"/>
      <c r="S15" s="148" t="inlineStr">
        <is>
          <t>O</t>
        </is>
      </c>
      <c r="T15" s="148" t="n"/>
      <c r="U15" s="148" t="n"/>
      <c r="V15" s="148" t="n"/>
      <c r="W15" s="148" t="n"/>
      <c r="X15" s="148" t="n"/>
      <c r="Y15" s="148" t="n"/>
      <c r="Z15" s="170" t="n"/>
      <c r="AA15" s="170" t="n"/>
      <c r="AB15" s="170" t="n"/>
    </row>
    <row r="16" ht="13.5" customHeight="1" s="426">
      <c r="A16" s="171" t="n"/>
      <c r="B16" s="75" t="n"/>
      <c r="C16" s="76" t="n"/>
      <c r="D16" s="77" t="inlineStr">
        <is>
          <t>Borrower Existed</t>
        </is>
      </c>
      <c r="E16" s="80" t="n"/>
      <c r="F16" s="148" t="inlineStr">
        <is>
          <t>O</t>
        </is>
      </c>
      <c r="G16" s="148" t="n"/>
      <c r="H16" s="148" t="inlineStr">
        <is>
          <t>O</t>
        </is>
      </c>
      <c r="I16" s="148" t="inlineStr">
        <is>
          <t>O</t>
        </is>
      </c>
      <c r="J16" s="148" t="inlineStr">
        <is>
          <t>O</t>
        </is>
      </c>
      <c r="K16" s="148" t="inlineStr">
        <is>
          <t>O</t>
        </is>
      </c>
      <c r="L16" s="148" t="n"/>
      <c r="M16" s="148" t="inlineStr">
        <is>
          <t>O</t>
        </is>
      </c>
      <c r="N16" s="148" t="inlineStr">
        <is>
          <t>O</t>
        </is>
      </c>
      <c r="O16" s="148" t="inlineStr">
        <is>
          <t>O</t>
        </is>
      </c>
      <c r="P16" s="148" t="n"/>
      <c r="Q16" s="148" t="inlineStr">
        <is>
          <t>O</t>
        </is>
      </c>
      <c r="R16" s="148" t="inlineStr">
        <is>
          <t>O</t>
        </is>
      </c>
      <c r="S16" s="148" t="n"/>
      <c r="T16" s="276" t="n"/>
      <c r="U16" s="276" t="n"/>
      <c r="V16" s="276" t="n"/>
      <c r="W16" s="276" t="n"/>
      <c r="X16" s="276" t="n"/>
      <c r="Y16" s="276" t="n"/>
      <c r="Z16" s="170" t="n"/>
      <c r="AA16" s="170" t="n"/>
      <c r="AB16" s="170" t="n"/>
    </row>
    <row r="17" ht="13.5" customHeight="1" s="426">
      <c r="A17" s="171" t="n"/>
      <c r="B17" s="75" t="n"/>
      <c r="C17" s="76" t="n"/>
      <c r="D17" s="77" t="inlineStr">
        <is>
          <t>Borrower does not Exist</t>
        </is>
      </c>
      <c r="E17" s="80" t="n"/>
      <c r="F17" s="148" t="n"/>
      <c r="G17" s="148" t="inlineStr">
        <is>
          <t>O</t>
        </is>
      </c>
      <c r="H17" s="148" t="n"/>
      <c r="I17" s="148" t="n"/>
      <c r="J17" s="148" t="n"/>
      <c r="K17" s="148" t="n"/>
      <c r="L17" s="148" t="inlineStr">
        <is>
          <t>O</t>
        </is>
      </c>
      <c r="M17" s="148" t="n"/>
      <c r="N17" s="148" t="n"/>
      <c r="O17" s="148" t="n"/>
      <c r="P17" s="148" t="inlineStr">
        <is>
          <t>O</t>
        </is>
      </c>
      <c r="Q17" s="148" t="n"/>
      <c r="R17" s="148" t="n"/>
      <c r="S17" s="148" t="inlineStr">
        <is>
          <t>O</t>
        </is>
      </c>
      <c r="T17" s="276" t="n"/>
      <c r="U17" s="276" t="n"/>
      <c r="V17" s="276" t="n"/>
      <c r="W17" s="276" t="n"/>
      <c r="X17" s="276" t="n"/>
      <c r="Y17" s="276" t="n"/>
      <c r="Z17" s="170" t="n"/>
      <c r="AA17" s="170" t="n"/>
      <c r="AB17" s="170" t="n"/>
    </row>
    <row r="18" ht="13.5" customHeight="1" s="426">
      <c r="A18" s="171" t="n"/>
      <c r="B18" s="75" t="n"/>
      <c r="C18" s="76" t="n"/>
      <c r="D18" s="77" t="inlineStr">
        <is>
          <t>Instructor Existed</t>
        </is>
      </c>
      <c r="E18" s="80" t="n"/>
      <c r="F18" s="148" t="inlineStr">
        <is>
          <t>O</t>
        </is>
      </c>
      <c r="G18" s="148" t="n"/>
      <c r="H18" s="148" t="inlineStr">
        <is>
          <t>O</t>
        </is>
      </c>
      <c r="I18" s="148" t="inlineStr">
        <is>
          <t>O</t>
        </is>
      </c>
      <c r="J18" s="148" t="inlineStr">
        <is>
          <t>O</t>
        </is>
      </c>
      <c r="K18" s="148" t="inlineStr">
        <is>
          <t>O</t>
        </is>
      </c>
      <c r="L18" s="148" t="inlineStr">
        <is>
          <t>O</t>
        </is>
      </c>
      <c r="M18" s="148" t="n"/>
      <c r="N18" s="148" t="inlineStr">
        <is>
          <t>O</t>
        </is>
      </c>
      <c r="O18" s="148" t="inlineStr">
        <is>
          <t>O</t>
        </is>
      </c>
      <c r="P18" s="148" t="inlineStr">
        <is>
          <t>O</t>
        </is>
      </c>
      <c r="Q18" s="148" t="n"/>
      <c r="R18" s="148" t="inlineStr">
        <is>
          <t>O</t>
        </is>
      </c>
      <c r="S18" s="148" t="n"/>
      <c r="T18" s="276" t="n"/>
      <c r="U18" s="276" t="n"/>
      <c r="V18" s="276" t="n"/>
      <c r="W18" s="276" t="n"/>
      <c r="X18" s="276" t="n"/>
      <c r="Y18" s="276" t="n"/>
      <c r="Z18" s="170" t="n"/>
      <c r="AA18" s="170" t="n"/>
      <c r="AB18" s="170" t="n"/>
    </row>
    <row r="19" ht="13.5" customHeight="1" s="426">
      <c r="A19" s="171" t="n"/>
      <c r="B19" s="75" t="n"/>
      <c r="C19" s="76" t="n"/>
      <c r="D19" s="77" t="inlineStr">
        <is>
          <t>Instructor does not Exist</t>
        </is>
      </c>
      <c r="E19" s="80" t="n"/>
      <c r="F19" s="148" t="n"/>
      <c r="G19" s="148" t="inlineStr">
        <is>
          <t>O</t>
        </is>
      </c>
      <c r="H19" s="148" t="n"/>
      <c r="I19" s="148" t="n"/>
      <c r="J19" s="148" t="n"/>
      <c r="K19" s="148" t="n"/>
      <c r="L19" s="148" t="n"/>
      <c r="M19" s="148" t="inlineStr">
        <is>
          <t>O</t>
        </is>
      </c>
      <c r="N19" s="148" t="n"/>
      <c r="O19" s="148" t="n"/>
      <c r="P19" s="148" t="n"/>
      <c r="Q19" s="148" t="inlineStr">
        <is>
          <t>O</t>
        </is>
      </c>
      <c r="R19" s="148" t="n"/>
      <c r="S19" s="148" t="n"/>
      <c r="T19" s="276" t="n"/>
      <c r="U19" s="276" t="n"/>
      <c r="V19" s="276" t="n"/>
      <c r="W19" s="276" t="n"/>
      <c r="X19" s="276" t="n"/>
      <c r="Y19" s="276" t="n"/>
      <c r="Z19" s="170" t="n"/>
      <c r="AA19" s="170" t="n"/>
      <c r="AB19" s="170" t="n"/>
    </row>
    <row r="20" ht="13.5" customHeight="1" s="426">
      <c r="A20" s="171" t="n"/>
      <c r="B20" s="75" t="inlineStr">
        <is>
          <t>BorrowerId</t>
        </is>
      </c>
      <c r="C20" s="76" t="n"/>
      <c r="D20" s="77" t="n"/>
      <c r="E20" s="80" t="n"/>
      <c r="F20" s="148" t="n"/>
      <c r="G20" s="148" t="n"/>
      <c r="H20" s="148" t="n"/>
      <c r="I20" s="148" t="n"/>
      <c r="J20" s="148" t="n"/>
      <c r="K20" s="148" t="n"/>
      <c r="L20" s="148" t="n"/>
      <c r="M20" s="148" t="n"/>
      <c r="N20" s="148" t="n"/>
      <c r="O20" s="148" t="n"/>
      <c r="P20" s="148" t="n"/>
      <c r="Q20" s="148" t="n"/>
      <c r="R20" s="148" t="n"/>
      <c r="S20" s="148" t="inlineStr">
        <is>
          <t>O</t>
        </is>
      </c>
      <c r="T20" s="170" t="n"/>
      <c r="U20" s="170" t="n"/>
      <c r="V20" s="170" t="n"/>
      <c r="W20" s="170" t="n"/>
      <c r="X20" s="170" t="n"/>
      <c r="Y20" s="170" t="n"/>
      <c r="Z20" s="170" t="n"/>
      <c r="AA20" s="170" t="n"/>
      <c r="AB20" s="170" t="n"/>
    </row>
    <row r="21" ht="13.5" customHeight="1" s="426">
      <c r="A21" s="171" t="n"/>
      <c r="B21" s="75" t="n"/>
      <c r="C21" s="76" t="n"/>
      <c r="D21" s="77" t="inlineStr">
        <is>
          <t>Guid</t>
        </is>
      </c>
      <c r="E21" s="80" t="n"/>
      <c r="F21" s="148" t="inlineStr">
        <is>
          <t>O</t>
        </is>
      </c>
      <c r="G21" s="148" t="n"/>
      <c r="H21" s="148" t="inlineStr">
        <is>
          <t>O</t>
        </is>
      </c>
      <c r="I21" s="148" t="inlineStr">
        <is>
          <t>O</t>
        </is>
      </c>
      <c r="J21" s="148" t="inlineStr">
        <is>
          <t>O</t>
        </is>
      </c>
      <c r="K21" s="148" t="inlineStr">
        <is>
          <t>O</t>
        </is>
      </c>
      <c r="L21" s="148" t="n"/>
      <c r="M21" s="148" t="inlineStr">
        <is>
          <t>O</t>
        </is>
      </c>
      <c r="N21" s="148" t="inlineStr">
        <is>
          <t>O</t>
        </is>
      </c>
      <c r="O21" s="148" t="inlineStr">
        <is>
          <t>O</t>
        </is>
      </c>
      <c r="P21" s="148" t="inlineStr">
        <is>
          <t>O</t>
        </is>
      </c>
      <c r="Q21" s="148" t="inlineStr">
        <is>
          <t>O</t>
        </is>
      </c>
      <c r="R21" s="148" t="inlineStr">
        <is>
          <t>O</t>
        </is>
      </c>
      <c r="S21" s="148" t="inlineStr">
        <is>
          <t>O</t>
        </is>
      </c>
      <c r="T21" s="170" t="n"/>
      <c r="U21" s="170" t="n"/>
      <c r="V21" s="170" t="n"/>
      <c r="W21" s="170" t="n"/>
      <c r="X21" s="170" t="n"/>
      <c r="Y21" s="170" t="n"/>
      <c r="Z21" s="170" t="n"/>
      <c r="AA21" s="170" t="n"/>
      <c r="AB21" s="170" t="n"/>
    </row>
    <row r="22" ht="13.5" customHeight="1" s="426">
      <c r="A22" s="171" t="n"/>
      <c r="B22" s="75" t="n"/>
      <c r="C22" s="76" t="n"/>
      <c r="D22" s="77" t="inlineStr">
        <is>
          <t>null</t>
        </is>
      </c>
      <c r="E22" s="80" t="n"/>
      <c r="F22" s="148" t="n"/>
      <c r="G22" s="148" t="inlineStr">
        <is>
          <t>O</t>
        </is>
      </c>
      <c r="H22" s="148" t="n"/>
      <c r="I22" s="148" t="n"/>
      <c r="J22" s="148" t="n"/>
      <c r="K22" s="148" t="n"/>
      <c r="L22" s="148" t="inlineStr">
        <is>
          <t>O</t>
        </is>
      </c>
      <c r="M22" s="148" t="n"/>
      <c r="N22" s="148" t="n"/>
      <c r="O22" s="148" t="n"/>
      <c r="P22" s="148" t="n"/>
      <c r="Q22" s="148" t="n"/>
      <c r="R22" s="148" t="n"/>
      <c r="S22" s="148" t="n"/>
      <c r="T22" s="148" t="n"/>
      <c r="U22" s="148" t="n"/>
      <c r="V22" s="148" t="n"/>
      <c r="W22" s="148" t="n"/>
      <c r="X22" s="148" t="n"/>
      <c r="Y22" s="148" t="n"/>
      <c r="Z22" s="170" t="n"/>
      <c r="AA22" s="170" t="n"/>
      <c r="AB22" s="170" t="n"/>
    </row>
    <row r="23" ht="13.5" customHeight="1" s="426">
      <c r="A23" s="171" t="n"/>
      <c r="B23" s="75" t="inlineStr">
        <is>
          <t>InstructorId</t>
        </is>
      </c>
      <c r="C23" s="76" t="n"/>
      <c r="D23" s="77" t="n"/>
      <c r="E23" s="80" t="n"/>
      <c r="F23" s="148" t="n"/>
      <c r="G23" s="148" t="n"/>
      <c r="H23" s="148" t="n"/>
      <c r="I23" s="148" t="n"/>
      <c r="J23" s="148" t="n"/>
      <c r="K23" s="148" t="n"/>
      <c r="L23" s="148" t="n"/>
      <c r="M23" s="148" t="n"/>
      <c r="N23" s="148" t="n"/>
      <c r="O23" s="148" t="n"/>
      <c r="P23" s="148" t="n"/>
      <c r="Q23" s="148" t="n"/>
      <c r="R23" s="148" t="n"/>
      <c r="S23" s="148" t="n"/>
      <c r="T23" s="170" t="n"/>
      <c r="U23" s="170" t="n"/>
      <c r="V23" s="170" t="n"/>
      <c r="W23" s="170" t="n"/>
      <c r="X23" s="170" t="n"/>
      <c r="Y23" s="170" t="n"/>
      <c r="Z23" s="170" t="n"/>
      <c r="AA23" s="170" t="n"/>
      <c r="AB23" s="170" t="n"/>
    </row>
    <row r="24" ht="13.5" customHeight="1" s="426">
      <c r="A24" s="171" t="n"/>
      <c r="B24" s="75" t="n"/>
      <c r="C24" s="76" t="n"/>
      <c r="D24" s="77" t="inlineStr">
        <is>
          <t>Guid</t>
        </is>
      </c>
      <c r="E24" s="80" t="n"/>
      <c r="F24" s="148" t="inlineStr">
        <is>
          <t>O</t>
        </is>
      </c>
      <c r="G24" s="148" t="n"/>
      <c r="H24" s="148" t="inlineStr">
        <is>
          <t>O</t>
        </is>
      </c>
      <c r="I24" s="148" t="inlineStr">
        <is>
          <t>O</t>
        </is>
      </c>
      <c r="J24" s="148" t="inlineStr">
        <is>
          <t>O</t>
        </is>
      </c>
      <c r="K24" s="148" t="inlineStr">
        <is>
          <t>O</t>
        </is>
      </c>
      <c r="L24" s="148" t="inlineStr">
        <is>
          <t>O</t>
        </is>
      </c>
      <c r="M24" s="148" t="n"/>
      <c r="N24" s="148" t="inlineStr">
        <is>
          <t>O</t>
        </is>
      </c>
      <c r="O24" s="148" t="inlineStr">
        <is>
          <t>O</t>
        </is>
      </c>
      <c r="P24" s="148" t="inlineStr">
        <is>
          <t>O</t>
        </is>
      </c>
      <c r="Q24" s="148" t="inlineStr">
        <is>
          <t>O</t>
        </is>
      </c>
      <c r="R24" s="148" t="inlineStr">
        <is>
          <t>O</t>
        </is>
      </c>
      <c r="S24" s="148" t="inlineStr">
        <is>
          <t>O</t>
        </is>
      </c>
      <c r="T24" s="170" t="n"/>
      <c r="U24" s="170" t="n"/>
      <c r="V24" s="170" t="n"/>
      <c r="W24" s="170" t="n"/>
      <c r="X24" s="170" t="n"/>
      <c r="Y24" s="170" t="n"/>
      <c r="Z24" s="170" t="n"/>
      <c r="AA24" s="170" t="n"/>
      <c r="AB24" s="170" t="n"/>
    </row>
    <row r="25" ht="13.5" customHeight="1" s="426">
      <c r="A25" s="171" t="n"/>
      <c r="B25" s="75" t="n"/>
      <c r="C25" s="76" t="n"/>
      <c r="D25" s="77" t="inlineStr">
        <is>
          <t>null</t>
        </is>
      </c>
      <c r="E25" s="80" t="n"/>
      <c r="F25" s="148" t="n"/>
      <c r="G25" s="148" t="inlineStr">
        <is>
          <t>O</t>
        </is>
      </c>
      <c r="H25" s="148" t="n"/>
      <c r="I25" s="148" t="n"/>
      <c r="J25" s="148" t="n"/>
      <c r="K25" s="148" t="n"/>
      <c r="L25" s="148" t="n"/>
      <c r="M25" s="148" t="inlineStr">
        <is>
          <t>O</t>
        </is>
      </c>
      <c r="N25" s="148" t="n"/>
      <c r="O25" s="148" t="n"/>
      <c r="P25" s="148" t="n"/>
      <c r="Q25" s="148" t="n"/>
      <c r="R25" s="148" t="n"/>
      <c r="S25" s="148" t="n"/>
      <c r="T25" s="170" t="n"/>
      <c r="U25" s="170" t="n"/>
      <c r="V25" s="170" t="n"/>
      <c r="W25" s="170" t="n"/>
      <c r="X25" s="170" t="n"/>
      <c r="Y25" s="170" t="n"/>
      <c r="Z25" s="170" t="n"/>
      <c r="AA25" s="170" t="n"/>
      <c r="AB25" s="170" t="n"/>
    </row>
    <row r="26" ht="13.5" customHeight="1" s="426">
      <c r="A26" s="171" t="n"/>
      <c r="B26" s="75" t="inlineStr">
        <is>
          <t xml:space="preserve"> Department</t>
        </is>
      </c>
      <c r="C26" s="76" t="n"/>
      <c r="D26" s="77" t="n"/>
      <c r="E26" s="80" t="n"/>
      <c r="F26" s="148" t="n"/>
      <c r="G26" s="148" t="n"/>
      <c r="H26" s="148" t="n"/>
      <c r="I26" s="148" t="n"/>
      <c r="J26" s="148" t="n"/>
      <c r="K26" s="148" t="n"/>
      <c r="L26" s="148" t="n"/>
      <c r="M26" s="148" t="n"/>
      <c r="N26" s="148" t="n"/>
      <c r="O26" s="148" t="n"/>
      <c r="P26" s="148" t="n"/>
      <c r="Q26" s="148" t="n"/>
      <c r="R26" s="148" t="n"/>
      <c r="S26" s="148" t="n"/>
      <c r="T26" s="170" t="n"/>
      <c r="U26" s="170" t="n"/>
      <c r="V26" s="170" t="n"/>
      <c r="W26" s="170" t="n"/>
      <c r="X26" s="170" t="n"/>
      <c r="Y26" s="170" t="n"/>
      <c r="Z26" s="170" t="n"/>
      <c r="AA26" s="170" t="n"/>
      <c r="AB26" s="170" t="n"/>
    </row>
    <row r="27" ht="13.5" customHeight="1" s="426">
      <c r="A27" s="171" t="n"/>
      <c r="B27" s="75" t="n"/>
      <c r="C27" s="76" t="n"/>
      <c r="D27" s="77" t="n">
        <v>1</v>
      </c>
      <c r="E27" s="80" t="n"/>
      <c r="F27" s="148" t="inlineStr">
        <is>
          <t>O</t>
        </is>
      </c>
      <c r="G27" s="148" t="n"/>
      <c r="H27" s="148" t="inlineStr">
        <is>
          <t>O</t>
        </is>
      </c>
      <c r="I27" s="148" t="inlineStr">
        <is>
          <t>O</t>
        </is>
      </c>
      <c r="J27" s="148" t="inlineStr">
        <is>
          <t>O</t>
        </is>
      </c>
      <c r="K27" s="148" t="n"/>
      <c r="L27" s="148" t="inlineStr">
        <is>
          <t>O</t>
        </is>
      </c>
      <c r="M27" s="148" t="inlineStr">
        <is>
          <t>O</t>
        </is>
      </c>
      <c r="N27" s="148" t="inlineStr">
        <is>
          <t>O</t>
        </is>
      </c>
      <c r="O27" s="148" t="inlineStr">
        <is>
          <t>O</t>
        </is>
      </c>
      <c r="P27" s="148" t="inlineStr">
        <is>
          <t>O</t>
        </is>
      </c>
      <c r="Q27" s="148" t="inlineStr">
        <is>
          <t>O</t>
        </is>
      </c>
      <c r="R27" s="148" t="inlineStr">
        <is>
          <t>O</t>
        </is>
      </c>
      <c r="S27" s="148" t="inlineStr">
        <is>
          <t>O</t>
        </is>
      </c>
      <c r="T27" s="148" t="n"/>
      <c r="U27" s="148" t="n"/>
      <c r="V27" s="148" t="n"/>
      <c r="W27" s="148" t="n"/>
      <c r="X27" s="148" t="n"/>
      <c r="Y27" s="148" t="n"/>
      <c r="Z27" s="170" t="n"/>
      <c r="AA27" s="170" t="n"/>
      <c r="AB27" s="170" t="n"/>
    </row>
    <row r="28" ht="13.5" customHeight="1" s="426">
      <c r="A28" s="171" t="n"/>
      <c r="B28" s="75" t="n"/>
      <c r="C28" s="76" t="n"/>
      <c r="D28" s="77" t="n">
        <v>9999</v>
      </c>
      <c r="E28" s="80" t="n"/>
      <c r="F28" s="148" t="n"/>
      <c r="G28" s="148" t="n"/>
      <c r="H28" s="148" t="n"/>
      <c r="I28" s="148" t="n"/>
      <c r="J28" s="148" t="n"/>
      <c r="K28" s="148" t="inlineStr">
        <is>
          <t>O</t>
        </is>
      </c>
      <c r="L28" s="148" t="n"/>
      <c r="M28" s="148" t="n"/>
      <c r="N28" s="148" t="n"/>
      <c r="O28" s="148" t="n"/>
      <c r="P28" s="148" t="n"/>
      <c r="Q28" s="148" t="n"/>
      <c r="R28" s="148" t="n"/>
      <c r="S28" s="148" t="n"/>
      <c r="T28" s="170" t="n"/>
      <c r="U28" s="170" t="n"/>
      <c r="V28" s="170" t="n"/>
      <c r="W28" s="170" t="n"/>
      <c r="X28" s="170" t="n"/>
      <c r="Y28" s="170" t="n"/>
      <c r="Z28" s="170" t="n"/>
      <c r="AA28" s="170" t="n"/>
      <c r="AB28" s="170" t="n"/>
    </row>
    <row r="29" ht="13.5" customHeight="1" s="426">
      <c r="A29" s="171" t="n"/>
      <c r="B29" s="75" t="n"/>
      <c r="C29" s="76" t="n"/>
      <c r="D29" s="77" t="inlineStr">
        <is>
          <t>null</t>
        </is>
      </c>
      <c r="E29" s="80" t="n"/>
      <c r="F29" s="148" t="n"/>
      <c r="G29" s="148" t="inlineStr">
        <is>
          <t>O</t>
        </is>
      </c>
      <c r="H29" s="148" t="n"/>
      <c r="I29" s="148" t="n"/>
      <c r="J29" s="148" t="n"/>
      <c r="K29" s="148" t="n"/>
      <c r="L29" s="148" t="n"/>
      <c r="M29" s="148" t="n"/>
      <c r="N29" s="148" t="n"/>
      <c r="O29" s="148" t="n"/>
      <c r="P29" s="148" t="n"/>
      <c r="Q29" s="148" t="n"/>
      <c r="R29" s="148" t="n"/>
      <c r="S29" s="148" t="n"/>
      <c r="T29" s="170" t="n"/>
      <c r="U29" s="170" t="n"/>
      <c r="V29" s="170" t="n"/>
      <c r="W29" s="170" t="n"/>
      <c r="X29" s="170" t="n"/>
      <c r="Y29" s="170" t="n"/>
      <c r="Z29" s="170" t="n"/>
      <c r="AA29" s="170" t="n"/>
      <c r="AB29" s="170" t="n"/>
    </row>
    <row r="30" ht="13.5" customHeight="1" s="426">
      <c r="A30" s="171" t="n"/>
      <c r="B30" s="75" t="inlineStr">
        <is>
          <t>StartTime</t>
        </is>
      </c>
      <c r="C30" s="76" t="n"/>
      <c r="D30" s="77" t="n"/>
      <c r="E30" s="80" t="n"/>
      <c r="F30" s="148" t="n"/>
      <c r="G30" s="148" t="n"/>
      <c r="H30" s="148" t="n"/>
      <c r="I30" s="148" t="n"/>
      <c r="J30" s="148" t="n"/>
      <c r="K30" s="148" t="n"/>
      <c r="L30" s="148" t="n"/>
      <c r="M30" s="148" t="n"/>
      <c r="N30" s="148" t="n"/>
      <c r="O30" s="148" t="n"/>
      <c r="P30" s="148" t="n"/>
      <c r="Q30" s="148" t="n"/>
      <c r="R30" s="148" t="n"/>
      <c r="S30" s="148" t="n"/>
      <c r="T30" s="170" t="n"/>
      <c r="U30" s="170" t="n"/>
      <c r="V30" s="170" t="n"/>
      <c r="W30" s="170" t="n"/>
      <c r="X30" s="170" t="n"/>
      <c r="Y30" s="170" t="n"/>
      <c r="Z30" s="170" t="n"/>
      <c r="AA30" s="170" t="n"/>
      <c r="AB30" s="170" t="n"/>
    </row>
    <row r="31" ht="13.5" customHeight="1" s="426">
      <c r="A31" s="171" t="n"/>
      <c r="B31" s="75" t="n"/>
      <c r="C31" s="76" t="n"/>
      <c r="D31" s="282" t="n">
        <v>45704</v>
      </c>
      <c r="E31" s="80" t="n"/>
      <c r="F31" s="148" t="inlineStr">
        <is>
          <t>O</t>
        </is>
      </c>
      <c r="G31" s="148" t="n"/>
      <c r="H31" s="148" t="inlineStr">
        <is>
          <t>O</t>
        </is>
      </c>
      <c r="I31" s="148" t="n"/>
      <c r="J31" s="148" t="inlineStr">
        <is>
          <t>O</t>
        </is>
      </c>
      <c r="K31" s="148" t="inlineStr">
        <is>
          <t>O</t>
        </is>
      </c>
      <c r="L31" s="148" t="inlineStr">
        <is>
          <t>O</t>
        </is>
      </c>
      <c r="M31" s="148" t="inlineStr">
        <is>
          <t>O</t>
        </is>
      </c>
      <c r="N31" s="148" t="n"/>
      <c r="O31" s="148" t="inlineStr">
        <is>
          <t>O</t>
        </is>
      </c>
      <c r="P31" s="148" t="inlineStr">
        <is>
          <t>O</t>
        </is>
      </c>
      <c r="Q31" s="148" t="inlineStr">
        <is>
          <t>O</t>
        </is>
      </c>
      <c r="R31" s="148" t="inlineStr">
        <is>
          <t>O</t>
        </is>
      </c>
      <c r="S31" s="148" t="inlineStr">
        <is>
          <t>O</t>
        </is>
      </c>
      <c r="T31" s="170" t="n"/>
      <c r="U31" s="170" t="n"/>
      <c r="V31" s="170" t="n"/>
      <c r="W31" s="170" t="n"/>
      <c r="X31" s="170" t="n"/>
      <c r="Y31" s="170" t="n"/>
      <c r="Z31" s="170" t="n"/>
      <c r="AA31" s="170" t="n"/>
      <c r="AB31" s="170" t="n"/>
    </row>
    <row r="32" ht="13.5" customHeight="1" s="426">
      <c r="A32" s="171" t="n"/>
      <c r="B32" s="75" t="n"/>
      <c r="C32" s="76" t="n"/>
      <c r="D32" s="282" t="n">
        <v>45706</v>
      </c>
      <c r="E32" s="80" t="n"/>
      <c r="F32" s="148" t="n"/>
      <c r="G32" s="148" t="n"/>
      <c r="H32" s="148" t="n"/>
      <c r="I32" s="148" t="inlineStr">
        <is>
          <t>O</t>
        </is>
      </c>
      <c r="J32" s="148" t="n"/>
      <c r="K32" s="148" t="n"/>
      <c r="L32" s="148" t="n"/>
      <c r="M32" s="148" t="n"/>
      <c r="N32" s="148" t="n"/>
      <c r="O32" s="148" t="n"/>
      <c r="P32" s="148" t="n"/>
      <c r="Q32" s="148" t="n"/>
      <c r="R32" s="148" t="n"/>
      <c r="S32" s="148" t="n"/>
      <c r="T32" s="170" t="n"/>
      <c r="U32" s="170" t="n"/>
      <c r="V32" s="170" t="n"/>
      <c r="W32" s="170" t="n"/>
      <c r="X32" s="170" t="n"/>
      <c r="Y32" s="170" t="n"/>
      <c r="Z32" s="170" t="n"/>
      <c r="AA32" s="170" t="n"/>
      <c r="AB32" s="170" t="n"/>
    </row>
    <row r="33" ht="13.5" customHeight="1" s="426">
      <c r="A33" s="171" t="n"/>
      <c r="B33" s="75" t="n"/>
      <c r="C33" s="76" t="n"/>
      <c r="D33" s="77" t="inlineStr">
        <is>
          <t>null</t>
        </is>
      </c>
      <c r="E33" s="80" t="n"/>
      <c r="F33" s="148" t="n"/>
      <c r="G33" s="148" t="inlineStr">
        <is>
          <t>O</t>
        </is>
      </c>
      <c r="H33" s="148" t="n"/>
      <c r="I33" s="148" t="n"/>
      <c r="J33" s="148" t="n"/>
      <c r="K33" s="148" t="n"/>
      <c r="L33" s="148" t="n"/>
      <c r="M33" s="148" t="n"/>
      <c r="N33" s="148" t="inlineStr">
        <is>
          <t>O</t>
        </is>
      </c>
      <c r="O33" s="148" t="n"/>
      <c r="P33" s="148" t="n"/>
      <c r="Q33" s="148" t="n"/>
      <c r="R33" s="148" t="n"/>
      <c r="S33" s="148" t="n"/>
      <c r="T33" s="148" t="n"/>
      <c r="U33" s="148" t="n"/>
      <c r="V33" s="148" t="n"/>
      <c r="W33" s="148" t="n"/>
      <c r="X33" s="148" t="n"/>
      <c r="Y33" s="148" t="n"/>
      <c r="Z33" s="170" t="n"/>
      <c r="AA33" s="170" t="n"/>
      <c r="AB33" s="170" t="n"/>
    </row>
    <row r="34" ht="13.5" customHeight="1" s="426">
      <c r="A34" s="171" t="n"/>
      <c r="B34" s="75" t="inlineStr">
        <is>
          <t>EndTime</t>
        </is>
      </c>
      <c r="C34" s="76" t="n"/>
      <c r="D34" s="77" t="n"/>
      <c r="E34" s="80" t="n"/>
      <c r="F34" s="148" t="n"/>
      <c r="G34" s="148" t="n"/>
      <c r="H34" s="148" t="n"/>
      <c r="I34" s="148" t="n"/>
      <c r="J34" s="148" t="n"/>
      <c r="K34" s="148" t="n"/>
      <c r="L34" s="148" t="n"/>
      <c r="M34" s="148" t="n"/>
      <c r="N34" s="148" t="n"/>
      <c r="O34" s="148" t="n"/>
      <c r="P34" s="148" t="n"/>
      <c r="Q34" s="148" t="n"/>
      <c r="R34" s="148" t="n"/>
      <c r="S34" s="148" t="n"/>
      <c r="T34" s="170" t="n"/>
      <c r="U34" s="170" t="n"/>
      <c r="V34" s="170" t="n"/>
      <c r="W34" s="170" t="n"/>
      <c r="X34" s="170" t="n"/>
      <c r="Y34" s="170" t="n"/>
      <c r="Z34" s="170" t="n"/>
      <c r="AA34" s="170" t="n"/>
      <c r="AB34" s="170" t="n"/>
    </row>
    <row r="35" ht="13.5" customHeight="1" s="426">
      <c r="A35" s="171" t="n"/>
      <c r="B35" s="75" t="n"/>
      <c r="C35" s="76" t="n"/>
      <c r="D35" s="282" t="n">
        <v>45705</v>
      </c>
      <c r="E35" s="80" t="n"/>
      <c r="F35" s="148" t="inlineStr">
        <is>
          <t>O</t>
        </is>
      </c>
      <c r="G35" s="148" t="n"/>
      <c r="H35" s="148" t="inlineStr">
        <is>
          <t>O</t>
        </is>
      </c>
      <c r="I35" s="148" t="inlineStr">
        <is>
          <t>O</t>
        </is>
      </c>
      <c r="J35" s="148" t="inlineStr">
        <is>
          <t>O</t>
        </is>
      </c>
      <c r="K35" s="148" t="inlineStr">
        <is>
          <t>O</t>
        </is>
      </c>
      <c r="L35" s="148" t="inlineStr">
        <is>
          <t>O</t>
        </is>
      </c>
      <c r="M35" s="148" t="inlineStr">
        <is>
          <t>O</t>
        </is>
      </c>
      <c r="N35" s="148" t="inlineStr">
        <is>
          <t>O</t>
        </is>
      </c>
      <c r="O35" s="148" t="n"/>
      <c r="P35" s="148" t="inlineStr">
        <is>
          <t>O</t>
        </is>
      </c>
      <c r="Q35" s="148" t="inlineStr">
        <is>
          <t>O</t>
        </is>
      </c>
      <c r="R35" s="148" t="inlineStr">
        <is>
          <t>O</t>
        </is>
      </c>
      <c r="S35" s="148" t="inlineStr">
        <is>
          <t>O</t>
        </is>
      </c>
      <c r="T35" s="170" t="n"/>
      <c r="U35" s="170" t="n"/>
      <c r="V35" s="170" t="n"/>
      <c r="W35" s="170" t="n"/>
      <c r="X35" s="170" t="n"/>
      <c r="Y35" s="170" t="n"/>
      <c r="Z35" s="170" t="n"/>
      <c r="AA35" s="170" t="n"/>
      <c r="AB35" s="170" t="n"/>
    </row>
    <row r="36" ht="13.5" customHeight="1" s="426">
      <c r="A36" s="171" t="n"/>
      <c r="B36" s="75" t="n"/>
      <c r="C36" s="76" t="n"/>
      <c r="D36" s="282" t="n">
        <v>45704</v>
      </c>
      <c r="E36" s="80" t="n"/>
      <c r="F36" s="148" t="n"/>
      <c r="G36" s="148" t="n"/>
      <c r="H36" s="148" t="n"/>
      <c r="I36" s="148" t="n"/>
      <c r="J36" s="148" t="n"/>
      <c r="K36" s="148" t="n"/>
      <c r="L36" s="148" t="n"/>
      <c r="M36" s="148" t="n"/>
      <c r="N36" s="148" t="n"/>
      <c r="O36" s="148" t="n"/>
      <c r="P36" s="148" t="n"/>
      <c r="Q36" s="148" t="n"/>
      <c r="R36" s="148" t="n"/>
      <c r="S36" s="148" t="n"/>
      <c r="T36" s="170" t="n"/>
      <c r="U36" s="170" t="n"/>
      <c r="V36" s="170" t="n"/>
      <c r="W36" s="170" t="n"/>
      <c r="X36" s="170" t="n"/>
      <c r="Y36" s="170" t="n"/>
      <c r="Z36" s="170" t="n"/>
      <c r="AA36" s="170" t="n"/>
      <c r="AB36" s="170" t="n"/>
    </row>
    <row r="37" ht="13.5" customHeight="1" s="426">
      <c r="A37" s="171" t="n"/>
      <c r="B37" s="75" t="n"/>
      <c r="C37" s="76" t="n"/>
      <c r="D37" s="77" t="inlineStr">
        <is>
          <t>null</t>
        </is>
      </c>
      <c r="E37" s="80" t="n"/>
      <c r="F37" s="148" t="n"/>
      <c r="G37" s="148" t="inlineStr">
        <is>
          <t>O</t>
        </is>
      </c>
      <c r="H37" s="148" t="n"/>
      <c r="I37" s="148" t="n"/>
      <c r="J37" s="148" t="n"/>
      <c r="K37" s="148" t="n"/>
      <c r="L37" s="148" t="n"/>
      <c r="M37" s="148" t="n"/>
      <c r="N37" s="148" t="n"/>
      <c r="O37" s="148" t="inlineStr">
        <is>
          <t>O</t>
        </is>
      </c>
      <c r="P37" s="148" t="n"/>
      <c r="Q37" s="148" t="n"/>
      <c r="R37" s="148" t="n"/>
      <c r="S37" s="148" t="n"/>
      <c r="T37" s="170" t="n"/>
      <c r="U37" s="170" t="n"/>
      <c r="V37" s="148" t="n"/>
      <c r="W37" s="148" t="n"/>
      <c r="X37" s="148" t="n"/>
      <c r="Y37" s="148" t="n"/>
      <c r="Z37" s="170" t="n"/>
      <c r="AA37" s="170" t="n"/>
      <c r="AB37" s="170" t="n"/>
    </row>
    <row r="38" ht="13.5" customHeight="1" s="426">
      <c r="A38" s="171" t="n"/>
      <c r="B38" s="75" t="inlineStr">
        <is>
          <t>Type</t>
        </is>
      </c>
      <c r="C38" s="76" t="n"/>
      <c r="D38" s="77" t="n"/>
      <c r="E38" s="80" t="n"/>
      <c r="F38" s="148" t="n"/>
      <c r="G38" s="148" t="n"/>
      <c r="H38" s="148" t="n"/>
      <c r="I38" s="148" t="n"/>
      <c r="J38" s="148" t="n"/>
      <c r="K38" s="148" t="n"/>
      <c r="L38" s="148" t="n"/>
      <c r="M38" s="148" t="n"/>
      <c r="N38" s="148" t="n"/>
      <c r="O38" s="148" t="n"/>
      <c r="P38" s="148" t="n"/>
      <c r="Q38" s="148" t="n"/>
      <c r="R38" s="148" t="n"/>
      <c r="S38" s="148" t="n"/>
      <c r="T38" s="170" t="n"/>
      <c r="U38" s="170" t="n"/>
      <c r="V38" s="170" t="n"/>
      <c r="W38" s="170" t="n"/>
      <c r="X38" s="170" t="n"/>
      <c r="Y38" s="170" t="n"/>
      <c r="Z38" s="170" t="n"/>
      <c r="AA38" s="170" t="n"/>
      <c r="AB38" s="170" t="n"/>
    </row>
    <row r="39" ht="13.5" customHeight="1" s="426">
      <c r="A39" s="171" t="n"/>
      <c r="B39" s="75" t="n"/>
      <c r="C39" s="76" t="n"/>
      <c r="D39" s="77" t="b">
        <v>1</v>
      </c>
      <c r="E39" s="80" t="n"/>
      <c r="F39" s="148" t="inlineStr">
        <is>
          <t>O</t>
        </is>
      </c>
      <c r="G39" s="148" t="n"/>
      <c r="H39" s="148" t="inlineStr">
        <is>
          <t>O</t>
        </is>
      </c>
      <c r="I39" s="148" t="inlineStr">
        <is>
          <t>O</t>
        </is>
      </c>
      <c r="J39" s="148" t="inlineStr">
        <is>
          <t>O</t>
        </is>
      </c>
      <c r="K39" s="148" t="inlineStr">
        <is>
          <t>O</t>
        </is>
      </c>
      <c r="L39" s="148" t="inlineStr">
        <is>
          <t>O</t>
        </is>
      </c>
      <c r="M39" s="148" t="inlineStr">
        <is>
          <t>O</t>
        </is>
      </c>
      <c r="N39" s="148" t="inlineStr">
        <is>
          <t>O</t>
        </is>
      </c>
      <c r="O39" s="148" t="inlineStr">
        <is>
          <t>O</t>
        </is>
      </c>
      <c r="P39" s="148" t="inlineStr">
        <is>
          <t>O</t>
        </is>
      </c>
      <c r="Q39" s="148" t="inlineStr">
        <is>
          <t>O</t>
        </is>
      </c>
      <c r="R39" s="148" t="inlineStr">
        <is>
          <t>O</t>
        </is>
      </c>
      <c r="S39" s="148" t="inlineStr">
        <is>
          <t>O</t>
        </is>
      </c>
      <c r="T39" s="148" t="n"/>
      <c r="U39" s="170" t="n"/>
      <c r="V39" s="170" t="n"/>
      <c r="W39" s="170" t="n"/>
      <c r="X39" s="170" t="n"/>
      <c r="Y39" s="170" t="n"/>
      <c r="Z39" s="170" t="n"/>
      <c r="AA39" s="170" t="n"/>
      <c r="AB39" s="170" t="n"/>
    </row>
    <row r="40" ht="13.5" customHeight="1" s="426">
      <c r="A40" s="171" t="n"/>
      <c r="B40" s="75" t="n"/>
      <c r="C40" s="76" t="n"/>
      <c r="D40" s="77" t="inlineStr">
        <is>
          <t>null</t>
        </is>
      </c>
      <c r="E40" s="80" t="n"/>
      <c r="F40" s="148" t="n"/>
      <c r="G40" s="148" t="inlineStr">
        <is>
          <t>O</t>
        </is>
      </c>
      <c r="H40" s="148" t="n"/>
      <c r="I40" s="148" t="n"/>
      <c r="J40" s="148" t="n"/>
      <c r="K40" s="148" t="n"/>
      <c r="L40" s="148" t="n"/>
      <c r="M40" s="148" t="n"/>
      <c r="N40" s="148" t="n"/>
      <c r="O40" s="148" t="n"/>
      <c r="P40" s="148" t="n"/>
      <c r="Q40" s="148" t="n"/>
      <c r="R40" s="148" t="n"/>
      <c r="S40" s="148" t="n"/>
      <c r="T40" s="276" t="n"/>
      <c r="U40" s="276" t="n"/>
      <c r="V40" s="170" t="n"/>
      <c r="W40" s="170" t="n"/>
      <c r="X40" s="170" t="n"/>
      <c r="Y40" s="170" t="n"/>
      <c r="Z40" s="170" t="n"/>
      <c r="AA40" s="170" t="n"/>
      <c r="AB40" s="170" t="n"/>
    </row>
    <row r="41" ht="13.5" customHeight="1" s="426">
      <c r="A41" s="171" t="n"/>
      <c r="B41" s="75" t="inlineStr">
        <is>
          <t>FileUrl</t>
        </is>
      </c>
      <c r="C41" s="76" t="n"/>
      <c r="D41" s="77" t="n"/>
      <c r="E41" s="80" t="n"/>
      <c r="F41" s="148" t="n"/>
      <c r="G41" s="148" t="n"/>
      <c r="H41" s="148" t="n"/>
      <c r="I41" s="148" t="n"/>
      <c r="J41" s="148" t="n"/>
      <c r="K41" s="148" t="n"/>
      <c r="L41" s="148" t="n"/>
      <c r="M41" s="148" t="n"/>
      <c r="N41" s="148" t="n"/>
      <c r="O41" s="148" t="n"/>
      <c r="P41" s="148" t="n"/>
      <c r="Q41" s="148" t="n"/>
      <c r="R41" s="148" t="n"/>
      <c r="S41" s="148" t="n"/>
      <c r="T41" s="170" t="n"/>
      <c r="U41" s="148" t="n"/>
      <c r="V41" s="170" t="n"/>
      <c r="W41" s="170" t="n"/>
      <c r="X41" s="170" t="n"/>
      <c r="Y41" s="170" t="n"/>
      <c r="Z41" s="170" t="n"/>
      <c r="AA41" s="170" t="n"/>
      <c r="AB41" s="170" t="n"/>
    </row>
    <row r="42" ht="13.5" customHeight="1" s="426">
      <c r="A42" s="171" t="n"/>
      <c r="B42" s="75" t="n"/>
      <c r="C42" s="76" t="n"/>
      <c r="D42" s="278" t="inlineStr">
        <is>
          <t>http://example.com/file.pdf</t>
        </is>
      </c>
      <c r="E42" s="80" t="n"/>
      <c r="F42" s="148" t="inlineStr">
        <is>
          <t>O</t>
        </is>
      </c>
      <c r="G42" s="148" t="n"/>
      <c r="H42" s="148" t="inlineStr">
        <is>
          <t>O</t>
        </is>
      </c>
      <c r="I42" s="148" t="inlineStr">
        <is>
          <t>O</t>
        </is>
      </c>
      <c r="J42" s="148" t="inlineStr">
        <is>
          <t>O</t>
        </is>
      </c>
      <c r="K42" s="148" t="inlineStr">
        <is>
          <t>O</t>
        </is>
      </c>
      <c r="L42" s="148" t="inlineStr">
        <is>
          <t>O</t>
        </is>
      </c>
      <c r="M42" s="148" t="inlineStr">
        <is>
          <t>O</t>
        </is>
      </c>
      <c r="N42" s="148" t="inlineStr">
        <is>
          <t>O</t>
        </is>
      </c>
      <c r="O42" s="148" t="inlineStr">
        <is>
          <t>O</t>
        </is>
      </c>
      <c r="P42" s="148" t="inlineStr">
        <is>
          <t>O</t>
        </is>
      </c>
      <c r="Q42" s="148" t="inlineStr">
        <is>
          <t>O</t>
        </is>
      </c>
      <c r="R42" s="148" t="inlineStr">
        <is>
          <t>O</t>
        </is>
      </c>
      <c r="S42" s="148" t="inlineStr">
        <is>
          <t>O</t>
        </is>
      </c>
      <c r="T42" s="170" t="n"/>
      <c r="U42" s="170" t="n"/>
      <c r="V42" s="170" t="n"/>
      <c r="W42" s="170" t="n"/>
      <c r="X42" s="170" t="n"/>
      <c r="Y42" s="170" t="n"/>
      <c r="Z42" s="170" t="n"/>
      <c r="AA42" s="170" t="n"/>
      <c r="AB42" s="170" t="n"/>
    </row>
    <row r="43" ht="13.5" customHeight="1" s="426">
      <c r="A43" s="171" t="n"/>
      <c r="B43" s="75" t="n"/>
      <c r="C43" s="76" t="n"/>
      <c r="D43" s="77" t="inlineStr">
        <is>
          <t>null</t>
        </is>
      </c>
      <c r="E43" s="80" t="n"/>
      <c r="F43" s="148" t="n"/>
      <c r="G43" s="148" t="inlineStr">
        <is>
          <t>O</t>
        </is>
      </c>
      <c r="H43" s="148" t="n"/>
      <c r="I43" s="148" t="n"/>
      <c r="J43" s="148" t="n"/>
      <c r="K43" s="148" t="n"/>
      <c r="L43" s="148" t="n"/>
      <c r="M43" s="148" t="n"/>
      <c r="N43" s="148" t="n"/>
      <c r="O43" s="148" t="n"/>
      <c r="P43" s="148" t="n"/>
      <c r="Q43" s="148" t="n"/>
      <c r="R43" s="148" t="n"/>
      <c r="S43" s="148" t="n"/>
      <c r="T43" s="276" t="n"/>
      <c r="U43" s="276" t="n"/>
      <c r="V43" s="170" t="n"/>
      <c r="W43" s="170" t="n"/>
      <c r="X43" s="276" t="n"/>
      <c r="Y43" s="276" t="n"/>
      <c r="Z43" s="170" t="n"/>
      <c r="AA43" s="170" t="n"/>
      <c r="AB43" s="170" t="n"/>
    </row>
    <row r="44" ht="13.5" customHeight="1" s="426">
      <c r="A44" s="171" t="n"/>
      <c r="B44" s="75" t="inlineStr">
        <is>
          <t>Status</t>
        </is>
      </c>
      <c r="C44" s="76" t="n"/>
      <c r="D44" s="77" t="n"/>
      <c r="E44" s="80" t="n"/>
      <c r="F44" s="148" t="n"/>
      <c r="G44" s="148" t="n"/>
      <c r="H44" s="148" t="n"/>
      <c r="I44" s="148" t="n"/>
      <c r="J44" s="148" t="n"/>
      <c r="K44" s="148" t="n"/>
      <c r="L44" s="148" t="n"/>
      <c r="M44" s="148" t="n"/>
      <c r="N44" s="148" t="n"/>
      <c r="O44" s="148" t="n"/>
      <c r="P44" s="148" t="n"/>
      <c r="Q44" s="148" t="n"/>
      <c r="R44" s="148" t="n"/>
      <c r="S44" s="148" t="n"/>
      <c r="T44" s="148" t="n"/>
      <c r="U44" s="148" t="n"/>
      <c r="V44" s="170" t="n"/>
      <c r="W44" s="170" t="n"/>
      <c r="X44" s="148" t="n"/>
      <c r="Y44" s="148" t="n"/>
      <c r="Z44" s="170" t="n"/>
      <c r="AA44" s="170" t="n"/>
      <c r="AB44" s="170" t="n"/>
    </row>
    <row r="45" ht="13.5" customHeight="1" s="426">
      <c r="A45" s="171" t="n"/>
      <c r="B45" s="75" t="n"/>
      <c r="C45" s="76" t="n"/>
      <c r="D45" s="77" t="n">
        <v>1</v>
      </c>
      <c r="E45" s="80" t="n"/>
      <c r="F45" s="148" t="inlineStr">
        <is>
          <t>O</t>
        </is>
      </c>
      <c r="G45" s="148" t="n"/>
      <c r="H45" s="148" t="inlineStr">
        <is>
          <t>O</t>
        </is>
      </c>
      <c r="I45" s="148" t="inlineStr">
        <is>
          <t>O</t>
        </is>
      </c>
      <c r="J45" s="148" t="n"/>
      <c r="K45" s="148" t="inlineStr">
        <is>
          <t>O</t>
        </is>
      </c>
      <c r="L45" s="148" t="inlineStr">
        <is>
          <t>O</t>
        </is>
      </c>
      <c r="M45" s="148" t="inlineStr">
        <is>
          <t>O</t>
        </is>
      </c>
      <c r="N45" s="148" t="inlineStr">
        <is>
          <t>O</t>
        </is>
      </c>
      <c r="O45" s="148" t="inlineStr">
        <is>
          <t>O</t>
        </is>
      </c>
      <c r="P45" s="148" t="inlineStr">
        <is>
          <t>O</t>
        </is>
      </c>
      <c r="Q45" s="148" t="inlineStr">
        <is>
          <t>O</t>
        </is>
      </c>
      <c r="R45" s="148" t="inlineStr">
        <is>
          <t>O</t>
        </is>
      </c>
      <c r="S45" s="148" t="inlineStr">
        <is>
          <t>O</t>
        </is>
      </c>
      <c r="T45" s="170" t="n"/>
      <c r="U45" s="170" t="n"/>
      <c r="V45" s="170" t="n"/>
      <c r="W45" s="170" t="n"/>
      <c r="X45" s="170" t="n"/>
      <c r="Y45" s="170" t="n"/>
      <c r="Z45" s="170" t="n"/>
      <c r="AA45" s="170" t="n"/>
      <c r="AB45" s="170" t="n"/>
    </row>
    <row r="46" ht="13.5" customHeight="1" s="426">
      <c r="A46" s="171" t="n"/>
      <c r="B46" s="75" t="n"/>
      <c r="C46" s="76" t="n"/>
      <c r="D46" s="77" t="n">
        <v>9999</v>
      </c>
      <c r="E46" s="80" t="n"/>
      <c r="F46" s="148" t="n"/>
      <c r="G46" s="148" t="n"/>
      <c r="H46" s="148" t="n"/>
      <c r="I46" s="148" t="n"/>
      <c r="J46" s="148" t="inlineStr">
        <is>
          <t>O</t>
        </is>
      </c>
      <c r="K46" s="148" t="n"/>
      <c r="L46" s="148" t="n"/>
      <c r="M46" s="148" t="n"/>
      <c r="N46" s="148" t="n"/>
      <c r="O46" s="148" t="n"/>
      <c r="P46" s="148" t="n"/>
      <c r="Q46" s="148" t="n"/>
      <c r="R46" s="148" t="n"/>
      <c r="S46" s="148" t="n"/>
      <c r="T46" s="170" t="n"/>
      <c r="U46" s="170" t="n"/>
      <c r="V46" s="170" t="n"/>
      <c r="W46" s="170" t="n"/>
      <c r="X46" s="170" t="n"/>
      <c r="Y46" s="170" t="n"/>
      <c r="Z46" s="170" t="n"/>
      <c r="AA46" s="170" t="n"/>
      <c r="AB46" s="170" t="n"/>
    </row>
    <row r="47" ht="13.5" customHeight="1" s="426">
      <c r="A47" s="171" t="n"/>
      <c r="B47" s="75" t="n"/>
      <c r="C47" s="76" t="n"/>
      <c r="D47" s="77" t="inlineStr">
        <is>
          <t>null</t>
        </is>
      </c>
      <c r="E47" s="80" t="n"/>
      <c r="F47" s="148" t="n"/>
      <c r="G47" s="148" t="inlineStr">
        <is>
          <t>O</t>
        </is>
      </c>
      <c r="H47" s="148" t="n"/>
      <c r="I47" s="148" t="n"/>
      <c r="J47" s="148" t="n"/>
      <c r="K47" s="148" t="n"/>
      <c r="L47" s="148" t="n"/>
      <c r="M47" s="148" t="n"/>
      <c r="N47" s="148" t="n"/>
      <c r="O47" s="148" t="n"/>
      <c r="P47" s="148" t="n"/>
      <c r="Q47" s="148" t="n"/>
      <c r="R47" s="148" t="n"/>
      <c r="S47" s="148" t="n"/>
      <c r="T47" s="170" t="n"/>
      <c r="U47" s="170" t="n"/>
      <c r="V47" s="148" t="n"/>
      <c r="W47" s="170" t="n"/>
      <c r="X47" s="170" t="n"/>
      <c r="Y47" s="170" t="n"/>
      <c r="Z47" s="170" t="n"/>
      <c r="AA47" s="170" t="n"/>
      <c r="AB47" s="170" t="n"/>
    </row>
    <row r="48" ht="13.5" customHeight="1" s="426">
      <c r="A48" s="171" t="n"/>
      <c r="B48" s="75" t="inlineStr">
        <is>
          <t>borrowingDetails</t>
        </is>
      </c>
      <c r="C48" s="76" t="n"/>
      <c r="D48" s="77" t="n"/>
      <c r="E48" s="80" t="n"/>
      <c r="F48" s="148" t="n"/>
      <c r="G48" s="148" t="n"/>
      <c r="H48" s="148" t="n"/>
      <c r="I48" s="148" t="n"/>
      <c r="J48" s="148" t="n"/>
      <c r="K48" s="148" t="n"/>
      <c r="L48" s="148" t="n"/>
      <c r="M48" s="148" t="n"/>
      <c r="N48" s="148" t="n"/>
      <c r="O48" s="148" t="n"/>
      <c r="P48" s="148" t="n"/>
      <c r="Q48" s="148" t="n"/>
      <c r="R48" s="148" t="n"/>
      <c r="S48" s="148" t="n"/>
      <c r="T48" s="170" t="n"/>
      <c r="U48" s="170" t="n"/>
      <c r="V48" s="170" t="n"/>
      <c r="W48" s="148" t="n"/>
      <c r="X48" s="170" t="n"/>
      <c r="Y48" s="170" t="n"/>
      <c r="Z48" s="170" t="n"/>
      <c r="AA48" s="170" t="n"/>
      <c r="AB48" s="170" t="n"/>
    </row>
    <row r="49" ht="13.5" customHeight="1" s="426">
      <c r="A49" s="171" t="n"/>
      <c r="B49" s="75" t="n"/>
      <c r="C49" s="76" t="n"/>
      <c r="D49" s="77" t="inlineStr">
        <is>
          <t>{ {Guid.NewGuid() , 1}}</t>
        </is>
      </c>
      <c r="E49" s="80" t="n"/>
      <c r="F49" s="148" t="inlineStr">
        <is>
          <t>O</t>
        </is>
      </c>
      <c r="G49" s="148" t="n"/>
      <c r="H49" s="148" t="n"/>
      <c r="I49" s="148" t="inlineStr">
        <is>
          <t>O</t>
        </is>
      </c>
      <c r="J49" s="148" t="inlineStr">
        <is>
          <t>O</t>
        </is>
      </c>
      <c r="K49" s="148" t="inlineStr">
        <is>
          <t>O</t>
        </is>
      </c>
      <c r="L49" s="148" t="inlineStr">
        <is>
          <t>O</t>
        </is>
      </c>
      <c r="M49" s="148" t="inlineStr">
        <is>
          <t>O</t>
        </is>
      </c>
      <c r="N49" s="148" t="inlineStr">
        <is>
          <t>O</t>
        </is>
      </c>
      <c r="O49" s="148" t="inlineStr">
        <is>
          <t>O</t>
        </is>
      </c>
      <c r="P49" s="148" t="inlineStr">
        <is>
          <t>O</t>
        </is>
      </c>
      <c r="Q49" s="148" t="inlineStr">
        <is>
          <t>O</t>
        </is>
      </c>
      <c r="R49" s="148" t="n"/>
      <c r="S49" s="148" t="inlineStr">
        <is>
          <t>O</t>
        </is>
      </c>
      <c r="T49" s="170" t="n"/>
      <c r="U49" s="170" t="n"/>
      <c r="V49" s="170" t="n"/>
      <c r="W49" s="170" t="n"/>
      <c r="X49" s="170" t="n"/>
      <c r="Y49" s="170" t="n"/>
      <c r="Z49" s="170" t="n"/>
      <c r="AA49" s="170" t="n"/>
      <c r="AB49" s="170" t="n"/>
    </row>
    <row r="50" ht="13.5" customHeight="1" s="426">
      <c r="A50" s="171" t="n"/>
      <c r="B50" s="75" t="n"/>
      <c r="C50" s="76" t="n"/>
      <c r="D50" s="77" t="inlineStr">
        <is>
          <t>{ {"invalid id" , 2}}</t>
        </is>
      </c>
      <c r="E50" s="80" t="n"/>
      <c r="F50" s="148" t="n"/>
      <c r="G50" s="148" t="n"/>
      <c r="H50" s="148" t="n"/>
      <c r="I50" s="148" t="n"/>
      <c r="J50" s="148" t="n"/>
      <c r="K50" s="148" t="n"/>
      <c r="L50" s="148" t="n"/>
      <c r="M50" s="148" t="n"/>
      <c r="N50" s="148" t="n"/>
      <c r="O50" s="148" t="n"/>
      <c r="P50" s="148" t="n"/>
      <c r="Q50" s="148" t="n"/>
      <c r="R50" s="148" t="inlineStr">
        <is>
          <t>O</t>
        </is>
      </c>
      <c r="S50" s="148" t="n"/>
      <c r="T50" s="148" t="n"/>
      <c r="U50" s="148" t="n"/>
      <c r="V50" s="148" t="n"/>
      <c r="W50" s="148" t="n"/>
      <c r="X50" s="170" t="n"/>
      <c r="Y50" s="170" t="n"/>
      <c r="Z50" s="170" t="n"/>
      <c r="AA50" s="170" t="n"/>
      <c r="AB50" s="170" t="n"/>
    </row>
    <row r="51" ht="13.5" customHeight="1" s="426" thickBot="1">
      <c r="A51" s="171" t="n"/>
      <c r="B51" s="75" t="n"/>
      <c r="C51" s="76" t="n"/>
      <c r="D51" s="77" t="inlineStr">
        <is>
          <t>null</t>
        </is>
      </c>
      <c r="E51" s="80" t="n"/>
      <c r="F51" s="148" t="n"/>
      <c r="G51" s="148" t="inlineStr">
        <is>
          <t>O</t>
        </is>
      </c>
      <c r="H51" s="148" t="inlineStr">
        <is>
          <t>O</t>
        </is>
      </c>
      <c r="I51" s="148" t="n"/>
      <c r="J51" s="148" t="n"/>
      <c r="K51" s="148" t="n"/>
      <c r="L51" s="148" t="n"/>
      <c r="N51" s="148" t="n"/>
      <c r="O51" s="148" t="n"/>
      <c r="P51" s="148" t="n"/>
      <c r="Q51" s="148" t="n"/>
      <c r="R51" s="148" t="n"/>
      <c r="S51" s="148" t="n"/>
      <c r="T51" s="170" t="n"/>
      <c r="U51" s="170" t="n"/>
      <c r="V51" s="170" t="n"/>
      <c r="W51" s="170" t="n"/>
      <c r="X51" s="170" t="n"/>
      <c r="Y51" s="170" t="n"/>
      <c r="Z51" s="170" t="n"/>
      <c r="AA51" s="170" t="n"/>
      <c r="AB51" s="170" t="n"/>
    </row>
    <row r="52" ht="71.5" customHeight="1" s="426">
      <c r="A52" s="182" t="inlineStr">
        <is>
          <t>Confirm</t>
        </is>
      </c>
      <c r="B52" s="208" t="inlineStr">
        <is>
          <t>Return</t>
        </is>
      </c>
      <c r="C52" s="239" t="n"/>
      <c r="D52" s="210" t="n"/>
      <c r="E52" s="86" t="n"/>
      <c r="F52" s="87" t="n"/>
      <c r="G52" s="87" t="n"/>
      <c r="H52" s="87" t="n"/>
      <c r="I52" s="87" t="n"/>
      <c r="J52" s="87" t="n"/>
      <c r="K52" s="87" t="n"/>
      <c r="L52" s="87" t="n"/>
      <c r="M52" s="87" t="n"/>
      <c r="N52" s="87" t="n"/>
      <c r="O52" s="87" t="n"/>
      <c r="P52" s="87" t="n"/>
      <c r="Q52" s="87" t="n"/>
      <c r="R52" s="87" t="n"/>
      <c r="S52" s="87" t="n"/>
      <c r="T52" s="196" t="n"/>
      <c r="U52" s="196" t="n"/>
      <c r="V52" s="196" t="n"/>
      <c r="W52" s="196" t="n"/>
      <c r="X52" s="196" t="n"/>
      <c r="Y52" s="196" t="n"/>
      <c r="Z52" s="196" t="n"/>
      <c r="AA52" s="196" t="n"/>
      <c r="AB52" s="196" t="n"/>
    </row>
    <row r="53" ht="16" customHeight="1" s="426">
      <c r="A53" s="181" t="n"/>
      <c r="B53" s="208" t="n"/>
      <c r="C53" s="209" t="n"/>
      <c r="D53" s="210" t="inlineStr">
        <is>
          <t>T</t>
        </is>
      </c>
      <c r="E53" s="91" t="n"/>
      <c r="F53" s="148" t="inlineStr">
        <is>
          <t>O</t>
        </is>
      </c>
      <c r="G53" s="79" t="n"/>
      <c r="H53" s="79" t="n"/>
      <c r="I53" s="79" t="n"/>
      <c r="J53" s="79" t="n"/>
      <c r="K53" s="79" t="n"/>
      <c r="L53" s="148" t="n"/>
      <c r="M53" s="148" t="n"/>
      <c r="N53" s="148" t="n"/>
      <c r="O53" s="148" t="n"/>
      <c r="P53" s="148" t="n"/>
      <c r="Q53" s="148" t="n"/>
      <c r="R53" s="148" t="n"/>
      <c r="S53" s="79" t="n"/>
      <c r="T53" s="148" t="n"/>
      <c r="U53" s="195" t="n"/>
      <c r="V53" s="148" t="n"/>
      <c r="W53" s="195" t="n"/>
      <c r="X53" s="148" t="n"/>
      <c r="Y53" s="195" t="n"/>
      <c r="Z53" s="195" t="n"/>
      <c r="AA53" s="195" t="n"/>
      <c r="AB53" s="195" t="n"/>
    </row>
    <row r="54" ht="16" customHeight="1" s="426">
      <c r="A54" s="181" t="n"/>
      <c r="B54" s="126" t="n"/>
      <c r="C54" s="89" t="n"/>
      <c r="D54" s="90" t="inlineStr">
        <is>
          <t>F</t>
        </is>
      </c>
      <c r="E54" s="91" t="n"/>
      <c r="F54" s="79" t="n"/>
      <c r="G54" s="148" t="inlineStr">
        <is>
          <t>O</t>
        </is>
      </c>
      <c r="H54" s="148" t="inlineStr">
        <is>
          <t>O</t>
        </is>
      </c>
      <c r="I54" s="148" t="inlineStr">
        <is>
          <t>O</t>
        </is>
      </c>
      <c r="J54" s="148" t="inlineStr">
        <is>
          <t>O</t>
        </is>
      </c>
      <c r="K54" s="148" t="inlineStr">
        <is>
          <t>O</t>
        </is>
      </c>
      <c r="L54" s="148" t="inlineStr">
        <is>
          <t>O</t>
        </is>
      </c>
      <c r="M54" s="148" t="inlineStr">
        <is>
          <t>O</t>
        </is>
      </c>
      <c r="N54" s="148" t="inlineStr">
        <is>
          <t>O</t>
        </is>
      </c>
      <c r="O54" s="148" t="inlineStr">
        <is>
          <t>O</t>
        </is>
      </c>
      <c r="P54" s="148" t="inlineStr">
        <is>
          <t>O</t>
        </is>
      </c>
      <c r="Q54" s="148" t="inlineStr">
        <is>
          <t>O</t>
        </is>
      </c>
      <c r="R54" s="148" t="inlineStr">
        <is>
          <t>O</t>
        </is>
      </c>
      <c r="S54" s="148" t="inlineStr">
        <is>
          <t>O</t>
        </is>
      </c>
      <c r="T54" s="195" t="n"/>
      <c r="U54" s="148" t="n"/>
      <c r="V54" s="195" t="n"/>
      <c r="W54" s="148" t="n"/>
      <c r="X54" s="195" t="n"/>
      <c r="Y54" s="148" t="n"/>
      <c r="Z54" s="195" t="n"/>
      <c r="AA54" s="195" t="n"/>
      <c r="AB54" s="195" t="n"/>
    </row>
    <row r="55" ht="13.5" customHeight="1" s="426">
      <c r="A55" s="181" t="n"/>
      <c r="B55" s="116" t="inlineStr">
        <is>
          <t>Exception</t>
        </is>
      </c>
      <c r="C55" s="120" t="n"/>
      <c r="D55" s="118" t="n"/>
      <c r="E55" s="91" t="n"/>
      <c r="F55" s="79" t="n"/>
      <c r="G55" s="79" t="n"/>
      <c r="H55" s="79" t="n"/>
      <c r="I55" s="79" t="n"/>
      <c r="J55" s="79" t="n"/>
      <c r="K55" s="79" t="n"/>
      <c r="L55" s="79" t="n"/>
      <c r="M55" s="79" t="n"/>
      <c r="N55" s="79" t="n"/>
      <c r="O55" s="79" t="n"/>
      <c r="P55" s="79" t="n"/>
      <c r="Q55" s="79" t="n"/>
      <c r="R55" s="79" t="n"/>
      <c r="S55" s="79" t="n"/>
      <c r="T55" s="195" t="n"/>
      <c r="U55" s="195" t="n"/>
      <c r="V55" s="195" t="n"/>
      <c r="W55" s="195" t="n"/>
      <c r="X55" s="195" t="n"/>
      <c r="Y55" s="195" t="n"/>
      <c r="Z55" s="195" t="n"/>
      <c r="AA55" s="195" t="n"/>
      <c r="AB55" s="195" t="n"/>
    </row>
    <row r="56" ht="13.5" customHeight="1" s="426">
      <c r="A56" s="181" t="n"/>
      <c r="B56" s="116" t="n"/>
      <c r="C56" s="120" t="n"/>
      <c r="D56" s="118" t="inlineStr">
        <is>
          <t>InvalidOperationException</t>
        </is>
      </c>
      <c r="E56" s="91" t="n"/>
      <c r="F56" s="79" t="n"/>
      <c r="G56" s="79" t="n"/>
      <c r="H56" s="79" t="n"/>
      <c r="I56" s="148" t="n"/>
      <c r="J56" s="79" t="n"/>
      <c r="K56" s="148" t="n"/>
      <c r="L56" s="79" t="n"/>
      <c r="M56" s="79" t="n"/>
      <c r="N56" s="79" t="n"/>
      <c r="O56" s="148" t="n"/>
      <c r="P56" s="79" t="n"/>
      <c r="Q56" s="79" t="n"/>
      <c r="R56" s="148" t="n"/>
      <c r="S56" s="148" t="inlineStr">
        <is>
          <t>O</t>
        </is>
      </c>
      <c r="T56" s="195" t="n"/>
      <c r="U56" s="195" t="n"/>
      <c r="V56" s="195" t="n"/>
      <c r="W56" s="195" t="n"/>
      <c r="X56" s="195" t="n"/>
      <c r="Y56" s="195" t="n"/>
      <c r="Z56" s="195" t="n"/>
      <c r="AA56" s="195" t="n"/>
      <c r="AB56" s="195" t="n"/>
    </row>
    <row r="57" ht="13.5" customHeight="1" s="426">
      <c r="A57" s="181" t="n"/>
      <c r="B57" s="116" t="n"/>
      <c r="C57" s="120" t="n"/>
      <c r="D57" s="118" t="inlineStr">
        <is>
          <t>ArguementNullException</t>
        </is>
      </c>
      <c r="E57" s="91" t="n"/>
      <c r="F57" s="79" t="n"/>
      <c r="G57" s="79" t="n"/>
      <c r="H57" s="148" t="inlineStr">
        <is>
          <t>O</t>
        </is>
      </c>
      <c r="I57" s="148" t="n"/>
      <c r="J57" s="79" t="n"/>
      <c r="K57" s="148" t="n"/>
      <c r="L57" s="148" t="inlineStr">
        <is>
          <t>O</t>
        </is>
      </c>
      <c r="M57" s="148" t="inlineStr">
        <is>
          <t>O</t>
        </is>
      </c>
      <c r="N57" s="148" t="inlineStr">
        <is>
          <t>O</t>
        </is>
      </c>
      <c r="O57" s="148" t="inlineStr">
        <is>
          <t>O</t>
        </is>
      </c>
      <c r="P57" s="79" t="n"/>
      <c r="Q57" s="79" t="n"/>
      <c r="R57" s="148" t="n"/>
      <c r="S57" s="79" t="n"/>
      <c r="T57" s="195" t="n"/>
      <c r="U57" s="195" t="n"/>
      <c r="V57" s="195" t="n"/>
      <c r="W57" s="195" t="n"/>
      <c r="X57" s="195" t="n"/>
      <c r="Y57" s="195" t="n"/>
      <c r="Z57" s="195" t="n"/>
      <c r="AA57" s="195" t="n"/>
      <c r="AB57" s="195" t="n"/>
    </row>
    <row r="58" ht="13.5" customHeight="1" s="426">
      <c r="A58" s="181" t="n"/>
      <c r="B58" s="88" t="inlineStr">
        <is>
          <t>Log message</t>
        </is>
      </c>
      <c r="C58" s="89" t="n"/>
      <c r="D58" s="90" t="n"/>
      <c r="E58" s="91" t="n"/>
      <c r="F58" s="79" t="n"/>
      <c r="G58" s="79" t="n"/>
      <c r="H58" s="79" t="n"/>
      <c r="I58" s="79" t="n"/>
      <c r="J58" s="79" t="n"/>
      <c r="K58" s="79" t="n"/>
      <c r="L58" s="79" t="n"/>
      <c r="M58" s="79" t="n"/>
      <c r="N58" s="79" t="n"/>
      <c r="O58" s="79" t="n"/>
      <c r="P58" s="79" t="n"/>
      <c r="Q58" s="79" t="n"/>
      <c r="R58" s="79" t="n"/>
      <c r="S58" s="79" t="n"/>
      <c r="T58" s="195" t="n"/>
      <c r="U58" s="195" t="n"/>
      <c r="V58" s="195" t="n"/>
      <c r="W58" s="195" t="n"/>
      <c r="X58" s="195" t="n"/>
      <c r="Y58" s="195" t="n"/>
      <c r="Z58" s="195" t="n"/>
      <c r="AA58" s="195" t="n"/>
      <c r="AB58" s="195" t="n"/>
    </row>
    <row r="59" ht="13.5" customHeight="1" s="426">
      <c r="A59" s="181" t="n"/>
      <c r="B59" s="88" t="n"/>
      <c r="C59" s="89" t="n"/>
      <c r="D59" s="90" t="inlineStr">
        <is>
          <t>"Expected CreateBorrowRequest to return true for valid input."</t>
        </is>
      </c>
      <c r="E59" s="91" t="n"/>
      <c r="F59" s="148" t="inlineStr">
        <is>
          <t>O</t>
        </is>
      </c>
      <c r="G59" s="79" t="n"/>
      <c r="H59" s="79" t="n"/>
      <c r="I59" s="79" t="n"/>
      <c r="J59" s="79" t="n"/>
      <c r="K59" s="79" t="n"/>
      <c r="L59" s="79" t="n"/>
      <c r="M59" s="79" t="n"/>
      <c r="N59" s="79" t="n"/>
      <c r="O59" s="79" t="n"/>
      <c r="P59" s="79" t="n"/>
      <c r="Q59" s="79" t="n"/>
      <c r="R59" s="79" t="n"/>
      <c r="S59" s="79" t="n"/>
      <c r="T59" s="195" t="n"/>
      <c r="U59" s="195" t="n"/>
      <c r="V59" s="195" t="n"/>
      <c r="W59" s="195" t="n"/>
      <c r="X59" s="195" t="n"/>
      <c r="Y59" s="195" t="n"/>
      <c r="Z59" s="195" t="n"/>
      <c r="AA59" s="195" t="n"/>
      <c r="AB59" s="195" t="n"/>
    </row>
    <row r="60" ht="13.5" customHeight="1" s="426">
      <c r="A60" s="181" t="n"/>
      <c r="B60" s="88" t="n"/>
      <c r="C60" s="89" t="n"/>
      <c r="D60" s="90" t="inlineStr">
        <is>
          <t>"Expected CreateBorrowRequest to return false when DTO is null."</t>
        </is>
      </c>
      <c r="E60" s="91" t="n"/>
      <c r="F60" s="79" t="n"/>
      <c r="G60" s="148" t="inlineStr">
        <is>
          <t>O</t>
        </is>
      </c>
      <c r="H60" s="79" t="n"/>
      <c r="I60" s="79" t="n"/>
      <c r="J60" s="79" t="n"/>
      <c r="K60" s="79" t="n"/>
      <c r="L60" s="79" t="n"/>
      <c r="M60" s="79" t="n"/>
      <c r="N60" s="79" t="n"/>
      <c r="O60" s="79" t="n"/>
      <c r="P60" s="79" t="n"/>
      <c r="Q60" s="79" t="n"/>
      <c r="R60" s="79" t="n"/>
      <c r="S60" s="79" t="n"/>
      <c r="T60" s="195" t="n"/>
      <c r="U60" s="195" t="n"/>
      <c r="V60" s="195" t="n"/>
      <c r="W60" s="195" t="n"/>
      <c r="X60" s="195" t="n"/>
      <c r="Y60" s="195" t="n"/>
      <c r="Z60" s="195" t="n"/>
      <c r="AA60" s="195" t="n"/>
      <c r="AB60" s="195" t="n"/>
    </row>
    <row r="61" ht="13.5" customHeight="1" s="426">
      <c r="A61" s="181" t="n"/>
      <c r="B61" s="88" t="n"/>
      <c r="C61" s="89" t="n"/>
      <c r="D61" s="90" t="inlineStr">
        <is>
          <t>"Expected CreateBorrowRequest to return false when borrowing details are null."</t>
        </is>
      </c>
      <c r="E61" s="91" t="n"/>
      <c r="F61" s="79" t="n"/>
      <c r="G61" s="79" t="n"/>
      <c r="H61" s="148" t="inlineStr">
        <is>
          <t>O</t>
        </is>
      </c>
      <c r="I61" s="79" t="n"/>
      <c r="J61" s="79" t="n"/>
      <c r="K61" s="79" t="n"/>
      <c r="L61" s="79" t="n"/>
      <c r="M61" s="79" t="n"/>
      <c r="N61" s="79" t="n"/>
      <c r="O61" s="79" t="n"/>
      <c r="P61" s="79" t="n"/>
      <c r="Q61" s="79" t="n"/>
      <c r="R61" s="79" t="n"/>
      <c r="S61" s="79" t="n"/>
      <c r="T61" s="195" t="n"/>
      <c r="U61" s="195" t="n"/>
      <c r="V61" s="195" t="n"/>
      <c r="W61" s="195" t="n"/>
      <c r="X61" s="195" t="n"/>
      <c r="Y61" s="195" t="n"/>
      <c r="Z61" s="195" t="n"/>
      <c r="AA61" s="195" t="n"/>
      <c r="AB61" s="195" t="n"/>
    </row>
    <row r="62" ht="13.5" customHeight="1" s="426">
      <c r="A62" s="181" t="n"/>
      <c r="B62" s="88" t="n"/>
      <c r="C62" s="89" t="n"/>
      <c r="D62" s="90" t="inlineStr">
        <is>
          <t>"Expected CreateBorrowRequest to return false when EndTime is before StartTime."</t>
        </is>
      </c>
      <c r="E62" s="91" t="n"/>
      <c r="F62" s="79" t="n"/>
      <c r="G62" s="79" t="n"/>
      <c r="H62" s="79" t="n"/>
      <c r="I62" s="148" t="inlineStr">
        <is>
          <t>O</t>
        </is>
      </c>
      <c r="J62" s="79" t="n"/>
      <c r="K62" s="79" t="n"/>
      <c r="L62" s="79" t="n"/>
      <c r="M62" s="79" t="n"/>
      <c r="N62" s="79" t="n"/>
      <c r="O62" s="79" t="n"/>
      <c r="P62" s="79" t="n"/>
      <c r="Q62" s="79" t="n"/>
      <c r="R62" s="79" t="n"/>
      <c r="S62" s="79" t="n"/>
      <c r="T62" s="195" t="n"/>
      <c r="U62" s="195" t="n"/>
      <c r="V62" s="195" t="n"/>
      <c r="W62" s="195" t="n"/>
      <c r="X62" s="195" t="n"/>
      <c r="Y62" s="195" t="n"/>
      <c r="Z62" s="195" t="n"/>
      <c r="AA62" s="195" t="n"/>
      <c r="AB62" s="195" t="n"/>
    </row>
    <row r="63" ht="13.5" customHeight="1" s="426">
      <c r="A63" s="181" t="n"/>
      <c r="B63" s="88" t="n"/>
      <c r="C63" s="92" t="n"/>
      <c r="D63" s="90" t="inlineStr">
        <is>
          <t>"Expected CreateBorrowRequest to return false for an invalid status."</t>
        </is>
      </c>
      <c r="E63" s="93" t="n"/>
      <c r="F63" s="148" t="n"/>
      <c r="G63" s="79" t="n"/>
      <c r="H63" s="79" t="n"/>
      <c r="I63" s="79" t="n"/>
      <c r="J63" s="148" t="inlineStr">
        <is>
          <t>O</t>
        </is>
      </c>
      <c r="K63" s="79" t="n"/>
      <c r="L63" s="79" t="n"/>
      <c r="M63" s="79" t="n"/>
      <c r="N63" s="79" t="n"/>
      <c r="O63" s="79" t="n"/>
      <c r="P63" s="79" t="n"/>
      <c r="Q63" s="79" t="n"/>
      <c r="R63" s="79" t="n"/>
      <c r="S63" s="79" t="n"/>
      <c r="T63" s="195" t="n"/>
      <c r="U63" s="195" t="n"/>
      <c r="V63" s="195" t="n"/>
      <c r="W63" s="195" t="n"/>
      <c r="X63" s="195" t="n"/>
      <c r="Y63" s="195" t="n"/>
      <c r="Z63" s="195" t="n"/>
      <c r="AA63" s="195" t="n"/>
      <c r="AB63" s="195" t="n"/>
    </row>
    <row r="64" ht="13.5" customHeight="1" s="426">
      <c r="A64" s="181" t="n"/>
      <c r="B64" s="88" t="n"/>
      <c r="C64" s="92" t="n"/>
      <c r="D64" s="90" t="inlineStr">
        <is>
          <t>"Expected CreateBorrowRequest to return false when Department does not exist."</t>
        </is>
      </c>
      <c r="E64" s="93" t="n"/>
      <c r="F64" s="148" t="n"/>
      <c r="G64" s="79" t="n"/>
      <c r="H64" s="79" t="n"/>
      <c r="I64" s="79" t="n"/>
      <c r="J64" s="148" t="n"/>
      <c r="K64" s="148" t="inlineStr">
        <is>
          <t>O</t>
        </is>
      </c>
      <c r="L64" s="79" t="n"/>
      <c r="M64" s="79" t="n"/>
      <c r="N64" s="79" t="n"/>
      <c r="O64" s="79" t="n"/>
      <c r="P64" s="79" t="n"/>
      <c r="Q64" s="79" t="n"/>
      <c r="R64" s="79" t="n"/>
      <c r="S64" s="79" t="n"/>
      <c r="T64" s="195" t="n"/>
      <c r="U64" s="195" t="n"/>
      <c r="V64" s="195" t="n"/>
      <c r="W64" s="195" t="n"/>
      <c r="X64" s="195" t="n"/>
      <c r="Y64" s="195" t="n"/>
      <c r="Z64" s="195" t="n"/>
      <c r="AA64" s="195" t="n"/>
      <c r="AB64" s="195" t="n"/>
    </row>
    <row r="65" ht="13.5" customHeight="1" s="426">
      <c r="A65" s="181" t="n"/>
      <c r="B65" s="88" t="n"/>
      <c r="C65" s="92" t="n"/>
      <c r="D65" s="90" t="inlineStr">
        <is>
          <t>"Expected CreateBorrowRequest to return false when BorrowerId is null or invalid."</t>
        </is>
      </c>
      <c r="E65" s="93" t="n"/>
      <c r="F65" s="148" t="n"/>
      <c r="G65" s="79" t="n"/>
      <c r="H65" s="79" t="n"/>
      <c r="I65" s="79" t="n"/>
      <c r="J65" s="148" t="n"/>
      <c r="K65" s="79" t="n"/>
      <c r="L65" s="148" t="inlineStr">
        <is>
          <t>O</t>
        </is>
      </c>
      <c r="M65" s="79" t="n"/>
      <c r="N65" s="79" t="n"/>
      <c r="O65" s="79" t="n"/>
      <c r="P65" s="79" t="n"/>
      <c r="Q65" s="79" t="n"/>
      <c r="R65" s="79" t="n"/>
      <c r="S65" s="79" t="n"/>
      <c r="T65" s="195" t="n"/>
      <c r="U65" s="195" t="n"/>
      <c r="V65" s="195" t="n"/>
      <c r="W65" s="195" t="n"/>
      <c r="X65" s="195" t="n"/>
      <c r="Y65" s="195" t="n"/>
      <c r="Z65" s="195" t="n"/>
      <c r="AA65" s="195" t="n"/>
      <c r="AB65" s="195" t="n"/>
    </row>
    <row r="66" ht="13.5" customHeight="1" s="426">
      <c r="A66" s="181" t="n"/>
      <c r="B66" s="88" t="n"/>
      <c r="C66" s="92" t="n"/>
      <c r="D66" s="90" t="inlineStr">
        <is>
          <t>"Expected CreateBorrowRequest to return false when InstructorId is null or invalid."</t>
        </is>
      </c>
      <c r="E66" s="93" t="n"/>
      <c r="F66" s="148" t="n"/>
      <c r="G66" s="79" t="n"/>
      <c r="H66" s="79" t="n"/>
      <c r="I66" s="79" t="n"/>
      <c r="J66" s="148" t="n"/>
      <c r="K66" s="79" t="n"/>
      <c r="L66" s="148" t="n"/>
      <c r="M66" s="148" t="inlineStr">
        <is>
          <t>O</t>
        </is>
      </c>
      <c r="N66" s="79" t="n"/>
      <c r="O66" s="79" t="n"/>
      <c r="P66" s="79" t="n"/>
      <c r="Q66" s="79" t="n"/>
      <c r="R66" s="79" t="n"/>
      <c r="S66" s="79" t="n"/>
      <c r="T66" s="195" t="n"/>
      <c r="U66" s="195" t="n"/>
      <c r="V66" s="195" t="n"/>
      <c r="W66" s="195" t="n"/>
      <c r="X66" s="195" t="n"/>
      <c r="Y66" s="195" t="n"/>
      <c r="Z66" s="195" t="n"/>
      <c r="AA66" s="195" t="n"/>
      <c r="AB66" s="195" t="n"/>
    </row>
    <row r="67" ht="13.5" customHeight="1" s="426">
      <c r="A67" s="181" t="n"/>
      <c r="B67" s="88" t="n"/>
      <c r="C67" s="92" t="n"/>
      <c r="D67" s="90" t="inlineStr">
        <is>
          <t>"Expected CreateBorrowRequest to return false when StartTime is null or invalid."</t>
        </is>
      </c>
      <c r="E67" s="93" t="n"/>
      <c r="F67" s="148" t="n"/>
      <c r="G67" s="79" t="n"/>
      <c r="H67" s="79" t="n"/>
      <c r="I67" s="79" t="n"/>
      <c r="J67" s="148" t="n"/>
      <c r="K67" s="79" t="n"/>
      <c r="L67" s="148" t="n"/>
      <c r="M67" s="79" t="n"/>
      <c r="N67" s="148" t="inlineStr">
        <is>
          <t>O</t>
        </is>
      </c>
      <c r="O67" s="79" t="n"/>
      <c r="P67" s="79" t="n"/>
      <c r="Q67" s="79" t="n"/>
      <c r="R67" s="79" t="n"/>
      <c r="S67" s="79" t="n"/>
      <c r="T67" s="195" t="n"/>
      <c r="U67" s="195" t="n"/>
      <c r="V67" s="195" t="n"/>
      <c r="W67" s="195" t="n"/>
      <c r="X67" s="195" t="n"/>
      <c r="Y67" s="195" t="n"/>
      <c r="Z67" s="195" t="n"/>
      <c r="AA67" s="195" t="n"/>
      <c r="AB67" s="195" t="n"/>
    </row>
    <row r="68" ht="13.5" customHeight="1" s="426">
      <c r="A68" s="181" t="n"/>
      <c r="B68" s="88" t="n"/>
      <c r="C68" s="92" t="n"/>
      <c r="D68" s="90" t="inlineStr">
        <is>
          <t>"Expected CreateBorrowRequest to return false when EndTime is null or invalid."</t>
        </is>
      </c>
      <c r="E68" s="93" t="n"/>
      <c r="F68" s="148" t="n"/>
      <c r="G68" s="79" t="n"/>
      <c r="H68" s="79" t="n"/>
      <c r="I68" s="79" t="n"/>
      <c r="J68" s="148" t="n"/>
      <c r="K68" s="79" t="n"/>
      <c r="L68" s="148" t="n"/>
      <c r="M68" s="79" t="n"/>
      <c r="N68" s="79" t="n"/>
      <c r="O68" s="148" t="inlineStr">
        <is>
          <t>O</t>
        </is>
      </c>
      <c r="P68" s="79" t="n"/>
      <c r="Q68" s="79" t="n"/>
      <c r="R68" s="79" t="n"/>
      <c r="S68" s="79" t="n"/>
      <c r="T68" s="195" t="n"/>
      <c r="U68" s="195" t="n"/>
      <c r="V68" s="195" t="n"/>
      <c r="W68" s="195" t="n"/>
      <c r="X68" s="195" t="n"/>
      <c r="Y68" s="195" t="n"/>
      <c r="Z68" s="195" t="n"/>
      <c r="AA68" s="195" t="n"/>
      <c r="AB68" s="195" t="n"/>
    </row>
    <row r="69" ht="13.5" customHeight="1" s="426">
      <c r="A69" s="181" t="n"/>
      <c r="B69" s="88" t="n"/>
      <c r="C69" s="92" t="n"/>
      <c r="D69" s="90" t="inlineStr">
        <is>
          <t>"Expected CreateBorrowRequest to return false when FacilityId does not exist."</t>
        </is>
      </c>
      <c r="E69" s="93" t="n"/>
      <c r="F69" s="148" t="n"/>
      <c r="G69" s="79" t="n"/>
      <c r="H69" s="79" t="n"/>
      <c r="I69" s="79" t="n"/>
      <c r="J69" s="148" t="n"/>
      <c r="K69" s="79" t="n"/>
      <c r="L69" s="148" t="n"/>
      <c r="M69" s="79" t="n"/>
      <c r="N69" s="79" t="n"/>
      <c r="O69" s="79" t="n"/>
      <c r="P69" s="148" t="n"/>
      <c r="Q69" s="79" t="n"/>
      <c r="R69" s="148" t="inlineStr">
        <is>
          <t>O</t>
        </is>
      </c>
      <c r="S69" s="148" t="n"/>
      <c r="T69" s="195" t="n"/>
      <c r="U69" s="195" t="n"/>
      <c r="V69" s="195" t="n"/>
      <c r="W69" s="195" t="n"/>
      <c r="X69" s="195" t="n"/>
      <c r="Y69" s="195" t="n"/>
      <c r="Z69" s="195" t="n"/>
      <c r="AA69" s="195" t="n"/>
      <c r="AB69" s="195" t="n"/>
    </row>
    <row r="70" ht="13.5" customHeight="1" s="426">
      <c r="A70" s="181" t="n"/>
      <c r="B70" s="88" t="n"/>
      <c r="C70" s="92" t="n"/>
      <c r="D70" s="90" t="inlineStr">
        <is>
          <t>"Expected CreateBorrowRequest to return false when BorrowerId does not exist."</t>
        </is>
      </c>
      <c r="E70" s="93" t="n"/>
      <c r="F70" s="148" t="n"/>
      <c r="G70" s="79" t="n"/>
      <c r="H70" s="79" t="n"/>
      <c r="I70" s="79" t="n"/>
      <c r="J70" s="148" t="n"/>
      <c r="K70" s="79" t="n"/>
      <c r="L70" s="79" t="n"/>
      <c r="M70" s="148" t="n"/>
      <c r="N70" s="79" t="n"/>
      <c r="O70" s="79" t="n"/>
      <c r="P70" s="148" t="inlineStr">
        <is>
          <t>O</t>
        </is>
      </c>
      <c r="Q70" s="148" t="n"/>
      <c r="R70" s="79" t="n"/>
      <c r="S70" s="79" t="n"/>
      <c r="T70" s="195" t="n"/>
      <c r="U70" s="195" t="n"/>
      <c r="V70" s="195" t="n"/>
      <c r="W70" s="195" t="n"/>
      <c r="X70" s="195" t="n"/>
      <c r="Y70" s="195" t="n"/>
      <c r="Z70" s="195" t="n"/>
      <c r="AA70" s="195" t="n"/>
      <c r="AB70" s="195" t="n"/>
    </row>
    <row r="71" ht="13.5" customHeight="1" s="426">
      <c r="A71" s="181" t="n"/>
      <c r="B71" s="88" t="n"/>
      <c r="C71" s="92" t="n"/>
      <c r="D71" s="90" t="inlineStr">
        <is>
          <t>"Expected CreateBorrowRequest to return false when InstructorId does not exist."</t>
        </is>
      </c>
      <c r="E71" s="93" t="n"/>
      <c r="F71" s="148" t="n"/>
      <c r="G71" s="79" t="n"/>
      <c r="H71" s="79" t="n"/>
      <c r="I71" s="79" t="n"/>
      <c r="J71" s="148" t="n"/>
      <c r="K71" s="79" t="n"/>
      <c r="L71" s="79" t="n"/>
      <c r="M71" s="79" t="n"/>
      <c r="N71" s="148" t="n"/>
      <c r="O71" s="79" t="n"/>
      <c r="P71" s="79" t="n"/>
      <c r="Q71" s="148" t="inlineStr">
        <is>
          <t>O</t>
        </is>
      </c>
      <c r="R71" s="148" t="n"/>
      <c r="S71" s="79" t="n"/>
      <c r="T71" s="195" t="n"/>
      <c r="U71" s="195" t="n"/>
      <c r="V71" s="195" t="n"/>
      <c r="W71" s="195" t="n"/>
      <c r="X71" s="195" t="n"/>
      <c r="Y71" s="195" t="n"/>
      <c r="Z71" s="195" t="n"/>
      <c r="AA71" s="195" t="n"/>
      <c r="AB71" s="195" t="n"/>
    </row>
    <row r="72" ht="13.5" customHeight="1" s="426" thickBot="1">
      <c r="A72" s="181" t="n"/>
      <c r="B72" s="88" t="n"/>
      <c r="C72" s="92" t="n"/>
      <c r="D72" s="90" t="inlineStr">
        <is>
          <t>"Database connection failed"</t>
        </is>
      </c>
      <c r="E72" s="93" t="n"/>
      <c r="F72" s="148" t="n"/>
      <c r="G72" s="79" t="n"/>
      <c r="H72" s="79" t="n"/>
      <c r="I72" s="79" t="n"/>
      <c r="J72" s="148" t="n"/>
      <c r="K72" s="79" t="n"/>
      <c r="L72" s="79" t="n"/>
      <c r="M72" s="79" t="n"/>
      <c r="N72" s="79" t="n"/>
      <c r="O72" s="148" t="n"/>
      <c r="P72" s="79" t="n"/>
      <c r="Q72" s="79" t="n"/>
      <c r="R72" s="79" t="n"/>
      <c r="S72" s="148" t="inlineStr">
        <is>
          <t>O</t>
        </is>
      </c>
      <c r="T72" s="195" t="n"/>
      <c r="U72" s="195" t="n"/>
      <c r="V72" s="195" t="n"/>
      <c r="W72" s="195" t="n"/>
      <c r="X72" s="195" t="n"/>
      <c r="Y72" s="195" t="n"/>
      <c r="Z72" s="195" t="n"/>
      <c r="AA72" s="195" t="n"/>
      <c r="AB72" s="195" t="n"/>
    </row>
    <row r="73" ht="13.5" customHeight="1" s="426" thickTop="1">
      <c r="A73" s="182" t="inlineStr">
        <is>
          <t>Result</t>
        </is>
      </c>
      <c r="B73" s="331" t="inlineStr">
        <is>
          <t>Type(N : Normal, A : Abnormal, B : Boundary)</t>
        </is>
      </c>
      <c r="C73" s="472" t="n"/>
      <c r="D73" s="473" t="n"/>
      <c r="E73" s="331" t="n"/>
      <c r="F73" s="188" t="inlineStr">
        <is>
          <t>N</t>
        </is>
      </c>
      <c r="G73" s="188" t="inlineStr">
        <is>
          <t>N</t>
        </is>
      </c>
      <c r="H73" s="188" t="inlineStr">
        <is>
          <t>A</t>
        </is>
      </c>
      <c r="I73" s="188" t="inlineStr">
        <is>
          <t>N</t>
        </is>
      </c>
      <c r="J73" s="188" t="inlineStr">
        <is>
          <t>N</t>
        </is>
      </c>
      <c r="K73" s="188" t="inlineStr">
        <is>
          <t>N</t>
        </is>
      </c>
      <c r="L73" s="188" t="inlineStr">
        <is>
          <t>A</t>
        </is>
      </c>
      <c r="M73" s="188" t="inlineStr">
        <is>
          <t>A</t>
        </is>
      </c>
      <c r="N73" s="188" t="inlineStr">
        <is>
          <t>A</t>
        </is>
      </c>
      <c r="O73" s="188" t="inlineStr">
        <is>
          <t>A</t>
        </is>
      </c>
      <c r="P73" s="188" t="inlineStr">
        <is>
          <t>N</t>
        </is>
      </c>
      <c r="Q73" s="188" t="inlineStr">
        <is>
          <t>N</t>
        </is>
      </c>
      <c r="R73" s="188" t="inlineStr">
        <is>
          <t>B</t>
        </is>
      </c>
      <c r="S73" s="188" t="inlineStr">
        <is>
          <t>A</t>
        </is>
      </c>
      <c r="T73" s="188" t="n"/>
      <c r="U73" s="188" t="n"/>
      <c r="V73" s="188" t="n"/>
      <c r="W73" s="188" t="n"/>
      <c r="X73" s="188" t="n"/>
      <c r="Y73" s="188" t="n"/>
      <c r="Z73" s="198" t="n"/>
      <c r="AA73" s="198" t="n"/>
      <c r="AB73" s="198" t="n"/>
    </row>
    <row r="74" ht="13.5" customHeight="1" s="426">
      <c r="A74" s="174" t="n"/>
      <c r="B74" s="320" t="inlineStr">
        <is>
          <t>Passed/Failed</t>
        </is>
      </c>
      <c r="C74" s="449" t="n"/>
      <c r="D74" s="450" t="n"/>
      <c r="E74" s="95" t="n"/>
      <c r="F74" s="94" t="inlineStr">
        <is>
          <t>P</t>
        </is>
      </c>
      <c r="G74" s="94" t="inlineStr">
        <is>
          <t>P</t>
        </is>
      </c>
      <c r="H74" s="94" t="inlineStr">
        <is>
          <t>P</t>
        </is>
      </c>
      <c r="I74" s="94" t="inlineStr">
        <is>
          <t>P</t>
        </is>
      </c>
      <c r="J74" s="94" t="inlineStr">
        <is>
          <t>P</t>
        </is>
      </c>
      <c r="K74" s="94" t="inlineStr">
        <is>
          <t>P</t>
        </is>
      </c>
      <c r="L74" s="94" t="inlineStr">
        <is>
          <t>P</t>
        </is>
      </c>
      <c r="M74" s="94" t="inlineStr">
        <is>
          <t>P</t>
        </is>
      </c>
      <c r="N74" s="94" t="inlineStr">
        <is>
          <t>P</t>
        </is>
      </c>
      <c r="O74" s="94" t="inlineStr">
        <is>
          <t>P</t>
        </is>
      </c>
      <c r="P74" s="94" t="inlineStr">
        <is>
          <t>P</t>
        </is>
      </c>
      <c r="Q74" s="94" t="inlineStr">
        <is>
          <t>P</t>
        </is>
      </c>
      <c r="R74" s="94" t="inlineStr">
        <is>
          <t>P</t>
        </is>
      </c>
      <c r="S74" s="94" t="inlineStr">
        <is>
          <t>P</t>
        </is>
      </c>
      <c r="T74" s="94" t="n"/>
      <c r="U74" s="94" t="n"/>
      <c r="V74" s="94" t="n"/>
      <c r="W74" s="94" t="n"/>
      <c r="X74" s="94" t="n"/>
      <c r="Y74" s="94" t="n"/>
      <c r="Z74" s="199" t="n"/>
      <c r="AA74" s="199" t="n"/>
      <c r="AB74" s="199" t="n"/>
    </row>
    <row r="75" ht="89.5" customHeight="1" s="426">
      <c r="A75" s="174" t="n"/>
      <c r="B75" s="329" t="inlineStr">
        <is>
          <t>Executed Date</t>
        </is>
      </c>
      <c r="C75" s="449" t="n"/>
      <c r="D75" s="450" t="n"/>
      <c r="E75" s="96" t="n"/>
      <c r="F75" s="97" t="n">
        <v>45708</v>
      </c>
      <c r="G75" s="97" t="n">
        <v>45708</v>
      </c>
      <c r="H75" s="97" t="n">
        <v>45708</v>
      </c>
      <c r="I75" s="97" t="n">
        <v>45708</v>
      </c>
      <c r="J75" s="97" t="n">
        <v>45708</v>
      </c>
      <c r="K75" s="97" t="n">
        <v>45708</v>
      </c>
      <c r="L75" s="97" t="n">
        <v>45708</v>
      </c>
      <c r="M75" s="97" t="n">
        <v>45708</v>
      </c>
      <c r="N75" s="97" t="n">
        <v>45708</v>
      </c>
      <c r="O75" s="97" t="n">
        <v>45708</v>
      </c>
      <c r="P75" s="97" t="n">
        <v>45708</v>
      </c>
      <c r="Q75" s="97" t="n">
        <v>45708</v>
      </c>
      <c r="R75" s="97" t="n">
        <v>45708</v>
      </c>
      <c r="S75" s="97" t="n">
        <v>45708</v>
      </c>
      <c r="T75" s="97" t="n"/>
      <c r="U75" s="97" t="n"/>
      <c r="V75" s="97" t="n"/>
      <c r="W75" s="97" t="n"/>
      <c r="X75" s="97" t="n"/>
      <c r="Y75" s="97" t="n"/>
      <c r="Z75" s="97" t="n"/>
      <c r="AA75" s="176" t="n"/>
      <c r="AB75" s="176" t="n"/>
    </row>
    <row r="76" ht="13.5" customHeight="1" s="426" thickBot="1">
      <c r="A76" s="177" t="n"/>
      <c r="B76" s="330" t="inlineStr">
        <is>
          <t>Defect ID</t>
        </is>
      </c>
      <c r="C76" s="474" t="n"/>
      <c r="D76" s="475" t="n"/>
      <c r="E76" s="178" t="n"/>
      <c r="F76" s="179" t="n"/>
      <c r="G76" s="179" t="n"/>
      <c r="H76" s="179" t="n"/>
      <c r="I76" s="179" t="n"/>
      <c r="J76" s="179" t="n"/>
      <c r="K76" s="179" t="n"/>
      <c r="L76" s="179" t="n"/>
      <c r="M76" s="179" t="n"/>
      <c r="N76" s="179" t="n"/>
      <c r="O76" s="179" t="n"/>
      <c r="P76" s="179" t="n"/>
      <c r="Q76" s="179" t="n"/>
      <c r="R76" s="179" t="n"/>
      <c r="S76" s="179" t="n"/>
      <c r="T76" s="180" t="n"/>
      <c r="U76" s="180" t="n"/>
      <c r="V76" s="180" t="n"/>
      <c r="W76" s="180" t="n"/>
      <c r="X76" s="180" t="n"/>
      <c r="Y76" s="180" t="n"/>
      <c r="Z76" s="180" t="n"/>
      <c r="AA76" s="180" t="n"/>
      <c r="AB76" s="180" t="n"/>
    </row>
    <row r="77" ht="13.5" customHeight="1" s="426" thickTop="1"/>
  </sheetData>
  <mergeCells count="27">
    <mergeCell ref="C1:E1"/>
    <mergeCell ref="F5:K5"/>
    <mergeCell ref="O5:T5"/>
    <mergeCell ref="L5:N5"/>
    <mergeCell ref="B73:D73"/>
    <mergeCell ref="A1:B1"/>
    <mergeCell ref="F2:K2"/>
    <mergeCell ref="A6:B6"/>
    <mergeCell ref="C2:E2"/>
    <mergeCell ref="L1:T1"/>
    <mergeCell ref="B74:D74"/>
    <mergeCell ref="A3:B3"/>
    <mergeCell ref="A2:B2"/>
    <mergeCell ref="B76:D76"/>
    <mergeCell ref="A5:B5"/>
    <mergeCell ref="F1:K1"/>
    <mergeCell ref="B75:D75"/>
    <mergeCell ref="C6:E6"/>
    <mergeCell ref="A4:B4"/>
    <mergeCell ref="L2:T2"/>
    <mergeCell ref="O6:T6"/>
    <mergeCell ref="C5:E5"/>
    <mergeCell ref="F6:K6"/>
    <mergeCell ref="C3:D3"/>
    <mergeCell ref="L3:T3"/>
    <mergeCell ref="F3:K3"/>
    <mergeCell ref="C4:T4"/>
  </mergeCells>
  <dataValidations count="3">
    <dataValidation sqref="F9:AB50 F51:L51 F52:AB72 N51:AB51" showDropDown="0" showInputMessage="1" showErrorMessage="1" allowBlank="1" type="list">
      <formula1>"O, "</formula1>
    </dataValidation>
    <dataValidation sqref="F74:AB74" showDropDown="0" showInputMessage="1" showErrorMessage="1" allowBlank="1" type="list">
      <formula1>"P,F, "</formula1>
    </dataValidation>
    <dataValidation sqref="F73:AB73" showDropDown="0" showInputMessage="1" showErrorMessage="1" allowBlank="1" type="list">
      <formula1>"N,A,B, "</formula1>
    </dataValidation>
  </dataValidations>
  <hyperlinks>
    <hyperlink xmlns:r="http://schemas.openxmlformats.org/officeDocument/2006/relationships" ref="D42" r:id="rId1"/>
  </hyperlink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AB58"/>
  <sheetViews>
    <sheetView topLeftCell="A32" zoomScale="115" zoomScaleNormal="115" workbookViewId="0">
      <selection activeCell="AF49" sqref="AF49"/>
    </sheetView>
  </sheetViews>
  <sheetFormatPr baseColWidth="8" defaultColWidth="9" defaultRowHeight="13.5" customHeight="1"/>
  <cols>
    <col width="8.1796875" customWidth="1" style="69" min="1" max="1"/>
    <col width="13.453125" customWidth="1" style="73" min="2" max="2"/>
    <col width="10.81640625" customWidth="1" style="69" min="3" max="3"/>
    <col width="34.26953125" customWidth="1" style="413" min="4" max="4"/>
    <col hidden="1" width="14.1796875" customWidth="1" style="69" min="5" max="5"/>
    <col width="2.81640625" bestFit="1" customWidth="1" style="69" min="6" max="11"/>
    <col width="2.81640625" customWidth="1" style="69" min="12" max="19"/>
    <col width="2.81640625" bestFit="1" customWidth="1" style="69" min="20" max="20"/>
    <col width="2.81640625" customWidth="1" style="69" min="21" max="21"/>
    <col width="3.08984375" customWidth="1" style="69" min="22" max="22"/>
    <col width="2.81640625" customWidth="1" style="69" min="23" max="23"/>
    <col width="3.26953125" customWidth="1" style="69" min="24" max="24"/>
    <col width="3.1796875" customWidth="1" style="69" min="25" max="25"/>
    <col width="2.90625" customWidth="1" style="69" min="26" max="26"/>
    <col width="3.6328125" customWidth="1" style="69" min="27" max="27"/>
    <col width="3.54296875" customWidth="1" style="69" min="28" max="28"/>
    <col width="11" customWidth="1" style="69" min="29" max="256"/>
    <col width="9" customWidth="1" style="69" min="257" max="16384"/>
  </cols>
  <sheetData>
    <row r="1" ht="13.5" customHeight="1" s="426" thickBot="1">
      <c r="A1" s="67" t="n"/>
      <c r="B1" s="68" t="n"/>
    </row>
    <row r="2" ht="13.5" customHeight="1" s="426">
      <c r="A2" s="315" t="inlineStr">
        <is>
          <t>Function Code</t>
        </is>
      </c>
      <c r="B2" s="439" t="n"/>
      <c r="C2" s="440" t="inlineStr">
        <is>
          <t>Borrowing - 6</t>
        </is>
      </c>
      <c r="D2" s="439" t="n"/>
      <c r="E2" s="441" t="n"/>
      <c r="F2" s="410" t="inlineStr">
        <is>
          <t>Function Name</t>
        </is>
      </c>
      <c r="G2" s="496" t="n"/>
      <c r="H2" s="496" t="n"/>
      <c r="I2" s="496" t="n"/>
      <c r="J2" s="496" t="n"/>
      <c r="K2" s="496" t="n"/>
      <c r="L2" s="443" t="inlineStr">
        <is>
          <t>Change Borrow Status</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202</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COUNTIF(F55:HQ55,"P")</f>
        <v/>
      </c>
      <c r="B7" s="465" t="n"/>
      <c r="C7" s="466">
        <f>COUNTIF(F56:HQ56,"F")</f>
        <v/>
      </c>
      <c r="D7" s="467" t="n"/>
      <c r="E7" s="465" t="n"/>
      <c r="F7" s="468">
        <f>SUM(O7,- A7,- C7)</f>
        <v/>
      </c>
      <c r="G7" s="467" t="n"/>
      <c r="H7" s="467" t="n"/>
      <c r="I7" s="467" t="n"/>
      <c r="J7" s="467" t="n"/>
      <c r="K7" s="469" t="n"/>
      <c r="L7" s="342">
        <f>COUNTIF(E54:HQ54,"N")</f>
        <v/>
      </c>
      <c r="M7" s="342">
        <f>COUNTIF(E54:HQ54,"A")</f>
        <v/>
      </c>
      <c r="N7" s="342">
        <f>COUNTIF(E54:HQ54,"B")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inlineStr">
        <is>
          <t>UTCID07</t>
        </is>
      </c>
      <c r="M9" s="168" t="inlineStr">
        <is>
          <t>UTCID08</t>
        </is>
      </c>
      <c r="N9" s="168" t="inlineStr">
        <is>
          <t>UTCID09</t>
        </is>
      </c>
      <c r="O9" s="168" t="inlineStr">
        <is>
          <t>UTCID10</t>
        </is>
      </c>
      <c r="P9" s="168" t="n"/>
      <c r="Q9" s="168" t="n"/>
      <c r="R9" s="168" t="n"/>
      <c r="S9" s="168" t="n"/>
      <c r="T9" s="168" t="n"/>
      <c r="U9" s="168" t="n"/>
      <c r="V9" s="168" t="n"/>
      <c r="W9" s="168" t="n"/>
      <c r="X9" s="168" t="n"/>
      <c r="Y9" s="168" t="n"/>
      <c r="Z9" s="168" t="n"/>
      <c r="AA9" s="168" t="n"/>
      <c r="AB9" s="168"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c r="U10" s="195" t="n"/>
      <c r="V10" s="195" t="n"/>
      <c r="W10" s="195" t="n"/>
      <c r="X10" s="195" t="n"/>
      <c r="Y10" s="195" t="n"/>
      <c r="Z10" s="195" t="n"/>
      <c r="AA10" s="195" t="n"/>
      <c r="AB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inlineStr">
        <is>
          <t>O</t>
        </is>
      </c>
      <c r="K11" s="148" t="inlineStr">
        <is>
          <t>O</t>
        </is>
      </c>
      <c r="L11" s="148" t="inlineStr">
        <is>
          <t>O</t>
        </is>
      </c>
      <c r="M11" s="148" t="inlineStr">
        <is>
          <t>O</t>
        </is>
      </c>
      <c r="N11" s="148" t="inlineStr">
        <is>
          <t>O</t>
        </is>
      </c>
      <c r="O11" s="148" t="n"/>
      <c r="P11" s="148" t="n"/>
      <c r="Q11" s="148" t="n"/>
      <c r="R11" s="148" t="n"/>
      <c r="S11" s="148" t="n"/>
      <c r="T11" s="148" t="n"/>
      <c r="U11" s="148" t="n"/>
      <c r="V11" s="148" t="n"/>
      <c r="W11" s="148" t="n"/>
      <c r="X11" s="148" t="n"/>
      <c r="Y11" s="148" t="n"/>
      <c r="Z11" s="148" t="n"/>
      <c r="AA11" s="148" t="n"/>
      <c r="AB11" s="170"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inlineStr">
        <is>
          <t>O</t>
        </is>
      </c>
      <c r="M12" s="148" t="inlineStr">
        <is>
          <t>O</t>
        </is>
      </c>
      <c r="N12" s="148" t="inlineStr">
        <is>
          <t>O</t>
        </is>
      </c>
      <c r="O12" s="148" t="inlineStr">
        <is>
          <t>O</t>
        </is>
      </c>
      <c r="P12" s="148" t="n"/>
      <c r="Q12" s="148" t="n"/>
      <c r="R12" s="148" t="n"/>
      <c r="S12" s="148" t="n"/>
      <c r="T12" s="148" t="n"/>
      <c r="U12" s="148" t="n"/>
      <c r="V12" s="148" t="n"/>
      <c r="W12" s="148" t="n"/>
      <c r="X12" s="148" t="n"/>
      <c r="Y12" s="148" t="n"/>
      <c r="Z12" s="148" t="n"/>
      <c r="AA12" s="148" t="n"/>
      <c r="AB12" s="170" t="n"/>
    </row>
    <row r="13" ht="13.5" customHeight="1" s="426">
      <c r="A13" s="171" t="n"/>
      <c r="B13" s="75" t="n"/>
      <c r="C13" s="76" t="n"/>
      <c r="D13" s="77" t="inlineStr">
        <is>
          <t>BorrowId Existed</t>
        </is>
      </c>
      <c r="E13" s="80" t="n"/>
      <c r="F13" s="148" t="inlineStr">
        <is>
          <t>O</t>
        </is>
      </c>
      <c r="G13" s="148" t="inlineStr">
        <is>
          <t>O</t>
        </is>
      </c>
      <c r="H13" s="148" t="inlineStr">
        <is>
          <t>O</t>
        </is>
      </c>
      <c r="I13" s="148" t="inlineStr">
        <is>
          <t>O</t>
        </is>
      </c>
      <c r="J13" s="148" t="n"/>
      <c r="K13" s="148" t="inlineStr">
        <is>
          <t>O</t>
        </is>
      </c>
      <c r="L13" s="148" t="inlineStr">
        <is>
          <t>O</t>
        </is>
      </c>
      <c r="M13" s="148" t="inlineStr">
        <is>
          <t>O</t>
        </is>
      </c>
      <c r="N13" s="148" t="n"/>
      <c r="O13" s="148" t="n"/>
      <c r="P13" s="148" t="n"/>
      <c r="Q13" s="148" t="n"/>
      <c r="R13" s="148" t="n"/>
      <c r="S13" s="148" t="n"/>
      <c r="T13" s="148" t="n"/>
      <c r="U13" s="148" t="n"/>
      <c r="V13" s="148" t="n"/>
      <c r="W13" s="148" t="n"/>
      <c r="X13" s="148" t="n"/>
      <c r="Y13" s="148" t="n"/>
      <c r="Z13" s="148" t="n"/>
      <c r="AA13" s="148" t="n"/>
      <c r="AB13" s="170" t="n"/>
    </row>
    <row r="14" ht="13.5" customHeight="1" s="426">
      <c r="A14" s="171" t="n"/>
      <c r="B14" s="75" t="n"/>
      <c r="C14" s="76" t="n"/>
      <c r="D14" s="77" t="inlineStr">
        <is>
          <t>BorrowId does not exist</t>
        </is>
      </c>
      <c r="E14" s="80" t="n"/>
      <c r="F14" s="148" t="n"/>
      <c r="G14" s="148" t="n"/>
      <c r="H14" s="148" t="n"/>
      <c r="I14" s="148" t="n"/>
      <c r="J14" s="148" t="inlineStr">
        <is>
          <t>O</t>
        </is>
      </c>
      <c r="K14" s="148" t="n"/>
      <c r="L14" s="148" t="n"/>
      <c r="M14" s="148" t="n"/>
      <c r="N14" s="148" t="inlineStr">
        <is>
          <t>O</t>
        </is>
      </c>
      <c r="O14" s="148" t="inlineStr">
        <is>
          <t>O</t>
        </is>
      </c>
      <c r="P14" s="148" t="n"/>
      <c r="Q14" s="148" t="n"/>
      <c r="R14" s="148" t="n"/>
      <c r="S14" s="148" t="n"/>
      <c r="T14" s="170" t="n"/>
      <c r="U14" s="170" t="n"/>
      <c r="V14" s="170" t="n"/>
      <c r="W14" s="170" t="n"/>
      <c r="X14" s="170" t="n"/>
      <c r="Y14" s="170" t="n"/>
      <c r="Z14" s="170" t="n"/>
      <c r="AA14" s="170" t="n"/>
      <c r="AB14" s="170" t="n"/>
    </row>
    <row r="15" ht="13.5" customHeight="1" s="426">
      <c r="A15" s="171" t="n"/>
      <c r="B15" s="75" t="n"/>
      <c r="C15" s="76" t="n"/>
      <c r="D15" s="77" t="inlineStr">
        <is>
          <t>RoleId Existed</t>
        </is>
      </c>
      <c r="E15" s="80" t="n"/>
      <c r="F15" s="148" t="inlineStr">
        <is>
          <t>O</t>
        </is>
      </c>
      <c r="G15" s="148" t="inlineStr">
        <is>
          <t>O</t>
        </is>
      </c>
      <c r="H15" s="148" t="inlineStr">
        <is>
          <t>O</t>
        </is>
      </c>
      <c r="I15" s="148" t="inlineStr">
        <is>
          <t>O</t>
        </is>
      </c>
      <c r="J15" s="148" t="inlineStr">
        <is>
          <t>O</t>
        </is>
      </c>
      <c r="K15" s="148" t="n"/>
      <c r="L15" s="148" t="inlineStr">
        <is>
          <t>O</t>
        </is>
      </c>
      <c r="M15" s="148" t="inlineStr">
        <is>
          <t>O</t>
        </is>
      </c>
      <c r="N15" s="148" t="n"/>
      <c r="O15" s="148" t="n"/>
      <c r="P15" s="148" t="n"/>
      <c r="Q15" s="148" t="n"/>
      <c r="R15" s="148" t="n"/>
      <c r="S15" s="148" t="n"/>
      <c r="T15" s="170" t="n"/>
      <c r="U15" s="170" t="n"/>
      <c r="V15" s="170" t="n"/>
      <c r="W15" s="170" t="n"/>
      <c r="X15" s="170" t="n"/>
      <c r="Y15" s="170" t="n"/>
      <c r="Z15" s="170" t="n"/>
      <c r="AA15" s="170" t="n"/>
      <c r="AB15" s="170" t="n"/>
    </row>
    <row r="16" ht="13.5" customHeight="1" s="426">
      <c r="A16" s="171" t="n"/>
      <c r="B16" s="75" t="n"/>
      <c r="C16" s="76" t="n"/>
      <c r="D16" s="77" t="inlineStr">
        <is>
          <t>RoleId does not exist</t>
        </is>
      </c>
      <c r="E16" s="80" t="n"/>
      <c r="F16" s="148" t="n"/>
      <c r="G16" s="148" t="n"/>
      <c r="H16" s="148" t="n"/>
      <c r="I16" s="148" t="n"/>
      <c r="J16" s="148" t="n"/>
      <c r="K16" s="148" t="inlineStr">
        <is>
          <t>O</t>
        </is>
      </c>
      <c r="L16" s="148" t="n"/>
      <c r="M16" s="148" t="n"/>
      <c r="N16" s="148" t="inlineStr">
        <is>
          <t>O</t>
        </is>
      </c>
      <c r="O16" s="148" t="inlineStr">
        <is>
          <t>O</t>
        </is>
      </c>
      <c r="P16" s="148" t="n"/>
      <c r="Q16" s="148" t="n"/>
      <c r="R16" s="148" t="n"/>
      <c r="S16" s="148" t="n"/>
      <c r="T16" s="148" t="n"/>
      <c r="U16" s="148" t="n"/>
      <c r="V16" s="148" t="n"/>
      <c r="W16" s="148" t="n"/>
      <c r="X16" s="148" t="n"/>
      <c r="Y16" s="148" t="n"/>
      <c r="Z16" s="170" t="n"/>
      <c r="AA16" s="170" t="n"/>
      <c r="AB16" s="170" t="n"/>
    </row>
    <row r="17" ht="13.5" customHeight="1" s="426">
      <c r="A17" s="171" t="n"/>
      <c r="B17" s="75" t="n"/>
      <c r="C17" s="76" t="n"/>
      <c r="D17" s="77" t="inlineStr">
        <is>
          <t>UpdaterGuid Existed</t>
        </is>
      </c>
      <c r="E17" s="80" t="n"/>
      <c r="F17" s="148" t="inlineStr">
        <is>
          <t>O</t>
        </is>
      </c>
      <c r="G17" s="148" t="inlineStr">
        <is>
          <t>O</t>
        </is>
      </c>
      <c r="H17" s="148" t="inlineStr">
        <is>
          <t>O</t>
        </is>
      </c>
      <c r="I17" s="148" t="inlineStr">
        <is>
          <t>O</t>
        </is>
      </c>
      <c r="J17" s="148" t="inlineStr">
        <is>
          <t>O</t>
        </is>
      </c>
      <c r="K17" s="148" t="inlineStr">
        <is>
          <t>O</t>
        </is>
      </c>
      <c r="L17" s="148" t="n"/>
      <c r="M17" s="148" t="inlineStr">
        <is>
          <t>O</t>
        </is>
      </c>
      <c r="N17" s="148" t="n"/>
      <c r="O17" s="148" t="n"/>
      <c r="P17" s="148" t="n"/>
      <c r="Q17" s="148" t="n"/>
      <c r="R17" s="148" t="n"/>
      <c r="S17" s="148" t="n"/>
      <c r="T17" s="276" t="n"/>
      <c r="U17" s="276" t="n"/>
      <c r="V17" s="276" t="n"/>
      <c r="W17" s="276" t="n"/>
      <c r="X17" s="276" t="n"/>
      <c r="Y17" s="276" t="n"/>
      <c r="Z17" s="170" t="n"/>
      <c r="AA17" s="170" t="n"/>
      <c r="AB17" s="170" t="n"/>
    </row>
    <row r="18" ht="13.5" customHeight="1" s="426">
      <c r="A18" s="171" t="n"/>
      <c r="B18" s="75" t="n"/>
      <c r="C18" s="76" t="n"/>
      <c r="D18" s="77" t="inlineStr">
        <is>
          <t>UpdaterGuid does not Exist</t>
        </is>
      </c>
      <c r="E18" s="80" t="n"/>
      <c r="F18" s="148" t="n"/>
      <c r="G18" s="148" t="n"/>
      <c r="H18" s="148" t="n"/>
      <c r="I18" s="148" t="n"/>
      <c r="J18" s="148" t="n"/>
      <c r="K18" s="148" t="n"/>
      <c r="L18" s="148" t="inlineStr">
        <is>
          <t>O</t>
        </is>
      </c>
      <c r="M18" s="148" t="n"/>
      <c r="N18" s="148" t="inlineStr">
        <is>
          <t>O</t>
        </is>
      </c>
      <c r="O18" s="148" t="inlineStr">
        <is>
          <t>O</t>
        </is>
      </c>
      <c r="P18" s="148" t="n"/>
      <c r="Q18" s="148" t="n"/>
      <c r="R18" s="148" t="n"/>
      <c r="S18" s="148" t="n"/>
      <c r="T18" s="276" t="n"/>
      <c r="U18" s="276" t="n"/>
      <c r="V18" s="276" t="n"/>
      <c r="W18" s="276" t="n"/>
      <c r="X18" s="276" t="n"/>
      <c r="Y18" s="276" t="n"/>
      <c r="Z18" s="170" t="n"/>
      <c r="AA18" s="170" t="n"/>
      <c r="AB18" s="170" t="n"/>
    </row>
    <row r="19" ht="13.5" customHeight="1" s="426">
      <c r="A19" s="171" t="n"/>
      <c r="B19" s="75" t="n"/>
      <c r="C19" s="76" t="n"/>
      <c r="D19" s="77" t="inlineStr">
        <is>
          <t>Status Existed</t>
        </is>
      </c>
      <c r="E19" s="80" t="n"/>
      <c r="F19" s="148" t="inlineStr">
        <is>
          <t>O</t>
        </is>
      </c>
      <c r="G19" s="148" t="inlineStr">
        <is>
          <t>O</t>
        </is>
      </c>
      <c r="H19" s="148" t="inlineStr">
        <is>
          <t>O</t>
        </is>
      </c>
      <c r="I19" s="148" t="inlineStr">
        <is>
          <t>O</t>
        </is>
      </c>
      <c r="J19" s="148" t="inlineStr">
        <is>
          <t>O</t>
        </is>
      </c>
      <c r="K19" s="148" t="inlineStr">
        <is>
          <t>O</t>
        </is>
      </c>
      <c r="L19" s="148" t="inlineStr">
        <is>
          <t>O</t>
        </is>
      </c>
      <c r="M19" s="148" t="n"/>
      <c r="N19" s="148" t="n"/>
      <c r="O19" s="148" t="n"/>
      <c r="P19" s="148" t="n"/>
      <c r="Q19" s="148" t="n"/>
      <c r="R19" s="148" t="n"/>
      <c r="S19" s="148" t="n"/>
      <c r="T19" s="276" t="n"/>
      <c r="U19" s="276" t="n"/>
      <c r="V19" s="276" t="n"/>
      <c r="W19" s="276" t="n"/>
      <c r="X19" s="276" t="n"/>
      <c r="Y19" s="276" t="n"/>
      <c r="Z19" s="170" t="n"/>
      <c r="AA19" s="170" t="n"/>
      <c r="AB19" s="170" t="n"/>
    </row>
    <row r="20" ht="13.5" customHeight="1" s="426">
      <c r="A20" s="171" t="n"/>
      <c r="B20" s="75" t="n"/>
      <c r="C20" s="76" t="n"/>
      <c r="D20" s="77" t="inlineStr">
        <is>
          <t>Status does not Exist</t>
        </is>
      </c>
      <c r="E20" s="80" t="n"/>
      <c r="F20" s="148" t="n"/>
      <c r="G20" s="148" t="n"/>
      <c r="H20" s="148" t="n"/>
      <c r="I20" s="148" t="n"/>
      <c r="J20" s="148" t="n"/>
      <c r="K20" s="148" t="n"/>
      <c r="L20" s="148" t="n"/>
      <c r="M20" s="148" t="inlineStr">
        <is>
          <t>O</t>
        </is>
      </c>
      <c r="N20" s="148" t="inlineStr">
        <is>
          <t>O</t>
        </is>
      </c>
      <c r="O20" s="148" t="inlineStr">
        <is>
          <t>O</t>
        </is>
      </c>
      <c r="P20" s="148" t="n"/>
      <c r="Q20" s="148" t="n"/>
      <c r="R20" s="148" t="n"/>
      <c r="S20" s="148" t="n"/>
      <c r="T20" s="276" t="n"/>
      <c r="U20" s="276" t="n"/>
      <c r="V20" s="276" t="n"/>
      <c r="W20" s="276" t="n"/>
      <c r="X20" s="276" t="n"/>
      <c r="Y20" s="276" t="n"/>
      <c r="Z20" s="170" t="n"/>
      <c r="AA20" s="170" t="n"/>
      <c r="AB20" s="170" t="n"/>
    </row>
    <row r="21" ht="13.5" customHeight="1" s="426">
      <c r="A21" s="171" t="n"/>
      <c r="B21" s="75" t="inlineStr">
        <is>
          <t>BorrowId</t>
        </is>
      </c>
      <c r="C21" s="76" t="n"/>
      <c r="D21" s="77" t="n"/>
      <c r="E21" s="80" t="n"/>
      <c r="F21" s="148" t="n"/>
      <c r="G21" s="148" t="n"/>
      <c r="H21" s="148" t="n"/>
      <c r="I21" s="148" t="n"/>
      <c r="J21" s="148" t="n"/>
      <c r="K21" s="148" t="n"/>
      <c r="L21" s="148" t="n"/>
      <c r="M21" s="148" t="n"/>
      <c r="N21" s="148" t="n"/>
      <c r="O21" s="148" t="n"/>
      <c r="P21" s="148" t="n"/>
      <c r="Q21" s="148" t="n"/>
      <c r="R21" s="148" t="n"/>
      <c r="S21" s="148" t="n"/>
      <c r="T21" s="170" t="n"/>
      <c r="U21" s="170" t="n"/>
      <c r="V21" s="170" t="n"/>
      <c r="W21" s="170" t="n"/>
      <c r="X21" s="170" t="n"/>
      <c r="Y21" s="170" t="n"/>
      <c r="Z21" s="170" t="n"/>
      <c r="AA21" s="170" t="n"/>
      <c r="AB21" s="170" t="n"/>
    </row>
    <row r="22" ht="13.5" customHeight="1" s="426">
      <c r="A22" s="171" t="n"/>
      <c r="B22" s="75" t="n"/>
      <c r="C22" s="76" t="n"/>
      <c r="D22" s="77" t="inlineStr">
        <is>
          <t>Guid</t>
        </is>
      </c>
      <c r="E22" s="80" t="n"/>
      <c r="F22" s="148" t="inlineStr">
        <is>
          <t>O</t>
        </is>
      </c>
      <c r="G22" s="148" t="inlineStr">
        <is>
          <t>O</t>
        </is>
      </c>
      <c r="H22" s="148" t="inlineStr">
        <is>
          <t>O</t>
        </is>
      </c>
      <c r="I22" s="148" t="inlineStr">
        <is>
          <t>O</t>
        </is>
      </c>
      <c r="J22" s="148" t="inlineStr">
        <is>
          <t>O</t>
        </is>
      </c>
      <c r="K22" s="148" t="inlineStr">
        <is>
          <t>O</t>
        </is>
      </c>
      <c r="L22" s="148" t="inlineStr">
        <is>
          <t>O</t>
        </is>
      </c>
      <c r="M22" s="148" t="inlineStr">
        <is>
          <t>O</t>
        </is>
      </c>
      <c r="N22" s="148" t="n"/>
      <c r="O22" s="148" t="inlineStr">
        <is>
          <t>O</t>
        </is>
      </c>
      <c r="P22" s="148" t="n"/>
      <c r="Q22" s="148" t="n"/>
      <c r="R22" s="148" t="n"/>
      <c r="S22" s="148" t="n"/>
      <c r="T22" s="170" t="n"/>
      <c r="U22" s="170" t="n"/>
      <c r="V22" s="170" t="n"/>
      <c r="W22" s="170" t="n"/>
      <c r="X22" s="170" t="n"/>
      <c r="Y22" s="170" t="n"/>
      <c r="Z22" s="170" t="n"/>
      <c r="AA22" s="170" t="n"/>
      <c r="AB22" s="170" t="n"/>
    </row>
    <row r="23" ht="13.5" customHeight="1" s="426">
      <c r="A23" s="171" t="n"/>
      <c r="B23" s="75" t="n"/>
      <c r="C23" s="76" t="n"/>
      <c r="D23" s="77" t="inlineStr">
        <is>
          <t>null</t>
        </is>
      </c>
      <c r="E23" s="80" t="n"/>
      <c r="F23" s="148" t="n"/>
      <c r="G23" s="148" t="n"/>
      <c r="H23" s="148" t="n"/>
      <c r="I23" s="148" t="n"/>
      <c r="J23" s="148" t="n"/>
      <c r="K23" s="148" t="n"/>
      <c r="L23" s="148" t="n"/>
      <c r="M23" s="148" t="n"/>
      <c r="N23" s="148" t="inlineStr">
        <is>
          <t>O</t>
        </is>
      </c>
      <c r="O23" s="148" t="n"/>
      <c r="P23" s="148" t="n"/>
      <c r="Q23" s="148" t="n"/>
      <c r="R23" s="148" t="n"/>
      <c r="S23" s="148" t="n"/>
      <c r="T23" s="148" t="n"/>
      <c r="U23" s="148" t="n"/>
      <c r="V23" s="148" t="n"/>
      <c r="W23" s="148" t="n"/>
      <c r="X23" s="148" t="n"/>
      <c r="Y23" s="148" t="n"/>
      <c r="Z23" s="170" t="n"/>
      <c r="AA23" s="170" t="n"/>
      <c r="AB23" s="170" t="n"/>
    </row>
    <row r="24" ht="13.5" customHeight="1" s="426">
      <c r="A24" s="171" t="n"/>
      <c r="B24" s="75" t="inlineStr">
        <is>
          <t>RoleId</t>
        </is>
      </c>
      <c r="C24" s="76" t="n"/>
      <c r="D24" s="77" t="n"/>
      <c r="E24" s="80" t="n"/>
      <c r="F24" s="148" t="n"/>
      <c r="G24" s="148" t="n"/>
      <c r="H24" s="148" t="n"/>
      <c r="I24" s="148" t="n"/>
      <c r="J24" s="148" t="n"/>
      <c r="K24" s="148" t="n"/>
      <c r="L24" s="148" t="n"/>
      <c r="M24" s="148" t="n"/>
      <c r="N24" s="148" t="n"/>
      <c r="O24" s="148" t="n"/>
      <c r="P24" s="148" t="n"/>
      <c r="Q24" s="148" t="n"/>
      <c r="R24" s="148" t="n"/>
      <c r="S24" s="148" t="n"/>
      <c r="T24" s="170" t="n"/>
      <c r="U24" s="170" t="n"/>
      <c r="V24" s="170" t="n"/>
      <c r="W24" s="170" t="n"/>
      <c r="X24" s="170" t="n"/>
      <c r="Y24" s="170" t="n"/>
      <c r="Z24" s="170" t="n"/>
      <c r="AA24" s="170" t="n"/>
      <c r="AB24" s="170" t="n"/>
    </row>
    <row r="25" ht="13.5" customHeight="1" s="426">
      <c r="A25" s="171" t="n"/>
      <c r="B25" s="75" t="n"/>
      <c r="C25" s="76" t="n"/>
      <c r="D25" s="77" t="n">
        <v>3</v>
      </c>
      <c r="E25" s="80" t="n"/>
      <c r="F25" s="148" t="inlineStr">
        <is>
          <t>O</t>
        </is>
      </c>
      <c r="G25" s="148" t="inlineStr">
        <is>
          <t>O</t>
        </is>
      </c>
      <c r="H25" s="148" t="inlineStr">
        <is>
          <t>O</t>
        </is>
      </c>
      <c r="I25" s="148" t="inlineStr">
        <is>
          <t>O</t>
        </is>
      </c>
      <c r="J25" s="148" t="inlineStr">
        <is>
          <t>O</t>
        </is>
      </c>
      <c r="K25" s="148" t="n"/>
      <c r="L25" s="148" t="inlineStr">
        <is>
          <t>O</t>
        </is>
      </c>
      <c r="M25" s="148" t="inlineStr">
        <is>
          <t>O</t>
        </is>
      </c>
      <c r="N25" s="148" t="n"/>
      <c r="O25" s="148" t="inlineStr">
        <is>
          <t>O</t>
        </is>
      </c>
      <c r="P25" s="148" t="n"/>
      <c r="Q25" s="148" t="n"/>
      <c r="R25" s="148" t="n"/>
      <c r="S25" s="148" t="n"/>
      <c r="T25" s="170" t="n"/>
      <c r="U25" s="170" t="n"/>
      <c r="V25" s="170" t="n"/>
      <c r="W25" s="170" t="n"/>
      <c r="X25" s="170" t="n"/>
      <c r="Y25" s="170" t="n"/>
      <c r="Z25" s="170" t="n"/>
      <c r="AA25" s="170" t="n"/>
      <c r="AB25" s="170" t="n"/>
    </row>
    <row r="26" ht="13.5" customHeight="1" s="426">
      <c r="A26" s="171" t="n"/>
      <c r="B26" s="75" t="n"/>
      <c r="C26" s="76" t="n"/>
      <c r="D26" s="77" t="n">
        <v>9999</v>
      </c>
      <c r="E26" s="80" t="n"/>
      <c r="F26" s="148" t="n"/>
      <c r="G26" s="148" t="n"/>
      <c r="H26" s="148" t="n"/>
      <c r="I26" s="148" t="n"/>
      <c r="J26" s="148" t="n"/>
      <c r="K26" s="148" t="inlineStr">
        <is>
          <t>O</t>
        </is>
      </c>
      <c r="L26" s="148" t="n"/>
      <c r="M26" s="148" t="n"/>
      <c r="N26" s="148" t="n"/>
      <c r="O26" s="148" t="n"/>
      <c r="P26" s="148" t="n"/>
      <c r="Q26" s="148" t="n"/>
      <c r="R26" s="148" t="n"/>
      <c r="S26" s="148" t="n"/>
      <c r="T26" s="170" t="n"/>
      <c r="U26" s="170" t="n"/>
      <c r="V26" s="170" t="n"/>
      <c r="W26" s="170" t="n"/>
      <c r="X26" s="170" t="n"/>
      <c r="Y26" s="170" t="n"/>
      <c r="Z26" s="170" t="n"/>
      <c r="AA26" s="170" t="n"/>
      <c r="AB26" s="170" t="n"/>
    </row>
    <row r="27" ht="13.5" customHeight="1" s="426">
      <c r="A27" s="171" t="n"/>
      <c r="B27" s="75" t="n"/>
      <c r="C27" s="76" t="n"/>
      <c r="D27" s="77" t="inlineStr">
        <is>
          <t>null</t>
        </is>
      </c>
      <c r="E27" s="80" t="n"/>
      <c r="F27" s="148" t="n"/>
      <c r="G27" s="148" t="n"/>
      <c r="H27" s="148" t="n"/>
      <c r="I27" s="148" t="n"/>
      <c r="J27" s="148" t="n"/>
      <c r="K27" s="148" t="n"/>
      <c r="L27" s="148" t="n"/>
      <c r="M27" s="148" t="n"/>
      <c r="N27" s="148" t="inlineStr">
        <is>
          <t>O</t>
        </is>
      </c>
      <c r="O27" s="148" t="n"/>
      <c r="P27" s="148" t="n"/>
      <c r="Q27" s="148" t="n"/>
      <c r="R27" s="148" t="n"/>
      <c r="S27" s="148" t="n"/>
      <c r="T27" s="170" t="n"/>
      <c r="U27" s="170" t="n"/>
      <c r="V27" s="170" t="n"/>
      <c r="W27" s="170" t="n"/>
      <c r="X27" s="170" t="n"/>
      <c r="Y27" s="170" t="n"/>
      <c r="Z27" s="170" t="n"/>
      <c r="AA27" s="170" t="n"/>
      <c r="AB27" s="170" t="n"/>
    </row>
    <row r="28" ht="13.5" customHeight="1" s="426">
      <c r="A28" s="171" t="n"/>
      <c r="B28" s="75" t="inlineStr">
        <is>
          <t>UpdaterGuid</t>
        </is>
      </c>
      <c r="C28" s="76" t="n"/>
      <c r="D28" s="77" t="n"/>
      <c r="E28" s="80" t="n"/>
      <c r="F28" s="148" t="n"/>
      <c r="G28" s="148" t="n"/>
      <c r="H28" s="148" t="n"/>
      <c r="I28" s="148" t="n"/>
      <c r="J28" s="148" t="n"/>
      <c r="K28" s="148" t="n"/>
      <c r="L28" s="148" t="n"/>
      <c r="M28" s="148" t="n"/>
      <c r="N28" s="148" t="n"/>
      <c r="O28" s="148" t="n"/>
      <c r="P28" s="148" t="n"/>
      <c r="Q28" s="148" t="n"/>
      <c r="R28" s="148" t="n"/>
      <c r="S28" s="148" t="n"/>
      <c r="T28" s="170" t="n"/>
      <c r="U28" s="170" t="n"/>
      <c r="V28" s="170" t="n"/>
      <c r="W28" s="170" t="n"/>
      <c r="X28" s="170" t="n"/>
      <c r="Y28" s="170" t="n"/>
      <c r="Z28" s="170" t="n"/>
      <c r="AA28" s="170" t="n"/>
      <c r="AB28" s="170" t="n"/>
    </row>
    <row r="29" ht="13.5" customHeight="1" s="426">
      <c r="A29" s="171" t="n"/>
      <c r="B29" s="75" t="n"/>
      <c r="C29" s="76" t="n"/>
      <c r="D29" s="77" t="inlineStr">
        <is>
          <t>Guid</t>
        </is>
      </c>
      <c r="E29" s="80" t="n"/>
      <c r="F29" s="148" t="inlineStr">
        <is>
          <t>O</t>
        </is>
      </c>
      <c r="G29" s="148" t="inlineStr">
        <is>
          <t>O</t>
        </is>
      </c>
      <c r="H29" s="148" t="inlineStr">
        <is>
          <t>O</t>
        </is>
      </c>
      <c r="I29" s="148" t="inlineStr">
        <is>
          <t>O</t>
        </is>
      </c>
      <c r="J29" s="148" t="inlineStr">
        <is>
          <t>O</t>
        </is>
      </c>
      <c r="K29" s="148" t="inlineStr">
        <is>
          <t>O</t>
        </is>
      </c>
      <c r="L29" s="148" t="inlineStr">
        <is>
          <t>O</t>
        </is>
      </c>
      <c r="M29" s="148" t="inlineStr">
        <is>
          <t>O</t>
        </is>
      </c>
      <c r="N29" s="148" t="n"/>
      <c r="O29" s="148" t="inlineStr">
        <is>
          <t>O</t>
        </is>
      </c>
      <c r="P29" s="148" t="n"/>
      <c r="Q29" s="148" t="n"/>
      <c r="R29" s="148" t="n"/>
      <c r="S29" s="148" t="n"/>
      <c r="T29" s="170" t="n"/>
      <c r="U29" s="170" t="n"/>
      <c r="V29" s="170" t="n"/>
      <c r="W29" s="170" t="n"/>
      <c r="X29" s="170" t="n"/>
      <c r="Y29" s="170" t="n"/>
      <c r="Z29" s="170" t="n"/>
      <c r="AA29" s="170" t="n"/>
      <c r="AB29" s="170" t="n"/>
    </row>
    <row r="30" ht="13.5" customHeight="1" s="426">
      <c r="A30" s="171" t="n"/>
      <c r="B30" s="75" t="n"/>
      <c r="C30" s="76" t="n"/>
      <c r="D30" s="282" t="inlineStr">
        <is>
          <t>null</t>
        </is>
      </c>
      <c r="E30" s="80" t="n"/>
      <c r="F30" s="148" t="n"/>
      <c r="G30" s="148" t="n"/>
      <c r="H30" s="148" t="n"/>
      <c r="I30" s="148" t="n"/>
      <c r="J30" s="148" t="n"/>
      <c r="K30" s="148" t="n"/>
      <c r="L30" s="148" t="n"/>
      <c r="M30" s="148" t="n"/>
      <c r="N30" s="148" t="inlineStr">
        <is>
          <t>O</t>
        </is>
      </c>
      <c r="O30" s="148" t="n"/>
      <c r="P30" s="148" t="n"/>
      <c r="Q30" s="148" t="n"/>
      <c r="R30" s="148" t="n"/>
      <c r="S30" s="148" t="n"/>
      <c r="T30" s="170" t="n"/>
      <c r="U30" s="170" t="n"/>
      <c r="V30" s="170" t="n"/>
      <c r="W30" s="170" t="n"/>
      <c r="X30" s="170" t="n"/>
      <c r="Y30" s="170" t="n"/>
      <c r="Z30" s="170" t="n"/>
      <c r="AA30" s="170" t="n"/>
      <c r="AB30" s="170" t="n"/>
    </row>
    <row r="31" ht="13.5" customHeight="1" s="426">
      <c r="A31" s="171" t="n"/>
      <c r="B31" s="75" t="inlineStr">
        <is>
          <t>Status</t>
        </is>
      </c>
      <c r="C31" s="76" t="n"/>
      <c r="D31" s="282" t="n"/>
      <c r="E31" s="80" t="n"/>
      <c r="F31" s="148" t="n"/>
      <c r="G31" s="148" t="n"/>
      <c r="H31" s="148" t="n"/>
      <c r="I31" s="148" t="n"/>
      <c r="J31" s="148" t="n"/>
      <c r="K31" s="148" t="n"/>
      <c r="L31" s="148" t="n"/>
      <c r="M31" s="148" t="n"/>
      <c r="N31" s="148" t="n"/>
      <c r="O31" s="148" t="n"/>
      <c r="P31" s="148" t="n"/>
      <c r="Q31" s="148" t="n"/>
      <c r="R31" s="148" t="n"/>
      <c r="S31" s="148" t="n"/>
      <c r="T31" s="170" t="n"/>
      <c r="U31" s="170" t="n"/>
      <c r="V31" s="170" t="n"/>
      <c r="W31" s="170" t="n"/>
      <c r="X31" s="170" t="n"/>
      <c r="Y31" s="170" t="n"/>
      <c r="Z31" s="170" t="n"/>
      <c r="AA31" s="170" t="n"/>
      <c r="AB31" s="170" t="n"/>
    </row>
    <row r="32" ht="13.5" customHeight="1" s="426">
      <c r="A32" s="171" t="n"/>
      <c r="B32" s="75" t="n"/>
      <c r="C32" s="76" t="n"/>
      <c r="D32" s="77" t="n">
        <v>0</v>
      </c>
      <c r="E32" s="80" t="n"/>
      <c r="F32" s="148" t="n"/>
      <c r="G32" s="148" t="n"/>
      <c r="H32" s="148" t="n"/>
      <c r="I32" s="148" t="inlineStr">
        <is>
          <t>O</t>
        </is>
      </c>
      <c r="J32" s="148" t="inlineStr">
        <is>
          <t>O</t>
        </is>
      </c>
      <c r="K32" s="148" t="inlineStr">
        <is>
          <t>O</t>
        </is>
      </c>
      <c r="L32" s="148" t="inlineStr">
        <is>
          <t>O</t>
        </is>
      </c>
      <c r="M32" s="148" t="n"/>
      <c r="N32" s="148" t="n"/>
      <c r="O32" s="148" t="inlineStr">
        <is>
          <t>O</t>
        </is>
      </c>
      <c r="P32" s="148" t="n"/>
      <c r="Q32" s="148" t="n"/>
      <c r="R32" s="148" t="n"/>
      <c r="S32" s="148" t="n"/>
      <c r="T32" s="148" t="n"/>
      <c r="U32" s="148" t="n"/>
      <c r="V32" s="148" t="n"/>
      <c r="W32" s="148" t="n"/>
      <c r="X32" s="148" t="n"/>
      <c r="Y32" s="148" t="n"/>
      <c r="Z32" s="170" t="n"/>
      <c r="AA32" s="170" t="n"/>
      <c r="AB32" s="170" t="n"/>
    </row>
    <row r="33" ht="13.5" customHeight="1" s="426">
      <c r="A33" s="171" t="n"/>
      <c r="B33" s="75" t="n"/>
      <c r="C33" s="76" t="n"/>
      <c r="D33" s="77" t="n">
        <v>2</v>
      </c>
      <c r="E33" s="80" t="n"/>
      <c r="F33" s="148" t="inlineStr">
        <is>
          <t>O</t>
        </is>
      </c>
      <c r="G33" s="148" t="n"/>
      <c r="H33" s="148" t="n"/>
      <c r="I33" s="148" t="n"/>
      <c r="J33" s="148" t="n"/>
      <c r="K33" s="148" t="n"/>
      <c r="L33" s="148" t="n"/>
      <c r="M33" s="148" t="n"/>
      <c r="N33" s="148" t="n"/>
      <c r="O33" s="148" t="n"/>
      <c r="P33" s="148" t="n"/>
      <c r="Q33" s="148" t="n"/>
      <c r="R33" s="148" t="n"/>
      <c r="S33" s="148" t="n"/>
      <c r="T33" s="170" t="n"/>
      <c r="U33" s="170" t="n"/>
      <c r="V33" s="170" t="n"/>
      <c r="W33" s="170" t="n"/>
      <c r="X33" s="170" t="n"/>
      <c r="Y33" s="170" t="n"/>
      <c r="Z33" s="170" t="n"/>
      <c r="AA33" s="170" t="n"/>
      <c r="AB33" s="170" t="n"/>
    </row>
    <row r="34" ht="13.5" customHeight="1" s="426">
      <c r="A34" s="171" t="n"/>
      <c r="B34" s="75" t="n"/>
      <c r="C34" s="76" t="n"/>
      <c r="D34" s="77" t="n">
        <v>3</v>
      </c>
      <c r="E34" s="80" t="n"/>
      <c r="F34" s="148" t="n"/>
      <c r="G34" s="148" t="inlineStr">
        <is>
          <t>O</t>
        </is>
      </c>
      <c r="H34" s="148" t="n"/>
      <c r="I34" s="148" t="n"/>
      <c r="J34" s="148" t="n"/>
      <c r="K34" s="148" t="n"/>
      <c r="L34" s="148" t="n"/>
      <c r="M34" s="148" t="n"/>
      <c r="N34" s="148" t="n"/>
      <c r="O34" s="148" t="n"/>
      <c r="P34" s="148" t="n"/>
      <c r="Q34" s="148" t="n"/>
      <c r="R34" s="148" t="n"/>
      <c r="S34" s="148" t="n"/>
      <c r="T34" s="170" t="n"/>
      <c r="U34" s="170" t="n"/>
      <c r="V34" s="170" t="n"/>
      <c r="W34" s="170" t="n"/>
      <c r="X34" s="170" t="n"/>
      <c r="Y34" s="170" t="n"/>
      <c r="Z34" s="170" t="n"/>
      <c r="AA34" s="170" t="n"/>
      <c r="AB34" s="170" t="n"/>
    </row>
    <row r="35" ht="13.5" customHeight="1" s="426">
      <c r="A35" s="171" t="n"/>
      <c r="B35" s="75" t="n"/>
      <c r="C35" s="76" t="n"/>
      <c r="D35" s="77" t="n">
        <v>4</v>
      </c>
      <c r="E35" s="80" t="n"/>
      <c r="F35" s="148" t="n"/>
      <c r="G35" s="148" t="n"/>
      <c r="H35" s="148" t="inlineStr">
        <is>
          <t>O</t>
        </is>
      </c>
      <c r="I35" s="148" t="n"/>
      <c r="J35" s="148" t="n"/>
      <c r="K35" s="148" t="n"/>
      <c r="L35" s="148" t="n"/>
      <c r="M35" s="148" t="n"/>
      <c r="N35" s="148" t="n"/>
      <c r="O35" s="148" t="n"/>
      <c r="P35" s="148" t="n"/>
      <c r="Q35" s="148" t="n"/>
      <c r="R35" s="148" t="n"/>
      <c r="S35" s="148" t="n"/>
      <c r="T35" s="170" t="n"/>
      <c r="U35" s="170" t="n"/>
      <c r="V35" s="170" t="n"/>
      <c r="W35" s="170" t="n"/>
      <c r="X35" s="170" t="n"/>
      <c r="Y35" s="170" t="n"/>
      <c r="Z35" s="170" t="n"/>
      <c r="AA35" s="170" t="n"/>
      <c r="AB35" s="170" t="n"/>
    </row>
    <row r="36" ht="13.5" customHeight="1" s="426">
      <c r="A36" s="171" t="n"/>
      <c r="B36" s="75" t="n"/>
      <c r="C36" s="76" t="n"/>
      <c r="D36" s="77" t="n">
        <v>9999</v>
      </c>
      <c r="E36" s="80" t="n"/>
      <c r="F36" s="148" t="n"/>
      <c r="G36" s="148" t="n"/>
      <c r="H36" s="148" t="n"/>
      <c r="I36" s="148" t="n"/>
      <c r="J36" s="148" t="n"/>
      <c r="K36" s="148" t="n"/>
      <c r="L36" s="148" t="n"/>
      <c r="M36" s="148" t="inlineStr">
        <is>
          <t>O</t>
        </is>
      </c>
      <c r="N36" s="148" t="n"/>
      <c r="O36" s="148" t="n"/>
      <c r="P36" s="148" t="n"/>
      <c r="Q36" s="148" t="n"/>
      <c r="R36" s="148" t="n"/>
      <c r="S36" s="148" t="n"/>
      <c r="T36" s="170" t="n"/>
      <c r="U36" s="170" t="n"/>
      <c r="V36" s="148" t="n"/>
      <c r="W36" s="148" t="n"/>
      <c r="X36" s="148" t="n"/>
      <c r="Y36" s="148" t="n"/>
      <c r="Z36" s="170" t="n"/>
      <c r="AA36" s="170" t="n"/>
      <c r="AB36" s="170" t="n"/>
    </row>
    <row r="37" ht="13.5" customHeight="1" s="426" thickBot="1">
      <c r="A37" s="171" t="n"/>
      <c r="B37" s="75" t="n"/>
      <c r="C37" s="76" t="n"/>
      <c r="D37" s="77" t="inlineStr">
        <is>
          <t>null</t>
        </is>
      </c>
      <c r="E37" s="80" t="n"/>
      <c r="F37" s="148" t="n"/>
      <c r="G37" s="148" t="n"/>
      <c r="H37" s="148" t="n"/>
      <c r="I37" s="148" t="n"/>
      <c r="J37" s="148" t="n"/>
      <c r="K37" s="148" t="n"/>
      <c r="L37" s="148" t="n"/>
      <c r="M37" s="148" t="n"/>
      <c r="N37" s="148" t="inlineStr">
        <is>
          <t>O</t>
        </is>
      </c>
      <c r="O37" s="148" t="n"/>
      <c r="P37" s="148" t="n"/>
      <c r="Q37" s="148" t="n"/>
      <c r="R37" s="148" t="n"/>
      <c r="S37" s="148" t="n"/>
      <c r="T37" s="170" t="n"/>
      <c r="U37" s="170" t="n"/>
      <c r="V37" s="170" t="n"/>
      <c r="W37" s="170" t="n"/>
      <c r="X37" s="170" t="n"/>
      <c r="Y37" s="170" t="n"/>
      <c r="Z37" s="170" t="n"/>
      <c r="AA37" s="170" t="n"/>
      <c r="AB37" s="170" t="n"/>
    </row>
    <row r="38" ht="13.5" customHeight="1" s="426">
      <c r="A38" s="182" t="inlineStr">
        <is>
          <t>Confirm</t>
        </is>
      </c>
      <c r="B38" s="208" t="inlineStr">
        <is>
          <t>Return</t>
        </is>
      </c>
      <c r="C38" s="239" t="n"/>
      <c r="D38" s="210" t="n"/>
      <c r="E38" s="86" t="n"/>
      <c r="F38" s="87" t="n"/>
      <c r="G38" s="87" t="n"/>
      <c r="H38" s="87" t="n"/>
      <c r="I38" s="87" t="n"/>
      <c r="J38" s="87" t="n"/>
      <c r="K38" s="87" t="n"/>
      <c r="L38" s="87" t="n"/>
      <c r="M38" s="87" t="n"/>
      <c r="N38" s="87" t="n"/>
      <c r="O38" s="87" t="n"/>
      <c r="P38" s="87" t="n"/>
      <c r="Q38" s="87" t="n"/>
      <c r="R38" s="87" t="n"/>
      <c r="S38" s="87" t="n"/>
      <c r="T38" s="196" t="n"/>
      <c r="U38" s="196" t="n"/>
      <c r="V38" s="196" t="n"/>
      <c r="W38" s="196" t="n"/>
      <c r="X38" s="196" t="n"/>
      <c r="Y38" s="196" t="n"/>
      <c r="Z38" s="196" t="n"/>
      <c r="AA38" s="196" t="n"/>
      <c r="AB38" s="196" t="n"/>
    </row>
    <row r="39" ht="13.5" customHeight="1" s="426">
      <c r="A39" s="181" t="n"/>
      <c r="B39" s="208" t="n"/>
      <c r="C39" s="209" t="n"/>
      <c r="D39" s="210" t="inlineStr">
        <is>
          <t>T</t>
        </is>
      </c>
      <c r="E39" s="91" t="n"/>
      <c r="F39" s="148" t="inlineStr">
        <is>
          <t>O</t>
        </is>
      </c>
      <c r="G39" s="148" t="inlineStr">
        <is>
          <t>O</t>
        </is>
      </c>
      <c r="H39" s="148" t="inlineStr">
        <is>
          <t>O</t>
        </is>
      </c>
      <c r="I39" s="148" t="inlineStr">
        <is>
          <t>O</t>
        </is>
      </c>
      <c r="J39" s="79" t="n"/>
      <c r="K39" s="79" t="n"/>
      <c r="L39" s="148" t="n"/>
      <c r="M39" s="148" t="n"/>
      <c r="N39" s="148" t="n"/>
      <c r="O39" s="148" t="n"/>
      <c r="P39" s="148" t="n"/>
      <c r="Q39" s="148" t="n"/>
      <c r="R39" s="148" t="n"/>
      <c r="S39" s="79" t="n"/>
      <c r="T39" s="148" t="n"/>
      <c r="U39" s="195" t="n"/>
      <c r="V39" s="148" t="n"/>
      <c r="W39" s="195" t="n"/>
      <c r="X39" s="148" t="n"/>
      <c r="Y39" s="195" t="n"/>
      <c r="Z39" s="195" t="n"/>
      <c r="AA39" s="195" t="n"/>
      <c r="AB39" s="195" t="n"/>
    </row>
    <row r="40" ht="13.5" customHeight="1" s="426">
      <c r="A40" s="181" t="n"/>
      <c r="B40" s="126" t="n"/>
      <c r="C40" s="89" t="n"/>
      <c r="D40" s="90" t="inlineStr">
        <is>
          <t>F</t>
        </is>
      </c>
      <c r="E40" s="91" t="n"/>
      <c r="F40" s="79" t="n"/>
      <c r="G40" s="148" t="n"/>
      <c r="H40" s="148" t="n"/>
      <c r="I40" s="148" t="n"/>
      <c r="J40" s="148" t="inlineStr">
        <is>
          <t>O</t>
        </is>
      </c>
      <c r="K40" s="148" t="inlineStr">
        <is>
          <t>O</t>
        </is>
      </c>
      <c r="L40" s="148" t="inlineStr">
        <is>
          <t>O</t>
        </is>
      </c>
      <c r="M40" s="148" t="inlineStr">
        <is>
          <t>O</t>
        </is>
      </c>
      <c r="N40" s="148" t="inlineStr">
        <is>
          <t>O</t>
        </is>
      </c>
      <c r="O40" s="148" t="inlineStr">
        <is>
          <t>O</t>
        </is>
      </c>
      <c r="P40" s="148" t="n"/>
      <c r="Q40" s="148" t="n"/>
      <c r="R40" s="148" t="n"/>
      <c r="S40" s="148" t="n"/>
      <c r="T40" s="195" t="n"/>
      <c r="U40" s="148" t="n"/>
      <c r="V40" s="195" t="n"/>
      <c r="W40" s="148" t="n"/>
      <c r="X40" s="195" t="n"/>
      <c r="Y40" s="148" t="n"/>
      <c r="Z40" s="195" t="n"/>
      <c r="AA40" s="195" t="n"/>
      <c r="AB40" s="195" t="n"/>
    </row>
    <row r="41" ht="13.5" customHeight="1" s="426">
      <c r="A41" s="181" t="n"/>
      <c r="B41" s="116" t="inlineStr">
        <is>
          <t>Exception</t>
        </is>
      </c>
      <c r="C41" s="120" t="n"/>
      <c r="D41" s="118" t="n"/>
      <c r="E41" s="91" t="n"/>
      <c r="F41" s="79" t="n"/>
      <c r="G41" s="79" t="n"/>
      <c r="H41" s="79" t="n"/>
      <c r="I41" s="79" t="n"/>
      <c r="J41" s="79" t="n"/>
      <c r="K41" s="79" t="n"/>
      <c r="L41" s="79" t="n"/>
      <c r="M41" s="79" t="n"/>
      <c r="N41" s="79" t="n"/>
      <c r="O41" s="79" t="n"/>
      <c r="P41" s="79" t="n"/>
      <c r="Q41" s="79" t="n"/>
      <c r="R41" s="79" t="n"/>
      <c r="S41" s="79" t="n"/>
      <c r="T41" s="195" t="n"/>
      <c r="U41" s="195" t="n"/>
      <c r="V41" s="195" t="n"/>
      <c r="W41" s="195" t="n"/>
      <c r="X41" s="195" t="n"/>
      <c r="Y41" s="195" t="n"/>
      <c r="Z41" s="195" t="n"/>
      <c r="AA41" s="195" t="n"/>
      <c r="AB41" s="195" t="n"/>
    </row>
    <row r="42" ht="13.5" customHeight="1" s="426">
      <c r="A42" s="181" t="n"/>
      <c r="B42" s="116" t="n"/>
      <c r="C42" s="120" t="n"/>
      <c r="D42" s="118" t="inlineStr">
        <is>
          <t>InvalidOperationException</t>
        </is>
      </c>
      <c r="E42" s="91" t="n"/>
      <c r="F42" s="79" t="n"/>
      <c r="G42" s="79" t="n"/>
      <c r="H42" s="79" t="n"/>
      <c r="I42" s="148" t="n"/>
      <c r="J42" s="79" t="n"/>
      <c r="K42" s="148" t="n"/>
      <c r="L42" s="79" t="n"/>
      <c r="M42" s="79" t="n"/>
      <c r="N42" s="79" t="n"/>
      <c r="O42" s="148" t="inlineStr">
        <is>
          <t>O</t>
        </is>
      </c>
      <c r="P42" s="79" t="n"/>
      <c r="Q42" s="79" t="n"/>
      <c r="R42" s="148" t="n"/>
      <c r="S42" s="148" t="n"/>
      <c r="T42" s="195" t="n"/>
      <c r="U42" s="195" t="n"/>
      <c r="V42" s="195" t="n"/>
      <c r="W42" s="195" t="n"/>
      <c r="X42" s="195" t="n"/>
      <c r="Y42" s="195" t="n"/>
      <c r="Z42" s="195" t="n"/>
      <c r="AA42" s="195" t="n"/>
      <c r="AB42" s="195" t="n"/>
    </row>
    <row r="43" ht="13.5" customHeight="1" s="426">
      <c r="A43" s="181" t="n"/>
      <c r="B43" s="116" t="n"/>
      <c r="C43" s="120" t="n"/>
      <c r="D43" s="118" t="inlineStr">
        <is>
          <t>ArguementNullException</t>
        </is>
      </c>
      <c r="E43" s="91" t="n"/>
      <c r="F43" s="79" t="n"/>
      <c r="G43" s="79" t="n"/>
      <c r="H43" s="148" t="n"/>
      <c r="I43" s="148" t="n"/>
      <c r="J43" s="79" t="n"/>
      <c r="K43" s="148" t="n"/>
      <c r="L43" s="148" t="n"/>
      <c r="M43" s="148" t="n"/>
      <c r="N43" s="148" t="inlineStr">
        <is>
          <t>O</t>
        </is>
      </c>
      <c r="O43" s="148" t="n"/>
      <c r="P43" s="79" t="n"/>
      <c r="Q43" s="79" t="n"/>
      <c r="R43" s="148" t="n"/>
      <c r="S43" s="79" t="n"/>
      <c r="T43" s="195" t="n"/>
      <c r="U43" s="195" t="n"/>
      <c r="V43" s="195" t="n"/>
      <c r="W43" s="195" t="n"/>
      <c r="X43" s="195" t="n"/>
      <c r="Y43" s="195" t="n"/>
      <c r="Z43" s="195" t="n"/>
      <c r="AA43" s="195" t="n"/>
      <c r="AB43" s="195" t="n"/>
    </row>
    <row r="44" ht="13.5" customHeight="1" s="426">
      <c r="A44" s="181" t="n"/>
      <c r="B44" s="88" t="inlineStr">
        <is>
          <t>Log message</t>
        </is>
      </c>
      <c r="C44" s="89" t="n"/>
      <c r="D44" s="90" t="n"/>
      <c r="E44" s="91" t="n"/>
      <c r="F44" s="79" t="n"/>
      <c r="G44" s="79" t="n"/>
      <c r="H44" s="79" t="n"/>
      <c r="I44" s="79" t="n"/>
      <c r="J44" s="79" t="n"/>
      <c r="K44" s="79" t="n"/>
      <c r="L44" s="79" t="n"/>
      <c r="M44" s="79" t="n"/>
      <c r="N44" s="79" t="n"/>
      <c r="O44" s="79" t="n"/>
      <c r="P44" s="79" t="n"/>
      <c r="Q44" s="79" t="n"/>
      <c r="R44" s="79" t="n"/>
      <c r="S44" s="79" t="n"/>
      <c r="T44" s="195" t="n"/>
      <c r="U44" s="195" t="n"/>
      <c r="V44" s="195" t="n"/>
      <c r="W44" s="195" t="n"/>
      <c r="X44" s="195" t="n"/>
      <c r="Y44" s="195" t="n"/>
      <c r="Z44" s="195" t="n"/>
      <c r="AA44" s="195" t="n"/>
      <c r="AB44" s="195" t="n"/>
    </row>
    <row r="45" ht="13.5" customHeight="1" s="426">
      <c r="A45" s="181" t="n"/>
      <c r="B45" s="88" t="n"/>
      <c r="C45" s="89" t="n"/>
      <c r="D45" s="90" t="inlineStr">
        <is>
          <t>"Return true for successfully changing status to Accepted"</t>
        </is>
      </c>
      <c r="E45" s="91" t="n"/>
      <c r="F45" s="148" t="inlineStr">
        <is>
          <t>O</t>
        </is>
      </c>
      <c r="G45" s="79" t="n"/>
      <c r="H45" s="79" t="n"/>
      <c r="I45" s="79" t="n"/>
      <c r="J45" s="79" t="n"/>
      <c r="K45" s="79" t="n"/>
      <c r="L45" s="79" t="n"/>
      <c r="M45" s="79" t="n"/>
      <c r="N45" s="79" t="n"/>
      <c r="O45" s="79" t="n"/>
      <c r="P45" s="79" t="n"/>
      <c r="Q45" s="79" t="n"/>
      <c r="R45" s="79" t="n"/>
      <c r="S45" s="79" t="n"/>
      <c r="T45" s="195" t="n"/>
      <c r="U45" s="195" t="n"/>
      <c r="V45" s="195" t="n"/>
      <c r="W45" s="195" t="n"/>
      <c r="X45" s="195" t="n"/>
      <c r="Y45" s="195" t="n"/>
      <c r="Z45" s="195" t="n"/>
      <c r="AA45" s="195" t="n"/>
      <c r="AB45" s="195" t="n"/>
    </row>
    <row r="46" ht="13.5" customHeight="1" s="426">
      <c r="A46" s="181" t="n"/>
      <c r="B46" s="88" t="n"/>
      <c r="C46" s="89" t="n"/>
      <c r="D46" s="90" t="inlineStr">
        <is>
          <t>"Return true for successfully changing status to In Usage"</t>
        </is>
      </c>
      <c r="E46" s="91" t="n"/>
      <c r="F46" s="79" t="n"/>
      <c r="G46" s="148" t="inlineStr">
        <is>
          <t>O</t>
        </is>
      </c>
      <c r="H46" s="79" t="n"/>
      <c r="I46" s="79" t="n"/>
      <c r="J46" s="79" t="n"/>
      <c r="K46" s="79" t="n"/>
      <c r="L46" s="79" t="n"/>
      <c r="M46" s="79" t="n"/>
      <c r="N46" s="79" t="n"/>
      <c r="O46" s="79" t="n"/>
      <c r="P46" s="79" t="n"/>
      <c r="Q46" s="79" t="n"/>
      <c r="R46" s="79" t="n"/>
      <c r="S46" s="79" t="n"/>
      <c r="T46" s="195" t="n"/>
      <c r="U46" s="195" t="n"/>
      <c r="V46" s="195" t="n"/>
      <c r="W46" s="195" t="n"/>
      <c r="X46" s="195" t="n"/>
      <c r="Y46" s="195" t="n"/>
      <c r="Z46" s="195" t="n"/>
      <c r="AA46" s="195" t="n"/>
      <c r="AB46" s="195" t="n"/>
    </row>
    <row r="47" ht="13.5" customHeight="1" s="426">
      <c r="A47" s="181" t="n"/>
      <c r="B47" s="88" t="n"/>
      <c r="C47" s="89" t="n"/>
      <c r="D47" s="90" t="inlineStr">
        <is>
          <t>"Return true for successfully changing status to Completed"</t>
        </is>
      </c>
      <c r="E47" s="91" t="n"/>
      <c r="F47" s="79" t="n"/>
      <c r="G47" s="79" t="n"/>
      <c r="H47" s="148" t="inlineStr">
        <is>
          <t>O</t>
        </is>
      </c>
      <c r="I47" s="79" t="n"/>
      <c r="J47" s="79" t="n"/>
      <c r="K47" s="79" t="n"/>
      <c r="L47" s="79" t="n"/>
      <c r="M47" s="79" t="n"/>
      <c r="N47" s="79" t="n"/>
      <c r="O47" s="79" t="n"/>
      <c r="P47" s="79" t="n"/>
      <c r="Q47" s="79" t="n"/>
      <c r="R47" s="79" t="n"/>
      <c r="S47" s="79" t="n"/>
      <c r="T47" s="195" t="n"/>
      <c r="U47" s="195" t="n"/>
      <c r="V47" s="195" t="n"/>
      <c r="W47" s="195" t="n"/>
      <c r="X47" s="195" t="n"/>
      <c r="Y47" s="195" t="n"/>
      <c r="Z47" s="195" t="n"/>
      <c r="AA47" s="195" t="n"/>
      <c r="AB47" s="195" t="n"/>
    </row>
    <row r="48" ht="13.5" customHeight="1" s="426">
      <c r="A48" s="181" t="n"/>
      <c r="B48" s="88" t="n"/>
      <c r="C48" s="89" t="n"/>
      <c r="D48" s="90" t="inlineStr">
        <is>
          <t>"Return true for successfully changing status to Cancel"</t>
        </is>
      </c>
      <c r="E48" s="91" t="n"/>
      <c r="F48" s="79" t="n"/>
      <c r="G48" s="79" t="n"/>
      <c r="H48" s="79" t="n"/>
      <c r="I48" s="148" t="inlineStr">
        <is>
          <t>O</t>
        </is>
      </c>
      <c r="J48" s="79" t="n"/>
      <c r="K48" s="79" t="n"/>
      <c r="L48" s="79" t="n"/>
      <c r="M48" s="79" t="n"/>
      <c r="N48" s="79" t="n"/>
      <c r="O48" s="79" t="n"/>
      <c r="P48" s="79" t="n"/>
      <c r="Q48" s="79" t="n"/>
      <c r="R48" s="79" t="n"/>
      <c r="S48" s="79" t="n"/>
      <c r="T48" s="195" t="n"/>
      <c r="U48" s="195" t="n"/>
      <c r="V48" s="195" t="n"/>
      <c r="W48" s="195" t="n"/>
      <c r="X48" s="195" t="n"/>
      <c r="Y48" s="195" t="n"/>
      <c r="Z48" s="195" t="n"/>
      <c r="AA48" s="195" t="n"/>
      <c r="AB48" s="195" t="n"/>
    </row>
    <row r="49" ht="13.5" customHeight="1" s="426">
      <c r="A49" s="181" t="n"/>
      <c r="B49" s="88" t="n"/>
      <c r="C49" s="92" t="n"/>
      <c r="D49" s="90" t="inlineStr">
        <is>
          <t>"Expected ChangeBorrowingStatus to return false when BorrowId does not exist."</t>
        </is>
      </c>
      <c r="E49" s="93" t="n"/>
      <c r="F49" s="148" t="n"/>
      <c r="G49" s="79" t="n"/>
      <c r="H49" s="79" t="n"/>
      <c r="I49" s="79" t="n"/>
      <c r="J49" s="148" t="inlineStr">
        <is>
          <t>O</t>
        </is>
      </c>
      <c r="K49" s="79" t="n"/>
      <c r="L49" s="79" t="n"/>
      <c r="M49" s="79" t="n"/>
      <c r="N49" s="79" t="n"/>
      <c r="O49" s="79" t="n"/>
      <c r="P49" s="79" t="n"/>
      <c r="Q49" s="79" t="n"/>
      <c r="R49" s="79" t="n"/>
      <c r="S49" s="79" t="n"/>
      <c r="T49" s="195" t="n"/>
      <c r="U49" s="195" t="n"/>
      <c r="V49" s="195" t="n"/>
      <c r="W49" s="195" t="n"/>
      <c r="X49" s="195" t="n"/>
      <c r="Y49" s="195" t="n"/>
      <c r="Z49" s="195" t="n"/>
      <c r="AA49" s="195" t="n"/>
      <c r="AB49" s="195" t="n"/>
    </row>
    <row r="50" ht="13.5" customHeight="1" s="426">
      <c r="A50" s="181" t="n"/>
      <c r="B50" s="88" t="n"/>
      <c r="C50" s="92" t="n"/>
      <c r="D50" s="90" t="inlineStr">
        <is>
          <t>"Expected ChangeBorrowingStatus to return false when RoleId does not exist."</t>
        </is>
      </c>
      <c r="E50" s="93" t="n"/>
      <c r="F50" s="148" t="n"/>
      <c r="G50" s="79" t="n"/>
      <c r="H50" s="79" t="n"/>
      <c r="I50" s="79" t="n"/>
      <c r="J50" s="148" t="n"/>
      <c r="K50" s="148" t="inlineStr">
        <is>
          <t>O</t>
        </is>
      </c>
      <c r="L50" s="79" t="n"/>
      <c r="M50" s="79" t="n"/>
      <c r="N50" s="79" t="n"/>
      <c r="O50" s="79" t="n"/>
      <c r="P50" s="79" t="n"/>
      <c r="Q50" s="79" t="n"/>
      <c r="R50" s="79" t="n"/>
      <c r="S50" s="79" t="n"/>
      <c r="T50" s="195" t="n"/>
      <c r="U50" s="195" t="n"/>
      <c r="V50" s="195" t="n"/>
      <c r="W50" s="195" t="n"/>
      <c r="X50" s="195" t="n"/>
      <c r="Y50" s="195" t="n"/>
      <c r="Z50" s="195" t="n"/>
      <c r="AA50" s="195" t="n"/>
      <c r="AB50" s="195" t="n"/>
    </row>
    <row r="51" ht="13.5" customHeight="1" s="426">
      <c r="A51" s="181" t="n"/>
      <c r="B51" s="88" t="n"/>
      <c r="C51" s="92" t="n"/>
      <c r="D51" s="90" t="inlineStr">
        <is>
          <t>"Expected ChangeBorrowingStatus to return false when UpdaterGuid does not exist."</t>
        </is>
      </c>
      <c r="E51" s="93" t="n"/>
      <c r="F51" s="148" t="n"/>
      <c r="G51" s="79" t="n"/>
      <c r="H51" s="79" t="n"/>
      <c r="I51" s="79" t="n"/>
      <c r="J51" s="148" t="n"/>
      <c r="K51" s="79" t="n"/>
      <c r="L51" s="148" t="inlineStr">
        <is>
          <t>O</t>
        </is>
      </c>
      <c r="M51" s="79" t="n"/>
      <c r="N51" s="79" t="n"/>
      <c r="O51" s="79" t="n"/>
      <c r="P51" s="79" t="n"/>
      <c r="Q51" s="79" t="n"/>
      <c r="R51" s="79" t="n"/>
      <c r="S51" s="79" t="n"/>
      <c r="T51" s="195" t="n"/>
      <c r="U51" s="195" t="n"/>
      <c r="V51" s="195" t="n"/>
      <c r="W51" s="195" t="n"/>
      <c r="X51" s="195" t="n"/>
      <c r="Y51" s="195" t="n"/>
      <c r="Z51" s="195" t="n"/>
      <c r="AA51" s="195" t="n"/>
      <c r="AB51" s="195" t="n"/>
    </row>
    <row r="52" ht="13.5" customHeight="1" s="426">
      <c r="A52" s="181" t="n"/>
      <c r="B52" s="88" t="n"/>
      <c r="C52" s="92" t="n"/>
      <c r="D52" s="90" t="inlineStr">
        <is>
          <t>"Expected ChangeBorrowingStatus to return false for an invalid status."</t>
        </is>
      </c>
      <c r="E52" s="93" t="n"/>
      <c r="F52" s="148" t="n"/>
      <c r="G52" s="79" t="n"/>
      <c r="H52" s="79" t="n"/>
      <c r="I52" s="79" t="n"/>
      <c r="J52" s="148" t="n"/>
      <c r="K52" s="79" t="n"/>
      <c r="L52" s="148" t="n"/>
      <c r="M52" s="148" t="inlineStr">
        <is>
          <t>O</t>
        </is>
      </c>
      <c r="N52" s="79" t="n"/>
      <c r="O52" s="79" t="n"/>
      <c r="P52" s="79" t="n"/>
      <c r="Q52" s="79" t="n"/>
      <c r="R52" s="79" t="n"/>
      <c r="S52" s="79" t="n"/>
      <c r="T52" s="195" t="n"/>
      <c r="U52" s="195" t="n"/>
      <c r="V52" s="195" t="n"/>
      <c r="W52" s="195" t="n"/>
      <c r="X52" s="195" t="n"/>
      <c r="Y52" s="195" t="n"/>
      <c r="Z52" s="195" t="n"/>
      <c r="AA52" s="195" t="n"/>
      <c r="AB52" s="195" t="n"/>
    </row>
    <row r="53" ht="13.5" customHeight="1" s="426" thickBot="1">
      <c r="A53" s="181" t="n"/>
      <c r="B53" s="88" t="n"/>
      <c r="C53" s="92" t="n"/>
      <c r="D53" s="90" t="inlineStr">
        <is>
          <t>"Database connection failed"</t>
        </is>
      </c>
      <c r="E53" s="93" t="n"/>
      <c r="F53" s="148" t="n"/>
      <c r="G53" s="79" t="n"/>
      <c r="H53" s="79" t="n"/>
      <c r="I53" s="79" t="n"/>
      <c r="J53" s="148" t="n"/>
      <c r="K53" s="79" t="n"/>
      <c r="L53" s="148" t="n"/>
      <c r="M53" s="148" t="n"/>
      <c r="N53" s="79" t="n"/>
      <c r="O53" s="148" t="inlineStr">
        <is>
          <t>O</t>
        </is>
      </c>
      <c r="P53" s="79" t="n"/>
      <c r="Q53" s="79" t="n"/>
      <c r="R53" s="79" t="n"/>
      <c r="S53" s="79" t="n"/>
      <c r="T53" s="195" t="n"/>
      <c r="U53" s="195" t="n"/>
      <c r="V53" s="195" t="n"/>
      <c r="W53" s="195" t="n"/>
      <c r="X53" s="195" t="n"/>
      <c r="Y53" s="195" t="n"/>
      <c r="Z53" s="195" t="n"/>
      <c r="AA53" s="195" t="n"/>
      <c r="AB53" s="195" t="n"/>
    </row>
    <row r="54" ht="13.5" customHeight="1" s="426" thickTop="1">
      <c r="A54" s="182" t="inlineStr">
        <is>
          <t>Result</t>
        </is>
      </c>
      <c r="B54" s="331" t="inlineStr">
        <is>
          <t>Type(N : Normal, A : Abnormal, B : Boundary)</t>
        </is>
      </c>
      <c r="C54" s="472" t="n"/>
      <c r="D54" s="473" t="n"/>
      <c r="E54" s="331" t="n"/>
      <c r="F54" s="188" t="inlineStr">
        <is>
          <t>N</t>
        </is>
      </c>
      <c r="G54" s="188" t="inlineStr">
        <is>
          <t>A</t>
        </is>
      </c>
      <c r="H54" s="188" t="inlineStr">
        <is>
          <t>A</t>
        </is>
      </c>
      <c r="I54" s="188" t="inlineStr">
        <is>
          <t>A</t>
        </is>
      </c>
      <c r="J54" s="188" t="inlineStr">
        <is>
          <t>A</t>
        </is>
      </c>
      <c r="K54" s="188" t="inlineStr">
        <is>
          <t>A</t>
        </is>
      </c>
      <c r="L54" s="188" t="inlineStr">
        <is>
          <t>A</t>
        </is>
      </c>
      <c r="M54" s="188" t="inlineStr">
        <is>
          <t>A</t>
        </is>
      </c>
      <c r="N54" s="188" t="inlineStr">
        <is>
          <t>A</t>
        </is>
      </c>
      <c r="O54" s="188" t="inlineStr">
        <is>
          <t>A</t>
        </is>
      </c>
      <c r="P54" s="188" t="n"/>
      <c r="Q54" s="188" t="n"/>
      <c r="R54" s="188" t="n"/>
      <c r="S54" s="188" t="n"/>
      <c r="T54" s="188" t="n"/>
      <c r="U54" s="188" t="n"/>
      <c r="V54" s="188" t="n"/>
      <c r="W54" s="188" t="n"/>
      <c r="X54" s="188" t="n"/>
      <c r="Y54" s="188" t="n"/>
      <c r="Z54" s="198" t="n"/>
      <c r="AA54" s="198" t="n"/>
      <c r="AB54" s="198" t="n"/>
    </row>
    <row r="55" ht="13.5" customHeight="1" s="426">
      <c r="A55" s="174" t="n"/>
      <c r="B55" s="320" t="inlineStr">
        <is>
          <t>Passed/Failed</t>
        </is>
      </c>
      <c r="C55" s="449" t="n"/>
      <c r="D55" s="450" t="n"/>
      <c r="E55" s="95" t="n"/>
      <c r="F55" s="94" t="inlineStr">
        <is>
          <t>P</t>
        </is>
      </c>
      <c r="G55" s="94" t="inlineStr">
        <is>
          <t>P</t>
        </is>
      </c>
      <c r="H55" s="94" t="inlineStr">
        <is>
          <t>P</t>
        </is>
      </c>
      <c r="I55" s="94" t="inlineStr">
        <is>
          <t>P</t>
        </is>
      </c>
      <c r="J55" s="94" t="inlineStr">
        <is>
          <t>P</t>
        </is>
      </c>
      <c r="K55" s="94" t="inlineStr">
        <is>
          <t>P</t>
        </is>
      </c>
      <c r="L55" s="94" t="inlineStr">
        <is>
          <t>P</t>
        </is>
      </c>
      <c r="M55" s="94" t="inlineStr">
        <is>
          <t>P</t>
        </is>
      </c>
      <c r="N55" s="94" t="inlineStr">
        <is>
          <t>P</t>
        </is>
      </c>
      <c r="O55" s="94" t="inlineStr">
        <is>
          <t>P</t>
        </is>
      </c>
      <c r="P55" s="94" t="n"/>
      <c r="Q55" s="94" t="n"/>
      <c r="R55" s="94" t="n"/>
      <c r="S55" s="94" t="n"/>
      <c r="T55" s="94" t="n"/>
      <c r="U55" s="94" t="n"/>
      <c r="V55" s="94" t="n"/>
      <c r="W55" s="94" t="n"/>
      <c r="X55" s="94" t="n"/>
      <c r="Y55" s="94" t="n"/>
      <c r="Z55" s="199" t="n"/>
      <c r="AA55" s="199" t="n"/>
      <c r="AB55" s="199" t="n"/>
    </row>
    <row r="56" ht="71.5" customHeight="1" s="426">
      <c r="A56" s="174" t="n"/>
      <c r="B56" s="329" t="inlineStr">
        <is>
          <t>Executed Date</t>
        </is>
      </c>
      <c r="C56" s="449" t="n"/>
      <c r="D56" s="450" t="n"/>
      <c r="E56" s="96" t="n"/>
      <c r="F56" s="97" t="n">
        <v>45708</v>
      </c>
      <c r="G56" s="97" t="n">
        <v>45708</v>
      </c>
      <c r="H56" s="97" t="n">
        <v>45708</v>
      </c>
      <c r="I56" s="97" t="n">
        <v>45708</v>
      </c>
      <c r="J56" s="97" t="n">
        <v>45708</v>
      </c>
      <c r="K56" s="97" t="n">
        <v>45708</v>
      </c>
      <c r="L56" s="97" t="n">
        <v>45708</v>
      </c>
      <c r="M56" s="97" t="n">
        <v>45708</v>
      </c>
      <c r="N56" s="97" t="n">
        <v>45708</v>
      </c>
      <c r="O56" s="97" t="n">
        <v>45708</v>
      </c>
      <c r="P56" s="97" t="n"/>
      <c r="Q56" s="97" t="n"/>
      <c r="R56" s="97" t="n"/>
      <c r="S56" s="97" t="n"/>
      <c r="T56" s="97" t="n"/>
      <c r="U56" s="97" t="n"/>
      <c r="V56" s="97" t="n"/>
      <c r="W56" s="97" t="n"/>
      <c r="X56" s="97" t="n"/>
      <c r="Y56" s="97" t="n"/>
      <c r="Z56" s="97" t="n"/>
      <c r="AA56" s="176" t="n"/>
      <c r="AB56" s="176" t="n"/>
    </row>
    <row r="57" ht="10.5" customHeight="1" s="426" thickBot="1">
      <c r="A57" s="177" t="n"/>
      <c r="B57" s="330" t="inlineStr">
        <is>
          <t>Defect ID</t>
        </is>
      </c>
      <c r="C57" s="474" t="n"/>
      <c r="D57" s="475" t="n"/>
      <c r="E57" s="178" t="n"/>
      <c r="F57" s="179" t="n"/>
      <c r="G57" s="179" t="n"/>
      <c r="H57" s="179" t="n"/>
      <c r="I57" s="179" t="n"/>
      <c r="J57" s="179" t="n"/>
      <c r="K57" s="179" t="n"/>
      <c r="L57" s="179" t="n"/>
      <c r="M57" s="179" t="n"/>
      <c r="N57" s="179" t="n"/>
      <c r="O57" s="179" t="n"/>
      <c r="P57" s="179" t="n"/>
      <c r="Q57" s="179" t="n"/>
      <c r="R57" s="179" t="n"/>
      <c r="S57" s="179" t="n"/>
      <c r="T57" s="180" t="n"/>
      <c r="U57" s="180" t="n"/>
      <c r="V57" s="180" t="n"/>
      <c r="W57" s="180" t="n"/>
      <c r="X57" s="180" t="n"/>
      <c r="Y57" s="180" t="n"/>
      <c r="Z57" s="180" t="n"/>
      <c r="AA57" s="180" t="n"/>
      <c r="AB57" s="180" t="n"/>
    </row>
    <row r="58" ht="10.5" customHeight="1" s="426" thickTop="1">
      <c r="A58" s="73" t="n"/>
      <c r="B58" s="69" t="n"/>
      <c r="C58" s="413" t="n"/>
      <c r="D58" s="69" t="n"/>
    </row>
  </sheetData>
  <mergeCells count="27">
    <mergeCell ref="B57:D57"/>
    <mergeCell ref="F2:K2"/>
    <mergeCell ref="A6:B6"/>
    <mergeCell ref="C4:D4"/>
    <mergeCell ref="L4:T4"/>
    <mergeCell ref="C2:E2"/>
    <mergeCell ref="A7:B7"/>
    <mergeCell ref="C7:E7"/>
    <mergeCell ref="L6:N6"/>
    <mergeCell ref="B55:D55"/>
    <mergeCell ref="A3:B3"/>
    <mergeCell ref="A2:B2"/>
    <mergeCell ref="A5:B5"/>
    <mergeCell ref="C3:E3"/>
    <mergeCell ref="O7:T7"/>
    <mergeCell ref="F4:K4"/>
    <mergeCell ref="B54:D54"/>
    <mergeCell ref="C6:E6"/>
    <mergeCell ref="A4:B4"/>
    <mergeCell ref="L2:T2"/>
    <mergeCell ref="O6:T6"/>
    <mergeCell ref="F6:K6"/>
    <mergeCell ref="B56:D56"/>
    <mergeCell ref="F7:K7"/>
    <mergeCell ref="C5:T5"/>
    <mergeCell ref="L3:T3"/>
    <mergeCell ref="F3:K3"/>
  </mergeCells>
  <dataValidations count="3">
    <dataValidation sqref="F54:AB54" showDropDown="0" showInputMessage="1" showErrorMessage="1" allowBlank="1" type="list">
      <formula1>"N,A,B, "</formula1>
    </dataValidation>
    <dataValidation sqref="F55:AB55" showDropDown="0" showInputMessage="1" showErrorMessage="1" allowBlank="1" type="list">
      <formula1>"P,F, "</formula1>
    </dataValidation>
    <dataValidation sqref="F10:AB53"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sheetPr>
  <dimension ref="A1:AB60"/>
  <sheetViews>
    <sheetView topLeftCell="A84" zoomScale="115" zoomScaleNormal="115" workbookViewId="0">
      <selection activeCell="AE58" sqref="AE58"/>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3.08984375" customWidth="1" style="69" min="22" max="22"/>
    <col width="2.81640625" customWidth="1" style="69" min="23" max="23"/>
    <col width="3.26953125" customWidth="1" style="69" min="24" max="24"/>
    <col width="3.1796875" customWidth="1" style="69" min="25" max="25"/>
    <col width="2.90625" customWidth="1" style="69" min="26" max="26"/>
    <col width="3.6328125" customWidth="1" style="69" min="27" max="27"/>
    <col width="3.54296875" customWidth="1" style="69" min="28" max="28"/>
    <col width="11" customWidth="1" style="69" min="29" max="256"/>
    <col width="9" customWidth="1" style="69" min="257" max="16384"/>
  </cols>
  <sheetData>
    <row r="1" ht="13.5" customHeight="1" s="426" thickBot="1">
      <c r="A1" s="67" t="n"/>
      <c r="B1" s="68" t="n"/>
    </row>
    <row r="2" ht="13.5" customHeight="1" s="426">
      <c r="A2" s="315" t="inlineStr">
        <is>
          <t>Function Code</t>
        </is>
      </c>
      <c r="B2" s="439" t="n"/>
      <c r="C2" s="440" t="inlineStr">
        <is>
          <t>User - 7</t>
        </is>
      </c>
      <c r="D2" s="439" t="n"/>
      <c r="E2" s="441" t="n"/>
      <c r="F2" s="410" t="inlineStr">
        <is>
          <t>Function Name</t>
        </is>
      </c>
      <c r="G2" s="496" t="n"/>
      <c r="H2" s="496" t="n"/>
      <c r="I2" s="496" t="n"/>
      <c r="J2" s="496" t="n"/>
      <c r="K2" s="496" t="n"/>
      <c r="L2" s="443" t="inlineStr">
        <is>
          <t>Update User Profile</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286</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COUNTIF(F57:HQ57,"P")</f>
        <v/>
      </c>
      <c r="B7" s="465" t="n"/>
      <c r="C7" s="466">
        <f>COUNTIF(F58:HQ58,"F")</f>
        <v/>
      </c>
      <c r="D7" s="467" t="n"/>
      <c r="E7" s="465" t="n"/>
      <c r="F7" s="468">
        <f>SUM(O7,- A7,- C7)</f>
        <v/>
      </c>
      <c r="G7" s="467" t="n"/>
      <c r="H7" s="467" t="n"/>
      <c r="I7" s="467" t="n"/>
      <c r="J7" s="467" t="n"/>
      <c r="K7" s="469" t="n"/>
      <c r="L7" s="342">
        <f>COUNTIF(E56:HQ56,"N")</f>
        <v/>
      </c>
      <c r="M7" s="342">
        <f>COUNTIF(E56:HQ56,"A")</f>
        <v/>
      </c>
      <c r="N7" s="342">
        <f>COUNTIF(E56:HQ56,"B")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inlineStr">
        <is>
          <t>UTCID07</t>
        </is>
      </c>
      <c r="M9" s="168" t="inlineStr">
        <is>
          <t>UTCID08</t>
        </is>
      </c>
      <c r="N9" s="168" t="inlineStr">
        <is>
          <t>UTCID09</t>
        </is>
      </c>
      <c r="O9" s="168" t="inlineStr">
        <is>
          <t>UTCID10</t>
        </is>
      </c>
      <c r="P9" s="168" t="inlineStr">
        <is>
          <t>UTCID11</t>
        </is>
      </c>
      <c r="Q9" s="168" t="inlineStr">
        <is>
          <t>UTCID12</t>
        </is>
      </c>
      <c r="R9" s="168" t="inlineStr">
        <is>
          <t>UTCID13</t>
        </is>
      </c>
      <c r="S9" s="168" t="inlineStr">
        <is>
          <t>UTCID14</t>
        </is>
      </c>
      <c r="T9" s="168" t="inlineStr">
        <is>
          <t>UTCID15</t>
        </is>
      </c>
      <c r="U9" s="168" t="n"/>
      <c r="V9" s="168" t="n"/>
      <c r="W9" s="168" t="n"/>
      <c r="X9" s="168" t="n"/>
      <c r="Y9" s="168" t="n"/>
      <c r="Z9" s="168" t="n"/>
      <c r="AA9" s="168" t="n"/>
      <c r="AB9" s="168"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c r="U10" s="195" t="n"/>
      <c r="V10" s="195" t="n"/>
      <c r="W10" s="195" t="n"/>
      <c r="X10" s="195" t="n"/>
      <c r="Y10" s="195" t="n"/>
      <c r="Z10" s="195" t="n"/>
      <c r="AA10" s="195" t="n"/>
      <c r="AB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n"/>
      <c r="K11" s="148" t="inlineStr">
        <is>
          <t>O</t>
        </is>
      </c>
      <c r="L11" s="148" t="inlineStr">
        <is>
          <t>O</t>
        </is>
      </c>
      <c r="M11" s="148" t="inlineStr">
        <is>
          <t>O</t>
        </is>
      </c>
      <c r="N11" s="148" t="inlineStr">
        <is>
          <t>O</t>
        </is>
      </c>
      <c r="O11" s="148" t="n"/>
      <c r="P11" s="148" t="inlineStr">
        <is>
          <t>O</t>
        </is>
      </c>
      <c r="Q11" s="148" t="inlineStr">
        <is>
          <t>O</t>
        </is>
      </c>
      <c r="R11" s="148" t="inlineStr">
        <is>
          <t>O</t>
        </is>
      </c>
      <c r="S11" s="148" t="inlineStr">
        <is>
          <t>O</t>
        </is>
      </c>
      <c r="T11" s="148" t="inlineStr">
        <is>
          <t>O</t>
        </is>
      </c>
      <c r="U11" s="148" t="n"/>
      <c r="V11" s="148" t="n"/>
      <c r="W11" s="148" t="n"/>
      <c r="X11" s="148" t="n"/>
      <c r="Y11" s="148" t="n"/>
      <c r="Z11" s="148" t="n"/>
      <c r="AA11" s="148" t="n"/>
      <c r="AB11" s="170"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inlineStr">
        <is>
          <t>O</t>
        </is>
      </c>
      <c r="M12" s="148" t="inlineStr">
        <is>
          <t>O</t>
        </is>
      </c>
      <c r="N12" s="148" t="inlineStr">
        <is>
          <t>O</t>
        </is>
      </c>
      <c r="O12" s="148" t="inlineStr">
        <is>
          <t>O</t>
        </is>
      </c>
      <c r="P12" s="148" t="inlineStr">
        <is>
          <t>O</t>
        </is>
      </c>
      <c r="Q12" s="148" t="inlineStr">
        <is>
          <t>O</t>
        </is>
      </c>
      <c r="R12" s="148" t="inlineStr">
        <is>
          <t>O</t>
        </is>
      </c>
      <c r="S12" s="148" t="inlineStr">
        <is>
          <t>O</t>
        </is>
      </c>
      <c r="T12" s="148" t="inlineStr">
        <is>
          <t>O</t>
        </is>
      </c>
      <c r="U12" s="148" t="n"/>
      <c r="V12" s="148" t="n"/>
      <c r="W12" s="148" t="n"/>
      <c r="X12" s="148" t="n"/>
      <c r="Y12" s="148" t="n"/>
      <c r="Z12" s="148" t="n"/>
      <c r="AA12" s="148" t="n"/>
      <c r="AB12" s="170" t="n"/>
    </row>
    <row r="13" ht="13.5" customHeight="1" s="426">
      <c r="A13" s="171" t="n"/>
      <c r="B13" s="75" t="n"/>
      <c r="C13" s="76" t="n"/>
      <c r="D13" s="77" t="inlineStr">
        <is>
          <t>UserId Existed</t>
        </is>
      </c>
      <c r="E13" s="80" t="n"/>
      <c r="F13" s="148" t="inlineStr">
        <is>
          <t>O</t>
        </is>
      </c>
      <c r="G13" s="148" t="n"/>
      <c r="H13" s="148" t="n"/>
      <c r="I13" s="148" t="inlineStr">
        <is>
          <t>O</t>
        </is>
      </c>
      <c r="J13" s="148" t="n"/>
      <c r="K13" s="148" t="inlineStr">
        <is>
          <t>O</t>
        </is>
      </c>
      <c r="L13" s="148" t="inlineStr">
        <is>
          <t>O</t>
        </is>
      </c>
      <c r="M13" s="148" t="inlineStr">
        <is>
          <t>O</t>
        </is>
      </c>
      <c r="N13" s="148" t="inlineStr">
        <is>
          <t>O</t>
        </is>
      </c>
      <c r="O13" s="148" t="inlineStr">
        <is>
          <t>O</t>
        </is>
      </c>
      <c r="P13" s="148" t="inlineStr">
        <is>
          <t>O</t>
        </is>
      </c>
      <c r="Q13" s="148" t="inlineStr">
        <is>
          <t>O</t>
        </is>
      </c>
      <c r="R13" s="148" t="inlineStr">
        <is>
          <t>O</t>
        </is>
      </c>
      <c r="S13" s="148" t="inlineStr">
        <is>
          <t>O</t>
        </is>
      </c>
      <c r="T13" s="148" t="inlineStr">
        <is>
          <t>O</t>
        </is>
      </c>
      <c r="U13" s="148" t="n"/>
      <c r="V13" s="148" t="n"/>
      <c r="W13" s="148" t="n"/>
      <c r="X13" s="148" t="n"/>
      <c r="Y13" s="148" t="n"/>
      <c r="Z13" s="148" t="n"/>
      <c r="AA13" s="148" t="n"/>
      <c r="AB13" s="170" t="n"/>
    </row>
    <row r="14" ht="13.5" customHeight="1" s="426">
      <c r="A14" s="171" t="n"/>
      <c r="B14" s="75" t="n"/>
      <c r="C14" s="76" t="n"/>
      <c r="D14" s="77" t="inlineStr">
        <is>
          <t>UserId Does not Existed</t>
        </is>
      </c>
      <c r="E14" s="80" t="n"/>
      <c r="F14" s="148" t="n"/>
      <c r="G14" s="148" t="inlineStr">
        <is>
          <t>O</t>
        </is>
      </c>
      <c r="H14" s="148" t="inlineStr">
        <is>
          <t>O</t>
        </is>
      </c>
      <c r="I14" s="148" t="n"/>
      <c r="J14" s="148" t="inlineStr">
        <is>
          <t>O</t>
        </is>
      </c>
      <c r="K14" s="148" t="n"/>
      <c r="L14" s="148" t="n"/>
      <c r="M14" s="148" t="n"/>
      <c r="N14" s="148" t="n"/>
      <c r="O14" s="148" t="n"/>
      <c r="P14" s="148" t="n"/>
      <c r="Q14" s="148" t="n"/>
      <c r="R14" s="148" t="n"/>
      <c r="S14" s="148" t="n"/>
      <c r="T14" s="148" t="n"/>
      <c r="U14" s="148" t="n"/>
      <c r="V14" s="148" t="n"/>
      <c r="W14" s="148" t="n"/>
      <c r="X14" s="148" t="n"/>
      <c r="Y14" s="148" t="n"/>
      <c r="Z14" s="148" t="n"/>
      <c r="AA14" s="148" t="n"/>
      <c r="AB14" s="170" t="n"/>
    </row>
    <row r="15" ht="13.5" customHeight="1" s="426">
      <c r="A15" s="171" t="n"/>
      <c r="B15" s="75" t="n"/>
      <c r="C15" s="76" t="n"/>
      <c r="D15" s="77" t="inlineStr">
        <is>
          <t>RoleId Existed</t>
        </is>
      </c>
      <c r="E15" s="80" t="n"/>
      <c r="F15" s="148" t="inlineStr">
        <is>
          <t>O</t>
        </is>
      </c>
      <c r="G15" s="148" t="n"/>
      <c r="H15" s="148" t="inlineStr">
        <is>
          <t>O</t>
        </is>
      </c>
      <c r="I15" s="148" t="inlineStr">
        <is>
          <t>O</t>
        </is>
      </c>
      <c r="J15" s="148" t="n"/>
      <c r="K15" s="148" t="inlineStr">
        <is>
          <t>O</t>
        </is>
      </c>
      <c r="L15" s="148" t="inlineStr">
        <is>
          <t>O</t>
        </is>
      </c>
      <c r="M15" s="148" t="inlineStr">
        <is>
          <t>O</t>
        </is>
      </c>
      <c r="N15" s="148" t="inlineStr">
        <is>
          <t>O</t>
        </is>
      </c>
      <c r="O15" s="148" t="inlineStr">
        <is>
          <t>O</t>
        </is>
      </c>
      <c r="P15" s="148" t="inlineStr">
        <is>
          <t>O</t>
        </is>
      </c>
      <c r="Q15" s="148" t="inlineStr">
        <is>
          <t>O</t>
        </is>
      </c>
      <c r="R15" s="148" t="inlineStr">
        <is>
          <t>O</t>
        </is>
      </c>
      <c r="S15" s="148" t="inlineStr">
        <is>
          <t>O</t>
        </is>
      </c>
      <c r="T15" s="148" t="inlineStr">
        <is>
          <t>O</t>
        </is>
      </c>
      <c r="U15" s="148" t="n"/>
      <c r="V15" s="148" t="n"/>
      <c r="W15" s="148" t="n"/>
      <c r="X15" s="148" t="n"/>
      <c r="Y15" s="148" t="n"/>
      <c r="Z15" s="148" t="n"/>
      <c r="AA15" s="148" t="n"/>
      <c r="AB15" s="170" t="n"/>
    </row>
    <row r="16" ht="13.5" customHeight="1" s="426">
      <c r="A16" s="171" t="n"/>
      <c r="B16" s="75" t="n"/>
      <c r="C16" s="76" t="n"/>
      <c r="D16" s="77" t="inlineStr">
        <is>
          <t>RoleId Does not Existed</t>
        </is>
      </c>
      <c r="E16" s="80" t="n"/>
      <c r="F16" s="148" t="n"/>
      <c r="G16" s="148" t="inlineStr">
        <is>
          <t>O</t>
        </is>
      </c>
      <c r="H16" s="148" t="n"/>
      <c r="I16" s="148" t="n"/>
      <c r="J16" s="148" t="inlineStr">
        <is>
          <t>O</t>
        </is>
      </c>
      <c r="K16" s="148" t="n"/>
      <c r="L16" s="148" t="n"/>
      <c r="M16" s="148" t="n"/>
      <c r="N16" s="148" t="inlineStr">
        <is>
          <t>O</t>
        </is>
      </c>
      <c r="O16" s="148" t="n"/>
      <c r="P16" s="148" t="n"/>
      <c r="Q16" s="148" t="n"/>
      <c r="R16" s="148" t="n"/>
      <c r="S16" s="148" t="n"/>
      <c r="T16" s="170" t="n"/>
      <c r="U16" s="170" t="n"/>
      <c r="V16" s="170" t="n"/>
      <c r="W16" s="170" t="n"/>
      <c r="X16" s="170" t="n"/>
      <c r="Y16" s="170" t="n"/>
      <c r="Z16" s="170" t="n"/>
      <c r="AA16" s="170" t="n"/>
      <c r="AB16" s="170" t="n"/>
    </row>
    <row r="17" ht="13.5" customHeight="1" s="426">
      <c r="A17" s="171" t="n"/>
      <c r="B17" s="75" t="inlineStr">
        <is>
          <t>UserId</t>
        </is>
      </c>
      <c r="C17" s="76" t="n"/>
      <c r="D17" s="77" t="n"/>
      <c r="E17" s="80" t="n"/>
      <c r="F17" s="148" t="n"/>
      <c r="G17" s="148" t="n"/>
      <c r="H17" s="148" t="n"/>
      <c r="I17" s="148" t="n"/>
      <c r="J17" s="148" t="n"/>
      <c r="K17" s="148" t="n"/>
      <c r="L17" s="148" t="n"/>
      <c r="M17" s="148" t="n"/>
      <c r="N17" s="148" t="n"/>
      <c r="O17" s="148" t="n"/>
      <c r="P17" s="148" t="n"/>
      <c r="Q17" s="148" t="n"/>
      <c r="R17" s="148" t="n"/>
      <c r="S17" s="148" t="n"/>
      <c r="T17" s="170" t="n"/>
      <c r="U17" s="170" t="n"/>
      <c r="V17" s="170" t="n"/>
      <c r="W17" s="170" t="n"/>
      <c r="X17" s="170" t="n"/>
      <c r="Y17" s="170" t="n"/>
      <c r="Z17" s="170" t="n"/>
      <c r="AA17" s="170" t="n"/>
      <c r="AB17" s="170" t="n"/>
    </row>
    <row r="18" ht="13.5" customHeight="1" s="426">
      <c r="A18" s="171" t="n"/>
      <c r="B18" s="75" t="n"/>
      <c r="C18" s="76" t="n"/>
      <c r="D18" s="77" t="inlineStr">
        <is>
          <t>Guid</t>
        </is>
      </c>
      <c r="E18" s="80" t="n"/>
      <c r="F18" s="148" t="inlineStr">
        <is>
          <t>O</t>
        </is>
      </c>
      <c r="G18" s="148" t="n"/>
      <c r="H18" s="148" t="inlineStr">
        <is>
          <t>O</t>
        </is>
      </c>
      <c r="I18" s="148" t="inlineStr">
        <is>
          <t>O</t>
        </is>
      </c>
      <c r="J18" s="148" t="inlineStr">
        <is>
          <t>O</t>
        </is>
      </c>
      <c r="K18" s="148" t="inlineStr">
        <is>
          <t>O</t>
        </is>
      </c>
      <c r="L18" s="148" t="inlineStr">
        <is>
          <t>O</t>
        </is>
      </c>
      <c r="M18" s="148" t="inlineStr">
        <is>
          <t>O</t>
        </is>
      </c>
      <c r="N18" s="148" t="inlineStr">
        <is>
          <t>O</t>
        </is>
      </c>
      <c r="O18" s="148" t="inlineStr">
        <is>
          <t>O</t>
        </is>
      </c>
      <c r="P18" s="148" t="inlineStr">
        <is>
          <t>O</t>
        </is>
      </c>
      <c r="Q18" s="148" t="inlineStr">
        <is>
          <t>O</t>
        </is>
      </c>
      <c r="R18" s="148" t="inlineStr">
        <is>
          <t>O</t>
        </is>
      </c>
      <c r="S18" s="148" t="inlineStr">
        <is>
          <t>O</t>
        </is>
      </c>
      <c r="T18" s="148" t="inlineStr">
        <is>
          <t>O</t>
        </is>
      </c>
      <c r="U18" s="148" t="n"/>
      <c r="V18" s="148" t="n"/>
      <c r="W18" s="148" t="n"/>
      <c r="X18" s="148" t="n"/>
      <c r="Y18" s="148" t="n"/>
      <c r="Z18" s="170" t="n"/>
      <c r="AA18" s="170" t="n"/>
      <c r="AB18" s="170" t="n"/>
    </row>
    <row r="19" ht="13.5" customHeight="1" s="426">
      <c r="A19" s="171" t="n"/>
      <c r="B19" s="75" t="n"/>
      <c r="C19" s="76" t="n"/>
      <c r="D19" s="77" t="inlineStr">
        <is>
          <t>null</t>
        </is>
      </c>
      <c r="E19" s="80" t="n"/>
      <c r="F19" s="148" t="n"/>
      <c r="G19" s="148" t="inlineStr">
        <is>
          <t>O</t>
        </is>
      </c>
      <c r="H19" s="148" t="n"/>
      <c r="I19" s="148" t="n"/>
      <c r="J19" s="148" t="n"/>
      <c r="K19" s="148" t="n"/>
      <c r="L19" s="148" t="n"/>
      <c r="M19" s="148" t="n"/>
      <c r="N19" s="148" t="n"/>
      <c r="O19" s="148" t="n"/>
      <c r="P19" s="148" t="n"/>
      <c r="Q19" s="148" t="n"/>
      <c r="R19" s="148" t="n"/>
      <c r="S19" s="148" t="n"/>
      <c r="T19" s="170" t="n"/>
      <c r="U19" s="170" t="n"/>
      <c r="V19" s="170" t="n"/>
      <c r="W19" s="170" t="n"/>
      <c r="X19" s="170" t="n"/>
      <c r="Y19" s="170" t="n"/>
      <c r="Z19" s="170" t="n"/>
      <c r="AA19" s="170" t="n"/>
      <c r="AB19" s="170" t="n"/>
    </row>
    <row r="20" ht="13.5" customHeight="1" s="426">
      <c r="A20" s="171" t="n"/>
      <c r="B20" s="75" t="inlineStr">
        <is>
          <t>RoleId</t>
        </is>
      </c>
      <c r="C20" s="76" t="n"/>
      <c r="D20" s="77" t="n"/>
      <c r="E20" s="80" t="n"/>
      <c r="F20" s="148" t="n"/>
      <c r="G20" s="148" t="n"/>
      <c r="H20" s="148" t="n"/>
      <c r="I20" s="148" t="n"/>
      <c r="J20" s="148" t="n"/>
      <c r="K20" s="148" t="n"/>
      <c r="L20" s="148" t="n"/>
      <c r="M20" s="148" t="n"/>
      <c r="N20" s="148" t="n"/>
      <c r="O20" s="148" t="n"/>
      <c r="P20" s="148" t="n"/>
      <c r="Q20" s="148" t="n"/>
      <c r="R20" s="148" t="n"/>
      <c r="S20" s="148" t="n"/>
      <c r="T20" s="170" t="n"/>
      <c r="U20" s="170" t="n"/>
      <c r="V20" s="170" t="n"/>
      <c r="W20" s="170" t="n"/>
      <c r="X20" s="170" t="n"/>
      <c r="Y20" s="170" t="n"/>
      <c r="Z20" s="170" t="n"/>
      <c r="AA20" s="170" t="n"/>
      <c r="AB20" s="170" t="n"/>
    </row>
    <row r="21" ht="13.5" customHeight="1" s="426">
      <c r="A21" s="171" t="n"/>
      <c r="B21" s="75" t="n"/>
      <c r="C21" s="76" t="n"/>
      <c r="D21" s="77" t="n">
        <v>1</v>
      </c>
      <c r="E21" s="80" t="n"/>
      <c r="F21" s="148" t="inlineStr">
        <is>
          <t>O</t>
        </is>
      </c>
      <c r="G21" s="148" t="n"/>
      <c r="H21" s="148" t="inlineStr">
        <is>
          <t>O</t>
        </is>
      </c>
      <c r="I21" s="148" t="inlineStr">
        <is>
          <t>O</t>
        </is>
      </c>
      <c r="J21" s="148" t="inlineStr">
        <is>
          <t>O</t>
        </is>
      </c>
      <c r="K21" s="148" t="inlineStr">
        <is>
          <t>O</t>
        </is>
      </c>
      <c r="L21" s="148" t="inlineStr">
        <is>
          <t>O</t>
        </is>
      </c>
      <c r="M21" s="148" t="inlineStr">
        <is>
          <t>O</t>
        </is>
      </c>
      <c r="N21" s="148" t="n"/>
      <c r="O21" s="148" t="inlineStr">
        <is>
          <t>O</t>
        </is>
      </c>
      <c r="P21" s="148" t="inlineStr">
        <is>
          <t>O</t>
        </is>
      </c>
      <c r="Q21" s="148" t="inlineStr">
        <is>
          <t>O</t>
        </is>
      </c>
      <c r="R21" s="148" t="inlineStr">
        <is>
          <t>O</t>
        </is>
      </c>
      <c r="S21" s="148" t="inlineStr">
        <is>
          <t>O</t>
        </is>
      </c>
      <c r="T21" s="148" t="inlineStr">
        <is>
          <t>O</t>
        </is>
      </c>
      <c r="U21" s="148" t="n"/>
      <c r="V21" s="148" t="n"/>
      <c r="W21" s="148" t="n"/>
      <c r="X21" s="148" t="n"/>
      <c r="Y21" s="148" t="n"/>
      <c r="Z21" s="170" t="n"/>
      <c r="AA21" s="170" t="n"/>
      <c r="AB21" s="170" t="n"/>
    </row>
    <row r="22" ht="13.5" customHeight="1" s="426">
      <c r="A22" s="171" t="n"/>
      <c r="B22" s="75" t="n"/>
      <c r="C22" s="76" t="n"/>
      <c r="D22" s="77" t="n">
        <v>9999</v>
      </c>
      <c r="E22" s="80" t="n"/>
      <c r="F22" s="148" t="n"/>
      <c r="G22" s="148" t="n"/>
      <c r="H22" s="148" t="n"/>
      <c r="I22" s="148" t="n"/>
      <c r="J22" s="148" t="n"/>
      <c r="K22" s="148" t="n"/>
      <c r="L22" s="148" t="n"/>
      <c r="M22" s="148" t="n"/>
      <c r="N22" s="148" t="inlineStr">
        <is>
          <t>O</t>
        </is>
      </c>
      <c r="O22" s="148" t="n"/>
      <c r="P22" s="148" t="n"/>
      <c r="Q22" s="148" t="n"/>
      <c r="R22" s="148" t="n"/>
      <c r="S22" s="148" t="n"/>
      <c r="T22" s="170" t="n"/>
      <c r="U22" s="170" t="n"/>
      <c r="V22" s="170" t="n"/>
      <c r="W22" s="170" t="n"/>
      <c r="X22" s="170" t="n"/>
      <c r="Y22" s="170" t="n"/>
      <c r="Z22" s="170" t="n"/>
      <c r="AA22" s="170" t="n"/>
      <c r="AB22" s="170" t="n"/>
    </row>
    <row r="23" ht="13.5" customHeight="1" s="426">
      <c r="A23" s="171" t="n"/>
      <c r="B23" s="75" t="n"/>
      <c r="C23" s="76" t="n"/>
      <c r="D23" s="77" t="inlineStr">
        <is>
          <t>null</t>
        </is>
      </c>
      <c r="E23" s="80" t="n"/>
      <c r="F23" s="148" t="n"/>
      <c r="G23" s="148" t="inlineStr">
        <is>
          <t>O</t>
        </is>
      </c>
      <c r="H23" s="148" t="n"/>
      <c r="I23" s="148" t="n"/>
      <c r="J23" s="148" t="n"/>
      <c r="K23" s="148" t="n"/>
      <c r="L23" s="148" t="n"/>
      <c r="M23" s="148" t="n"/>
      <c r="N23" s="148" t="n"/>
      <c r="O23" s="148" t="n"/>
      <c r="P23" s="148" t="n"/>
      <c r="Q23" s="148" t="n"/>
      <c r="R23" s="148" t="n"/>
      <c r="S23" s="148" t="n"/>
      <c r="T23" s="170" t="n"/>
      <c r="U23" s="170" t="n"/>
      <c r="V23" s="170" t="n"/>
      <c r="W23" s="170" t="n"/>
      <c r="X23" s="170" t="n"/>
      <c r="Y23" s="170" t="n"/>
      <c r="Z23" s="170" t="n"/>
      <c r="AA23" s="170" t="n"/>
      <c r="AB23" s="170" t="n"/>
    </row>
    <row r="24" ht="13.5" customHeight="1" s="426">
      <c r="A24" s="171" t="n"/>
      <c r="B24" s="75" t="inlineStr">
        <is>
          <t>Fullname</t>
        </is>
      </c>
      <c r="C24" s="76" t="n"/>
      <c r="D24" s="77" t="n"/>
      <c r="E24" s="80" t="n"/>
      <c r="F24" s="148" t="n"/>
      <c r="G24" s="148" t="n"/>
      <c r="H24" s="148" t="n"/>
      <c r="I24" s="148" t="n"/>
      <c r="J24" s="148" t="n"/>
      <c r="K24" s="148" t="n"/>
      <c r="L24" s="148" t="n"/>
      <c r="M24" s="148" t="n"/>
      <c r="N24" s="148" t="n"/>
      <c r="O24" s="148" t="n"/>
      <c r="P24" s="148" t="n"/>
      <c r="Q24" s="148" t="n"/>
      <c r="R24" s="148" t="n"/>
      <c r="S24" s="148" t="n"/>
      <c r="T24" s="170" t="n"/>
      <c r="U24" s="170" t="n"/>
      <c r="V24" s="170" t="n"/>
      <c r="W24" s="170" t="n"/>
      <c r="X24" s="170" t="n"/>
      <c r="Y24" s="170" t="n"/>
      <c r="Z24" s="170" t="n"/>
      <c r="AA24" s="170" t="n"/>
      <c r="AB24" s="170" t="n"/>
    </row>
    <row r="25" ht="13.5" customHeight="1" s="426">
      <c r="A25" s="171" t="n"/>
      <c r="B25" s="75" t="n"/>
      <c r="C25" s="76" t="n"/>
      <c r="D25" s="77" t="inlineStr">
        <is>
          <t>"User One"</t>
        </is>
      </c>
      <c r="E25" s="80" t="n"/>
      <c r="F25" s="148" t="inlineStr">
        <is>
          <t>O</t>
        </is>
      </c>
      <c r="G25" s="148" t="n"/>
      <c r="H25" s="148" t="inlineStr">
        <is>
          <t>O</t>
        </is>
      </c>
      <c r="I25" s="148" t="inlineStr">
        <is>
          <t>O</t>
        </is>
      </c>
      <c r="J25" s="148" t="inlineStr">
        <is>
          <t>O</t>
        </is>
      </c>
      <c r="K25" s="148" t="n"/>
      <c r="L25" s="148" t="inlineStr">
        <is>
          <t>O</t>
        </is>
      </c>
      <c r="M25" s="148" t="inlineStr">
        <is>
          <t>O</t>
        </is>
      </c>
      <c r="N25" s="148" t="inlineStr">
        <is>
          <t>O</t>
        </is>
      </c>
      <c r="O25" s="148" t="n"/>
      <c r="P25" s="148" t="n"/>
      <c r="Q25" s="148" t="inlineStr">
        <is>
          <t>O</t>
        </is>
      </c>
      <c r="R25" s="148" t="inlineStr">
        <is>
          <t>O</t>
        </is>
      </c>
      <c r="S25" s="148" t="inlineStr">
        <is>
          <t>O</t>
        </is>
      </c>
      <c r="T25" s="148" t="inlineStr">
        <is>
          <t>O</t>
        </is>
      </c>
      <c r="U25" s="170" t="n"/>
      <c r="V25" s="148" t="n"/>
      <c r="W25" s="148" t="n"/>
      <c r="X25" s="148" t="n"/>
      <c r="Y25" s="148" t="n"/>
      <c r="Z25" s="170" t="n"/>
      <c r="AA25" s="170" t="n"/>
      <c r="AB25" s="170" t="n"/>
    </row>
    <row r="26" ht="13.5" customHeight="1" s="426">
      <c r="A26" s="171" t="n"/>
      <c r="B26" s="75" t="n"/>
      <c r="C26" s="76" t="n"/>
      <c r="D26" s="77" t="inlineStr">
        <is>
          <t>null</t>
        </is>
      </c>
      <c r="E26" s="80" t="n"/>
      <c r="F26" s="148" t="n"/>
      <c r="G26" s="148" t="inlineStr">
        <is>
          <t>O</t>
        </is>
      </c>
      <c r="H26" s="148" t="n"/>
      <c r="I26" s="148" t="n"/>
      <c r="J26" s="148" t="n"/>
      <c r="K26" s="148" t="inlineStr">
        <is>
          <t>O</t>
        </is>
      </c>
      <c r="L26" s="148" t="n"/>
      <c r="M26" s="148" t="n"/>
      <c r="N26" s="148" t="n"/>
      <c r="O26" s="148" t="n"/>
      <c r="P26" s="148" t="n"/>
      <c r="Q26" s="148" t="n"/>
      <c r="R26" s="148" t="n"/>
      <c r="S26" s="148" t="n"/>
      <c r="T26" s="170" t="n"/>
      <c r="U26" s="170" t="n"/>
      <c r="V26" s="170" t="n"/>
      <c r="W26" s="170" t="n"/>
      <c r="X26" s="170" t="n"/>
      <c r="Y26" s="170" t="n"/>
      <c r="Z26" s="170" t="n"/>
      <c r="AA26" s="170" t="n"/>
      <c r="AB26" s="170" t="n"/>
    </row>
    <row r="27" ht="13.5" customHeight="1" s="426">
      <c r="A27" s="171" t="n"/>
      <c r="B27" s="75" t="n"/>
      <c r="C27" s="76" t="n"/>
      <c r="D27" s="77" t="inlineStr">
        <is>
          <t>50 character strings</t>
        </is>
      </c>
      <c r="E27" s="80" t="n"/>
      <c r="F27" s="148" t="n"/>
      <c r="G27" s="148" t="n"/>
      <c r="H27" s="148" t="n"/>
      <c r="I27" s="148" t="n"/>
      <c r="J27" s="148" t="n"/>
      <c r="K27" s="148" t="n"/>
      <c r="L27" s="148" t="n"/>
      <c r="M27" s="148" t="n"/>
      <c r="N27" s="148" t="n"/>
      <c r="O27" s="148" t="inlineStr">
        <is>
          <t>O</t>
        </is>
      </c>
      <c r="P27" s="148" t="n"/>
      <c r="Q27" s="148" t="n"/>
      <c r="R27" s="148" t="n"/>
      <c r="S27" s="148" t="n"/>
      <c r="T27" s="148" t="n"/>
      <c r="U27" s="170" t="n"/>
      <c r="V27" s="170" t="n"/>
      <c r="W27" s="170" t="n"/>
      <c r="X27" s="170" t="n"/>
      <c r="Y27" s="170" t="n"/>
      <c r="Z27" s="170" t="n"/>
      <c r="AA27" s="170" t="n"/>
      <c r="AB27" s="170" t="n"/>
    </row>
    <row r="28" ht="13.5" customHeight="1" s="426">
      <c r="A28" s="171" t="n"/>
      <c r="B28" s="75" t="n"/>
      <c r="C28" s="76" t="n"/>
      <c r="D28" s="77" t="inlineStr">
        <is>
          <t>51 character strings</t>
        </is>
      </c>
      <c r="E28" s="80" t="n"/>
      <c r="F28" s="148" t="n"/>
      <c r="G28" s="148" t="n"/>
      <c r="H28" s="148" t="n"/>
      <c r="I28" s="148" t="n"/>
      <c r="J28" s="148" t="n"/>
      <c r="K28" s="148" t="n"/>
      <c r="L28" s="148" t="n"/>
      <c r="M28" s="148" t="n"/>
      <c r="N28" s="148" t="n"/>
      <c r="O28" s="148" t="n"/>
      <c r="P28" s="148" t="inlineStr">
        <is>
          <t>O</t>
        </is>
      </c>
      <c r="Q28" s="148" t="n"/>
      <c r="R28" s="148" t="n"/>
      <c r="S28" s="148" t="n"/>
      <c r="T28" s="170" t="n"/>
      <c r="U28" s="148" t="n"/>
      <c r="V28" s="170" t="n"/>
      <c r="W28" s="170" t="n"/>
      <c r="X28" s="170" t="n"/>
      <c r="Y28" s="170" t="n"/>
      <c r="Z28" s="170" t="n"/>
      <c r="AA28" s="170" t="n"/>
      <c r="AB28" s="170" t="n"/>
    </row>
    <row r="29" ht="13.5" customHeight="1" s="426">
      <c r="A29" s="171" t="n"/>
      <c r="B29" s="75" t="inlineStr">
        <is>
          <t>PhoneNumber</t>
        </is>
      </c>
      <c r="C29" s="76" t="n"/>
      <c r="D29" s="77" t="n"/>
      <c r="E29" s="80" t="n"/>
      <c r="F29" s="148" t="n"/>
      <c r="G29" s="148" t="n"/>
      <c r="H29" s="148" t="n"/>
      <c r="I29" s="148" t="n"/>
      <c r="J29" s="148" t="n"/>
      <c r="K29" s="148" t="n"/>
      <c r="L29" s="148" t="n"/>
      <c r="M29" s="148" t="n"/>
      <c r="N29" s="148" t="n"/>
      <c r="O29" s="148" t="n"/>
      <c r="P29" s="148" t="n"/>
      <c r="Q29" s="148" t="n"/>
      <c r="R29" s="148" t="n"/>
      <c r="S29" s="148" t="n"/>
      <c r="T29" s="170" t="n"/>
      <c r="U29" s="170" t="n"/>
      <c r="V29" s="170" t="n"/>
      <c r="W29" s="170" t="n"/>
      <c r="X29" s="170" t="n"/>
      <c r="Y29" s="170" t="n"/>
      <c r="Z29" s="170" t="n"/>
      <c r="AA29" s="170" t="n"/>
      <c r="AB29" s="170" t="n"/>
    </row>
    <row r="30" ht="13.5" customHeight="1" s="426">
      <c r="A30" s="171" t="n"/>
      <c r="B30" s="75" t="n"/>
      <c r="C30" s="76" t="n"/>
      <c r="D30" s="77" t="inlineStr">
        <is>
          <t>"1234567890"</t>
        </is>
      </c>
      <c r="E30" s="80" t="n"/>
      <c r="F30" s="148" t="inlineStr">
        <is>
          <t>O</t>
        </is>
      </c>
      <c r="G30" s="148" t="n"/>
      <c r="H30" s="148" t="inlineStr">
        <is>
          <t>O</t>
        </is>
      </c>
      <c r="I30" s="148" t="n"/>
      <c r="J30" s="148" t="inlineStr">
        <is>
          <t>O</t>
        </is>
      </c>
      <c r="K30" s="148" t="inlineStr">
        <is>
          <t>O</t>
        </is>
      </c>
      <c r="L30" s="148" t="n"/>
      <c r="M30" s="148" t="inlineStr">
        <is>
          <t>O</t>
        </is>
      </c>
      <c r="N30" s="148" t="inlineStr">
        <is>
          <t>O</t>
        </is>
      </c>
      <c r="O30" s="148" t="inlineStr">
        <is>
          <t>O</t>
        </is>
      </c>
      <c r="P30" s="148" t="inlineStr">
        <is>
          <t>O</t>
        </is>
      </c>
      <c r="Q30" s="148" t="n"/>
      <c r="R30" s="148" t="n"/>
      <c r="S30" s="148" t="inlineStr">
        <is>
          <t>O</t>
        </is>
      </c>
      <c r="T30" s="148" t="inlineStr">
        <is>
          <t>O</t>
        </is>
      </c>
      <c r="U30" s="148" t="n"/>
      <c r="V30" s="170" t="n"/>
      <c r="W30" s="170" t="n"/>
      <c r="X30" s="148" t="n"/>
      <c r="Y30" s="148" t="n"/>
      <c r="Z30" s="170" t="n"/>
      <c r="AA30" s="170" t="n"/>
      <c r="AB30" s="170" t="n"/>
    </row>
    <row r="31" ht="13.5" customHeight="1" s="426">
      <c r="A31" s="171" t="n"/>
      <c r="B31" s="75" t="n"/>
      <c r="C31" s="76" t="n"/>
      <c r="D31" s="77" t="inlineStr">
        <is>
          <t>"invalid-phone-number"</t>
        </is>
      </c>
      <c r="E31" s="80" t="n"/>
      <c r="F31" s="148" t="n"/>
      <c r="G31" s="148" t="n"/>
      <c r="H31" s="148" t="n"/>
      <c r="I31" s="148" t="inlineStr">
        <is>
          <t>O</t>
        </is>
      </c>
      <c r="J31" s="148" t="n"/>
      <c r="K31" s="148" t="n"/>
      <c r="L31" s="148" t="n"/>
      <c r="M31" s="148" t="n"/>
      <c r="N31" s="148" t="n"/>
      <c r="O31" s="148" t="n"/>
      <c r="P31" s="148" t="n"/>
      <c r="Q31" s="148" t="n"/>
      <c r="R31" s="148" t="n"/>
      <c r="S31" s="148" t="n"/>
      <c r="T31" s="170" t="n"/>
      <c r="U31" s="170" t="n"/>
      <c r="V31" s="170" t="n"/>
      <c r="W31" s="170" t="n"/>
      <c r="X31" s="170" t="n"/>
      <c r="Y31" s="170" t="n"/>
      <c r="Z31" s="170" t="n"/>
      <c r="AA31" s="170" t="n"/>
      <c r="AB31" s="170" t="n"/>
    </row>
    <row r="32" ht="13.5" customHeight="1" s="426">
      <c r="A32" s="171" t="n"/>
      <c r="B32" s="75" t="n"/>
      <c r="C32" s="76" t="n"/>
      <c r="D32" s="77" t="inlineStr">
        <is>
          <t>null</t>
        </is>
      </c>
      <c r="E32" s="80" t="n"/>
      <c r="F32" s="148" t="n"/>
      <c r="G32" s="148" t="inlineStr">
        <is>
          <t>O</t>
        </is>
      </c>
      <c r="H32" s="148" t="n"/>
      <c r="I32" s="148" t="n"/>
      <c r="J32" s="148" t="n"/>
      <c r="K32" s="148" t="n"/>
      <c r="L32" s="148" t="inlineStr">
        <is>
          <t>O</t>
        </is>
      </c>
      <c r="M32" s="148" t="n"/>
      <c r="N32" s="148" t="n"/>
      <c r="O32" s="148" t="n"/>
      <c r="P32" s="148" t="n"/>
      <c r="Q32" s="148" t="n"/>
      <c r="R32" s="148" t="n"/>
      <c r="S32" s="148" t="n"/>
      <c r="T32" s="170" t="n"/>
      <c r="U32" s="170" t="n"/>
      <c r="V32" s="170" t="n"/>
      <c r="W32" s="170" t="n"/>
      <c r="X32" s="170" t="n"/>
      <c r="Y32" s="170" t="n"/>
      <c r="Z32" s="170" t="n"/>
      <c r="AA32" s="170" t="n"/>
      <c r="AB32" s="170" t="n"/>
    </row>
    <row r="33" ht="13.5" customHeight="1" s="426">
      <c r="A33" s="171" t="n"/>
      <c r="B33" s="75" t="n"/>
      <c r="C33" s="76" t="n"/>
      <c r="D33" s="77" t="inlineStr">
        <is>
          <t>15 character strings</t>
        </is>
      </c>
      <c r="E33" s="80" t="n"/>
      <c r="F33" s="148" t="n"/>
      <c r="G33" s="148" t="n"/>
      <c r="H33" s="148" t="n"/>
      <c r="I33" s="148" t="n"/>
      <c r="J33" s="148" t="n"/>
      <c r="K33" s="148" t="n"/>
      <c r="L33" s="148" t="n"/>
      <c r="M33" s="148" t="n"/>
      <c r="N33" s="148" t="n"/>
      <c r="O33" s="148" t="n"/>
      <c r="P33" s="148" t="n"/>
      <c r="Q33" s="148" t="inlineStr">
        <is>
          <t>O</t>
        </is>
      </c>
      <c r="R33" s="148" t="n"/>
      <c r="S33" s="148" t="n"/>
      <c r="T33" s="170" t="n"/>
      <c r="U33" s="170" t="n"/>
      <c r="V33" s="148" t="n"/>
      <c r="W33" s="170" t="n"/>
      <c r="X33" s="170" t="n"/>
      <c r="Y33" s="170" t="n"/>
      <c r="Z33" s="170" t="n"/>
      <c r="AA33" s="170" t="n"/>
      <c r="AB33" s="170" t="n"/>
    </row>
    <row r="34" ht="13.5" customHeight="1" s="426">
      <c r="A34" s="171" t="n"/>
      <c r="B34" s="75" t="n"/>
      <c r="C34" s="76" t="n"/>
      <c r="D34" s="77" t="inlineStr">
        <is>
          <t>16 character strings</t>
        </is>
      </c>
      <c r="E34" s="80" t="n"/>
      <c r="F34" s="148" t="n"/>
      <c r="G34" s="148" t="n"/>
      <c r="H34" s="148" t="n"/>
      <c r="I34" s="148" t="n"/>
      <c r="J34" s="148" t="n"/>
      <c r="K34" s="148" t="n"/>
      <c r="L34" s="148" t="n"/>
      <c r="M34" s="148" t="n"/>
      <c r="N34" s="148" t="n"/>
      <c r="O34" s="148" t="n"/>
      <c r="P34" s="148" t="n"/>
      <c r="Q34" s="148" t="n"/>
      <c r="R34" s="148" t="inlineStr">
        <is>
          <t>O</t>
        </is>
      </c>
      <c r="S34" s="148" t="n"/>
      <c r="T34" s="170" t="n"/>
      <c r="U34" s="170" t="n"/>
      <c r="V34" s="170" t="n"/>
      <c r="W34" s="148" t="n"/>
      <c r="X34" s="170" t="n"/>
      <c r="Y34" s="170" t="n"/>
      <c r="Z34" s="170" t="n"/>
      <c r="AA34" s="170" t="n"/>
      <c r="AB34" s="170" t="n"/>
    </row>
    <row r="35" ht="13.5" customHeight="1" s="426">
      <c r="A35" s="171" t="n"/>
      <c r="B35" s="75" t="inlineStr">
        <is>
          <t xml:space="preserve"> Address</t>
        </is>
      </c>
      <c r="C35" s="76" t="n"/>
      <c r="D35" s="77" t="n"/>
      <c r="E35" s="80" t="n"/>
      <c r="F35" s="148" t="n"/>
      <c r="G35" s="148" t="n"/>
      <c r="H35" s="148" t="n"/>
      <c r="I35" s="148" t="n"/>
      <c r="J35" s="148" t="n"/>
      <c r="K35" s="148" t="n"/>
      <c r="L35" s="148" t="n"/>
      <c r="M35" s="148" t="n"/>
      <c r="N35" s="148" t="n"/>
      <c r="O35" s="148" t="n"/>
      <c r="P35" s="148" t="n"/>
      <c r="Q35" s="148" t="n"/>
      <c r="R35" s="148" t="n"/>
      <c r="S35" s="148" t="n"/>
      <c r="T35" s="170" t="n"/>
      <c r="U35" s="170" t="n"/>
      <c r="V35" s="170" t="n"/>
      <c r="W35" s="170" t="n"/>
      <c r="X35" s="170" t="n"/>
      <c r="Y35" s="170" t="n"/>
      <c r="Z35" s="170" t="n"/>
      <c r="AA35" s="170" t="n"/>
      <c r="AB35" s="170" t="n"/>
    </row>
    <row r="36" ht="13.5" customHeight="1" s="426">
      <c r="A36" s="171" t="n"/>
      <c r="B36" s="75" t="n"/>
      <c r="C36" s="76" t="n"/>
      <c r="D36" s="77" t="inlineStr">
        <is>
          <t>"Address One"</t>
        </is>
      </c>
      <c r="E36" s="80" t="n"/>
      <c r="F36" s="148" t="inlineStr">
        <is>
          <t>O</t>
        </is>
      </c>
      <c r="G36" s="148" t="n"/>
      <c r="H36" s="148" t="inlineStr">
        <is>
          <t>O</t>
        </is>
      </c>
      <c r="I36" s="148" t="inlineStr">
        <is>
          <t>O</t>
        </is>
      </c>
      <c r="J36" s="148" t="inlineStr">
        <is>
          <t>O</t>
        </is>
      </c>
      <c r="K36" s="148" t="inlineStr">
        <is>
          <t>O</t>
        </is>
      </c>
      <c r="L36" s="148" t="inlineStr">
        <is>
          <t>O</t>
        </is>
      </c>
      <c r="M36" s="148" t="n"/>
      <c r="N36" s="148" t="inlineStr">
        <is>
          <t>O</t>
        </is>
      </c>
      <c r="O36" s="148" t="inlineStr">
        <is>
          <t>O</t>
        </is>
      </c>
      <c r="P36" s="148" t="inlineStr">
        <is>
          <t>O</t>
        </is>
      </c>
      <c r="Q36" s="148" t="inlineStr">
        <is>
          <t>O</t>
        </is>
      </c>
      <c r="R36" s="148" t="inlineStr">
        <is>
          <t>O</t>
        </is>
      </c>
      <c r="S36" s="148" t="n"/>
      <c r="T36" s="148" t="n"/>
      <c r="U36" s="148" t="n"/>
      <c r="V36" s="148" t="n"/>
      <c r="W36" s="148" t="n"/>
      <c r="X36" s="170" t="n"/>
      <c r="Y36" s="170" t="n"/>
      <c r="Z36" s="170" t="n"/>
      <c r="AA36" s="170" t="n"/>
      <c r="AB36" s="170" t="n"/>
    </row>
    <row r="37" ht="13.5" customHeight="1" s="426">
      <c r="A37" s="171" t="n"/>
      <c r="B37" s="75" t="n"/>
      <c r="C37" s="76" t="n"/>
      <c r="D37" s="77" t="inlineStr">
        <is>
          <t>null</t>
        </is>
      </c>
      <c r="E37" s="80" t="n"/>
      <c r="F37" s="148" t="n"/>
      <c r="G37" s="148" t="inlineStr">
        <is>
          <t>O</t>
        </is>
      </c>
      <c r="H37" s="148" t="n"/>
      <c r="I37" s="148" t="n"/>
      <c r="J37" s="148" t="n"/>
      <c r="K37" s="148" t="n"/>
      <c r="L37" s="148" t="n"/>
      <c r="M37" s="148" t="inlineStr">
        <is>
          <t>O</t>
        </is>
      </c>
      <c r="N37" s="148" t="n"/>
      <c r="O37" s="148" t="n"/>
      <c r="P37" s="148" t="n"/>
      <c r="Q37" s="148" t="n"/>
      <c r="R37" s="148" t="n"/>
      <c r="S37" s="148" t="n"/>
      <c r="T37" s="170" t="n"/>
      <c r="U37" s="170" t="n"/>
      <c r="V37" s="170" t="n"/>
      <c r="W37" s="170" t="n"/>
      <c r="X37" s="170" t="n"/>
      <c r="Y37" s="170" t="n"/>
      <c r="Z37" s="170" t="n"/>
      <c r="AA37" s="170" t="n"/>
      <c r="AB37" s="170" t="n"/>
    </row>
    <row r="38" ht="13.5" customHeight="1" s="426">
      <c r="A38" s="171" t="n"/>
      <c r="B38" s="75" t="n"/>
      <c r="C38" s="76" t="n"/>
      <c r="D38" s="77" t="inlineStr">
        <is>
          <t>125 character strings</t>
        </is>
      </c>
      <c r="E38" s="80" t="n"/>
      <c r="F38" s="148" t="n"/>
      <c r="G38" s="148" t="n"/>
      <c r="H38" s="148" t="n"/>
      <c r="I38" s="148" t="n"/>
      <c r="J38" s="148" t="n"/>
      <c r="K38" s="148" t="n"/>
      <c r="L38" s="148" t="n"/>
      <c r="M38" s="148" t="n"/>
      <c r="N38" s="148" t="n"/>
      <c r="O38" s="148" t="n"/>
      <c r="P38" s="148" t="n"/>
      <c r="Q38" s="148" t="n"/>
      <c r="R38" s="148" t="n"/>
      <c r="S38" s="148" t="inlineStr">
        <is>
          <t>O</t>
        </is>
      </c>
      <c r="T38" s="170" t="n"/>
      <c r="U38" s="170" t="n"/>
      <c r="V38" s="170" t="n"/>
      <c r="W38" s="170" t="n"/>
      <c r="X38" s="148" t="n"/>
      <c r="Y38" s="170" t="n"/>
      <c r="Z38" s="170" t="n"/>
      <c r="AA38" s="170" t="n"/>
      <c r="AB38" s="170" t="n"/>
    </row>
    <row r="39" ht="13.5" customHeight="1" s="426">
      <c r="A39" s="171" t="n"/>
      <c r="B39" s="75" t="n"/>
      <c r="C39" s="76" t="n"/>
      <c r="D39" s="77" t="inlineStr">
        <is>
          <t>126 character strings</t>
        </is>
      </c>
      <c r="E39" s="80" t="n"/>
      <c r="F39" s="148" t="n"/>
      <c r="G39" s="148" t="n"/>
      <c r="H39" s="148" t="n"/>
      <c r="I39" s="148" t="n"/>
      <c r="J39" s="148" t="n"/>
      <c r="K39" s="148" t="n"/>
      <c r="L39" s="148" t="n"/>
      <c r="M39" s="148" t="n"/>
      <c r="N39" s="148" t="n"/>
      <c r="O39" s="148" t="n"/>
      <c r="P39" s="148" t="n"/>
      <c r="Q39" s="148" t="n"/>
      <c r="R39" s="148" t="n"/>
      <c r="S39" s="148" t="n"/>
      <c r="T39" s="148" t="inlineStr">
        <is>
          <t>O</t>
        </is>
      </c>
      <c r="U39" s="170" t="n"/>
      <c r="V39" s="170" t="n"/>
      <c r="W39" s="170" t="n"/>
      <c r="X39" s="170" t="n"/>
      <c r="Y39" s="148" t="n"/>
      <c r="Z39" s="170" t="n"/>
      <c r="AA39" s="170" t="n"/>
      <c r="AB39" s="170" t="n"/>
    </row>
    <row r="40" ht="13.5" customHeight="1" s="426" thickBot="1">
      <c r="A40" s="171" t="n"/>
      <c r="B40" s="75" t="n"/>
      <c r="C40" s="76" t="n"/>
      <c r="D40" s="77" t="n"/>
      <c r="E40" s="80" t="n"/>
      <c r="F40" s="148" t="n"/>
      <c r="G40" s="148" t="n"/>
      <c r="H40" s="148" t="n"/>
      <c r="I40" s="148" t="n"/>
      <c r="J40" s="148" t="n"/>
      <c r="K40" s="148" t="n"/>
      <c r="L40" s="148" t="n"/>
      <c r="M40" s="148" t="n"/>
      <c r="N40" s="148" t="n"/>
      <c r="O40" s="148" t="n"/>
      <c r="P40" s="148" t="n"/>
      <c r="Q40" s="148" t="n"/>
      <c r="R40" s="148" t="n"/>
      <c r="S40" s="148" t="n"/>
      <c r="T40" s="170" t="n"/>
      <c r="U40" s="170" t="n"/>
      <c r="V40" s="170" t="n"/>
      <c r="W40" s="170" t="n"/>
      <c r="X40" s="170" t="n"/>
      <c r="Y40" s="170" t="n"/>
      <c r="Z40" s="170" t="n"/>
      <c r="AA40" s="170" t="n"/>
      <c r="AB40" s="170" t="n"/>
    </row>
    <row r="41" ht="13.5" customHeight="1" s="426">
      <c r="A41" s="182" t="inlineStr">
        <is>
          <t>Confirm</t>
        </is>
      </c>
      <c r="B41" s="208" t="inlineStr">
        <is>
          <t>Return</t>
        </is>
      </c>
      <c r="C41" s="239" t="n"/>
      <c r="D41" s="210" t="n"/>
      <c r="E41" s="86" t="n"/>
      <c r="F41" s="87" t="n"/>
      <c r="G41" s="87" t="n"/>
      <c r="H41" s="87" t="n"/>
      <c r="I41" s="87" t="n"/>
      <c r="J41" s="87" t="n"/>
      <c r="K41" s="87" t="n"/>
      <c r="L41" s="87" t="n"/>
      <c r="M41" s="87" t="n"/>
      <c r="N41" s="87" t="n"/>
      <c r="O41" s="87" t="n"/>
      <c r="P41" s="87" t="n"/>
      <c r="Q41" s="87" t="n"/>
      <c r="R41" s="87" t="n"/>
      <c r="S41" s="87" t="n"/>
      <c r="T41" s="196" t="n"/>
      <c r="U41" s="196" t="n"/>
      <c r="V41" s="196" t="n"/>
      <c r="W41" s="196" t="n"/>
      <c r="X41" s="196" t="n"/>
      <c r="Y41" s="196" t="n"/>
      <c r="Z41" s="196" t="n"/>
      <c r="AA41" s="196" t="n"/>
      <c r="AB41" s="196" t="n"/>
    </row>
    <row r="42" ht="13.5" customHeight="1" s="426">
      <c r="A42" s="181" t="n"/>
      <c r="B42" s="208" t="n"/>
      <c r="C42" s="209" t="n"/>
      <c r="D42" s="210" t="inlineStr">
        <is>
          <t>T</t>
        </is>
      </c>
      <c r="E42" s="91" t="n"/>
      <c r="F42" s="148" t="inlineStr">
        <is>
          <t>O</t>
        </is>
      </c>
      <c r="G42" s="79" t="n"/>
      <c r="H42" s="79" t="n"/>
      <c r="I42" s="79" t="n"/>
      <c r="J42" s="79" t="n"/>
      <c r="K42" s="79" t="n"/>
      <c r="L42" s="148" t="n"/>
      <c r="M42" s="148" t="n"/>
      <c r="N42" s="148" t="n"/>
      <c r="O42" s="148" t="n"/>
      <c r="P42" s="148" t="n"/>
      <c r="Q42" s="148" t="n"/>
      <c r="R42" s="148" t="n"/>
      <c r="S42" s="79" t="n"/>
      <c r="T42" s="148" t="n"/>
      <c r="U42" s="195" t="n"/>
      <c r="V42" s="148" t="n"/>
      <c r="W42" s="195" t="n"/>
      <c r="X42" s="148" t="n"/>
      <c r="Y42" s="195" t="n"/>
      <c r="Z42" s="195" t="n"/>
      <c r="AA42" s="195" t="n"/>
      <c r="AB42" s="195" t="n"/>
    </row>
    <row r="43" ht="13.5" customHeight="1" s="426">
      <c r="A43" s="181" t="n"/>
      <c r="B43" s="126" t="n"/>
      <c r="C43" s="89" t="n"/>
      <c r="D43" s="90" t="inlineStr">
        <is>
          <t>F</t>
        </is>
      </c>
      <c r="E43" s="91" t="n"/>
      <c r="F43" s="79" t="n"/>
      <c r="G43" s="148" t="inlineStr">
        <is>
          <t>O</t>
        </is>
      </c>
      <c r="H43" s="148" t="inlineStr">
        <is>
          <t>O</t>
        </is>
      </c>
      <c r="I43" s="148" t="inlineStr">
        <is>
          <t>O</t>
        </is>
      </c>
      <c r="J43" s="148" t="n"/>
      <c r="K43" s="148" t="inlineStr">
        <is>
          <t>O</t>
        </is>
      </c>
      <c r="L43" s="148" t="inlineStr">
        <is>
          <t>O</t>
        </is>
      </c>
      <c r="M43" s="148" t="inlineStr">
        <is>
          <t>O</t>
        </is>
      </c>
      <c r="N43" s="148" t="inlineStr">
        <is>
          <t>O</t>
        </is>
      </c>
      <c r="O43" s="148" t="inlineStr">
        <is>
          <t>O</t>
        </is>
      </c>
      <c r="P43" s="148" t="n"/>
      <c r="Q43" s="148" t="inlineStr">
        <is>
          <t>O</t>
        </is>
      </c>
      <c r="R43" s="148" t="n"/>
      <c r="S43" s="148" t="inlineStr">
        <is>
          <t>O</t>
        </is>
      </c>
      <c r="T43" s="195" t="n"/>
      <c r="U43" s="148" t="n"/>
      <c r="V43" s="195" t="n"/>
      <c r="W43" s="148" t="n"/>
      <c r="X43" s="195" t="n"/>
      <c r="Y43" s="148" t="n"/>
      <c r="Z43" s="195" t="n"/>
      <c r="AA43" s="195" t="n"/>
      <c r="AB43" s="195" t="n"/>
    </row>
    <row r="44" ht="13.5" customHeight="1" s="426">
      <c r="A44" s="181" t="n"/>
      <c r="B44" s="116" t="inlineStr">
        <is>
          <t>Exception</t>
        </is>
      </c>
      <c r="C44" s="120" t="n"/>
      <c r="D44" s="118" t="n"/>
      <c r="E44" s="91" t="n"/>
      <c r="F44" s="79" t="n"/>
      <c r="G44" s="79" t="n"/>
      <c r="H44" s="79" t="n"/>
      <c r="I44" s="79" t="n"/>
      <c r="J44" s="79" t="n"/>
      <c r="K44" s="79" t="n"/>
      <c r="L44" s="79" t="n"/>
      <c r="M44" s="79" t="n"/>
      <c r="N44" s="79" t="n"/>
      <c r="O44" s="79" t="n"/>
      <c r="P44" s="148" t="inlineStr">
        <is>
          <t>O</t>
        </is>
      </c>
      <c r="Q44" s="79" t="n"/>
      <c r="R44" s="148" t="inlineStr">
        <is>
          <t>O</t>
        </is>
      </c>
      <c r="S44" s="79" t="n"/>
      <c r="T44" s="148" t="inlineStr">
        <is>
          <t>O</t>
        </is>
      </c>
      <c r="U44" s="195" t="n"/>
      <c r="V44" s="195" t="n"/>
      <c r="W44" s="195" t="n"/>
      <c r="X44" s="195" t="n"/>
      <c r="Y44" s="195" t="n"/>
      <c r="Z44" s="195" t="n"/>
      <c r="AA44" s="195" t="n"/>
      <c r="AB44" s="195" t="n"/>
    </row>
    <row r="45" ht="13.5" customHeight="1" s="426">
      <c r="A45" s="181" t="n"/>
      <c r="B45" s="116" t="n"/>
      <c r="C45" s="120" t="n"/>
      <c r="D45" s="118" t="inlineStr">
        <is>
          <t>InvalidOperationException</t>
        </is>
      </c>
      <c r="E45" s="91" t="n"/>
      <c r="F45" s="79" t="n"/>
      <c r="G45" s="79" t="n"/>
      <c r="H45" s="79" t="n"/>
      <c r="I45" s="148" t="n"/>
      <c r="J45" s="148" t="inlineStr">
        <is>
          <t>O</t>
        </is>
      </c>
      <c r="K45" s="148" t="n"/>
      <c r="L45" s="79" t="n"/>
      <c r="M45" s="79" t="n"/>
      <c r="N45" s="79" t="n"/>
      <c r="O45" s="148" t="n"/>
      <c r="P45" s="79" t="n"/>
      <c r="Q45" s="79" t="n"/>
      <c r="R45" s="148" t="n"/>
      <c r="S45" s="79" t="n"/>
      <c r="T45" s="195" t="n"/>
      <c r="U45" s="195" t="n"/>
      <c r="V45" s="195" t="n"/>
      <c r="W45" s="195" t="n"/>
      <c r="X45" s="195" t="n"/>
      <c r="Y45" s="195" t="n"/>
      <c r="Z45" s="195" t="n"/>
      <c r="AA45" s="195" t="n"/>
      <c r="AB45" s="195" t="n"/>
    </row>
    <row r="46" ht="13.5" customHeight="1" s="426">
      <c r="A46" s="181" t="n"/>
      <c r="B46" s="88" t="inlineStr">
        <is>
          <t>Log message</t>
        </is>
      </c>
      <c r="C46" s="89" t="n"/>
      <c r="D46" s="90" t="n"/>
      <c r="E46" s="91" t="n"/>
      <c r="F46" s="79" t="n"/>
      <c r="G46" s="79" t="n"/>
      <c r="H46" s="79" t="n"/>
      <c r="I46" s="79" t="n"/>
      <c r="J46" s="79" t="n"/>
      <c r="K46" s="79" t="n"/>
      <c r="L46" s="79" t="n"/>
      <c r="M46" s="79" t="n"/>
      <c r="N46" s="79" t="n"/>
      <c r="O46" s="79" t="n"/>
      <c r="P46" s="79" t="n"/>
      <c r="Q46" s="79" t="n"/>
      <c r="R46" s="79" t="n"/>
      <c r="S46" s="79" t="n"/>
      <c r="T46" s="195" t="n"/>
      <c r="U46" s="195" t="n"/>
      <c r="V46" s="195" t="n"/>
      <c r="W46" s="195" t="n"/>
      <c r="X46" s="195" t="n"/>
      <c r="Y46" s="195" t="n"/>
      <c r="Z46" s="195" t="n"/>
      <c r="AA46" s="195" t="n"/>
      <c r="AB46" s="195" t="n"/>
    </row>
    <row r="47" ht="13.5" customHeight="1" s="426">
      <c r="A47" s="181" t="n"/>
      <c r="B47" s="88" t="n"/>
      <c r="C47" s="89" t="n"/>
      <c r="D47" s="90" t="inlineStr">
        <is>
          <t>"Expected UpdateUserProfile to return true for a valid update."</t>
        </is>
      </c>
      <c r="E47" s="91" t="n"/>
      <c r="F47" s="148" t="inlineStr">
        <is>
          <t>O</t>
        </is>
      </c>
      <c r="G47" s="79" t="n"/>
      <c r="H47" s="79" t="n"/>
      <c r="I47" s="79" t="n"/>
      <c r="J47" s="79" t="n"/>
      <c r="K47" s="79" t="n"/>
      <c r="L47" s="79" t="n"/>
      <c r="M47" s="79" t="n"/>
      <c r="N47" s="79" t="n"/>
      <c r="O47" s="79" t="n"/>
      <c r="P47" s="79" t="n"/>
      <c r="Q47" s="79" t="n"/>
      <c r="R47" s="79" t="n"/>
      <c r="S47" s="79" t="n"/>
      <c r="T47" s="195" t="n"/>
      <c r="U47" s="195" t="n"/>
      <c r="V47" s="195" t="n"/>
      <c r="W47" s="195" t="n"/>
      <c r="X47" s="195" t="n"/>
      <c r="Y47" s="195" t="n"/>
      <c r="Z47" s="195" t="n"/>
      <c r="AA47" s="195" t="n"/>
      <c r="AB47" s="195" t="n"/>
    </row>
    <row r="48" ht="13.5" customHeight="1" s="426">
      <c r="A48" s="181" t="n"/>
      <c r="B48" s="88" t="n"/>
      <c r="C48" s="89" t="n"/>
      <c r="D48" s="90" t="inlineStr">
        <is>
          <t>"Expected UpdateUserProfile to return false for a null DTO."</t>
        </is>
      </c>
      <c r="E48" s="91" t="n"/>
      <c r="F48" s="79" t="n"/>
      <c r="G48" s="148" t="inlineStr">
        <is>
          <t>O</t>
        </is>
      </c>
      <c r="H48" s="79" t="n"/>
      <c r="I48" s="79" t="n"/>
      <c r="J48" s="79" t="n"/>
      <c r="K48" s="79" t="n"/>
      <c r="L48" s="79" t="n"/>
      <c r="M48" s="79" t="n"/>
      <c r="N48" s="79" t="n"/>
      <c r="O48" s="79" t="n"/>
      <c r="P48" s="79" t="n"/>
      <c r="Q48" s="79" t="n"/>
      <c r="R48" s="79" t="n"/>
      <c r="S48" s="79" t="n"/>
      <c r="T48" s="195" t="n"/>
      <c r="U48" s="195" t="n"/>
      <c r="V48" s="195" t="n"/>
      <c r="W48" s="195" t="n"/>
      <c r="X48" s="195" t="n"/>
      <c r="Y48" s="195" t="n"/>
      <c r="Z48" s="195" t="n"/>
      <c r="AA48" s="195" t="n"/>
      <c r="AB48" s="195" t="n"/>
    </row>
    <row r="49" ht="13.5" customHeight="1" s="426">
      <c r="A49" s="181" t="n"/>
      <c r="B49" s="88" t="n"/>
      <c r="C49" s="89" t="n"/>
      <c r="D49" s="90" t="inlineStr">
        <is>
          <t>"Expected UpdateUserProfile to return false for a non-existent UserId."</t>
        </is>
      </c>
      <c r="E49" s="91" t="n"/>
      <c r="F49" s="79" t="n"/>
      <c r="G49" s="79" t="n"/>
      <c r="H49" s="148" t="inlineStr">
        <is>
          <t>O</t>
        </is>
      </c>
      <c r="I49" s="79" t="n"/>
      <c r="J49" s="79" t="n"/>
      <c r="K49" s="79" t="n"/>
      <c r="L49" s="79" t="n"/>
      <c r="M49" s="79" t="n"/>
      <c r="N49" s="79" t="n"/>
      <c r="O49" s="79" t="n"/>
      <c r="P49" s="79" t="n"/>
      <c r="Q49" s="79" t="n"/>
      <c r="R49" s="79" t="n"/>
      <c r="S49" s="79" t="n"/>
      <c r="T49" s="195" t="n"/>
      <c r="U49" s="195" t="n"/>
      <c r="V49" s="195" t="n"/>
      <c r="W49" s="195" t="n"/>
      <c r="X49" s="195" t="n"/>
      <c r="Y49" s="195" t="n"/>
      <c r="Z49" s="195" t="n"/>
      <c r="AA49" s="195" t="n"/>
      <c r="AB49" s="195" t="n"/>
    </row>
    <row r="50" ht="13.5" customHeight="1" s="426">
      <c r="A50" s="181" t="n"/>
      <c r="B50" s="88" t="n"/>
      <c r="C50" s="89" t="n"/>
      <c r="D50" s="90" t="inlineStr">
        <is>
          <t>"Expected UpdateUserProfile to return false for an invalid phone number format."</t>
        </is>
      </c>
      <c r="E50" s="91" t="n"/>
      <c r="F50" s="79" t="n"/>
      <c r="G50" s="79" t="n"/>
      <c r="H50" s="79" t="n"/>
      <c r="I50" s="148" t="inlineStr">
        <is>
          <t>O</t>
        </is>
      </c>
      <c r="J50" s="79" t="n"/>
      <c r="K50" s="79" t="n"/>
      <c r="L50" s="79" t="n"/>
      <c r="M50" s="79" t="n"/>
      <c r="N50" s="79" t="n"/>
      <c r="O50" s="79" t="n"/>
      <c r="P50" s="79" t="n"/>
      <c r="Q50" s="79" t="n"/>
      <c r="R50" s="79" t="n"/>
      <c r="S50" s="79" t="n"/>
      <c r="T50" s="195" t="n"/>
      <c r="U50" s="195" t="n"/>
      <c r="V50" s="195" t="n"/>
      <c r="W50" s="195" t="n"/>
      <c r="X50" s="195" t="n"/>
      <c r="Y50" s="195" t="n"/>
      <c r="Z50" s="195" t="n"/>
      <c r="AA50" s="195" t="n"/>
      <c r="AB50" s="195" t="n"/>
    </row>
    <row r="51" ht="13.5" customHeight="1" s="426">
      <c r="A51" s="181" t="n"/>
      <c r="B51" s="88" t="n"/>
      <c r="C51" s="92" t="n"/>
      <c r="D51" s="90" t="inlineStr">
        <is>
          <t>"Expected UpdateUserProfile to return false when FullName is empty."</t>
        </is>
      </c>
      <c r="E51" s="93" t="n"/>
      <c r="F51" s="148" t="n"/>
      <c r="G51" s="79" t="n"/>
      <c r="H51" s="79" t="n"/>
      <c r="I51" s="79" t="n"/>
      <c r="J51" s="148" t="n"/>
      <c r="K51" s="148" t="inlineStr">
        <is>
          <t>O</t>
        </is>
      </c>
      <c r="L51" s="79" t="n"/>
      <c r="M51" s="79" t="n"/>
      <c r="N51" s="79" t="n"/>
      <c r="O51" s="79" t="n"/>
      <c r="P51" s="79" t="n"/>
      <c r="Q51" s="79" t="n"/>
      <c r="R51" s="79" t="n"/>
      <c r="S51" s="79" t="n"/>
      <c r="T51" s="195" t="n"/>
      <c r="U51" s="195" t="n"/>
      <c r="V51" s="195" t="n"/>
      <c r="W51" s="195" t="n"/>
      <c r="X51" s="195" t="n"/>
      <c r="Y51" s="195" t="n"/>
      <c r="Z51" s="195" t="n"/>
      <c r="AA51" s="195" t="n"/>
      <c r="AB51" s="195" t="n"/>
    </row>
    <row r="52" ht="13.5" customHeight="1" s="426">
      <c r="A52" s="181" t="n"/>
      <c r="B52" s="88" t="n"/>
      <c r="C52" s="92" t="n"/>
      <c r="D52" s="90" t="inlineStr">
        <is>
          <t>"Expected UpdateUserProfile to return false when PhoneNumber is empty."</t>
        </is>
      </c>
      <c r="E52" s="93" t="n"/>
      <c r="F52" s="148" t="n"/>
      <c r="G52" s="79" t="n"/>
      <c r="H52" s="79" t="n"/>
      <c r="I52" s="79" t="n"/>
      <c r="J52" s="148" t="n"/>
      <c r="K52" s="148" t="n"/>
      <c r="L52" s="148" t="inlineStr">
        <is>
          <t>O</t>
        </is>
      </c>
      <c r="M52" s="79" t="n"/>
      <c r="N52" s="79" t="n"/>
      <c r="O52" s="79" t="n"/>
      <c r="P52" s="79" t="n"/>
      <c r="Q52" s="79" t="n"/>
      <c r="R52" s="79" t="n"/>
      <c r="S52" s="79" t="n"/>
      <c r="T52" s="195" t="n"/>
      <c r="U52" s="195" t="n"/>
      <c r="V52" s="195" t="n"/>
      <c r="W52" s="195" t="n"/>
      <c r="X52" s="195" t="n"/>
      <c r="Y52" s="195" t="n"/>
      <c r="Z52" s="195" t="n"/>
      <c r="AA52" s="195" t="n"/>
      <c r="AB52" s="195" t="n"/>
    </row>
    <row r="53" ht="13.5" customHeight="1" s="426">
      <c r="A53" s="181" t="n"/>
      <c r="B53" s="88" t="n"/>
      <c r="C53" s="92" t="n"/>
      <c r="D53" s="90" t="inlineStr">
        <is>
          <t>"Expected UpdateUserProfile to return false when Address is empty."</t>
        </is>
      </c>
      <c r="E53" s="93" t="n"/>
      <c r="F53" s="148" t="n"/>
      <c r="G53" s="79" t="n"/>
      <c r="H53" s="79" t="n"/>
      <c r="I53" s="79" t="n"/>
      <c r="J53" s="148" t="n"/>
      <c r="K53" s="79" t="n"/>
      <c r="L53" s="148" t="n"/>
      <c r="M53" s="148" t="inlineStr">
        <is>
          <t>O</t>
        </is>
      </c>
      <c r="N53" s="79" t="n"/>
      <c r="O53" s="79" t="n"/>
      <c r="P53" s="79" t="n"/>
      <c r="Q53" s="79" t="n"/>
      <c r="R53" s="79" t="n"/>
      <c r="S53" s="79" t="n"/>
      <c r="T53" s="195" t="n"/>
      <c r="U53" s="195" t="n"/>
      <c r="V53" s="195" t="n"/>
      <c r="W53" s="195" t="n"/>
      <c r="X53" s="195" t="n"/>
      <c r="Y53" s="195" t="n"/>
      <c r="Z53" s="195" t="n"/>
      <c r="AA53" s="195" t="n"/>
      <c r="AB53" s="195" t="n"/>
    </row>
    <row r="54" ht="13.5" customHeight="1" s="426">
      <c r="A54" s="181" t="n"/>
      <c r="B54" s="88" t="n"/>
      <c r="C54" s="92" t="n"/>
      <c r="D54" s="90" t="inlineStr">
        <is>
          <t>"Expected UpdateUserProfile to return false for a non-existent RoleId."</t>
        </is>
      </c>
      <c r="E54" s="93" t="n"/>
      <c r="F54" s="148" t="n"/>
      <c r="G54" s="79" t="n"/>
      <c r="H54" s="79" t="n"/>
      <c r="I54" s="79" t="n"/>
      <c r="J54" s="148" t="n"/>
      <c r="K54" s="79" t="n"/>
      <c r="L54" s="79" t="n"/>
      <c r="M54" s="79" t="n"/>
      <c r="N54" s="148" t="inlineStr">
        <is>
          <t>O</t>
        </is>
      </c>
      <c r="O54" s="79" t="n"/>
      <c r="P54" s="79" t="n"/>
      <c r="Q54" s="79" t="n"/>
      <c r="R54" s="79" t="n"/>
      <c r="S54" s="79" t="n"/>
      <c r="T54" s="195" t="n"/>
      <c r="U54" s="195" t="n"/>
      <c r="V54" s="195" t="n"/>
      <c r="W54" s="195" t="n"/>
      <c r="X54" s="195" t="n"/>
      <c r="Y54" s="195" t="n"/>
      <c r="Z54" s="195" t="n"/>
      <c r="AA54" s="195" t="n"/>
      <c r="AB54" s="195" t="n"/>
    </row>
    <row r="55" ht="13.5" customHeight="1" s="426" thickBot="1">
      <c r="A55" s="181" t="n"/>
      <c r="B55" s="88" t="n"/>
      <c r="C55" s="92" t="n"/>
      <c r="D55" s="90" t="inlineStr">
        <is>
          <t>"Simulated DB error"</t>
        </is>
      </c>
      <c r="E55" s="93" t="n"/>
      <c r="F55" s="148" t="n"/>
      <c r="G55" s="79" t="n"/>
      <c r="H55" s="79" t="n"/>
      <c r="I55" s="79" t="n"/>
      <c r="J55" s="148" t="inlineStr">
        <is>
          <t>O</t>
        </is>
      </c>
      <c r="K55" s="79" t="n"/>
      <c r="L55" s="79" t="n"/>
      <c r="M55" s="79" t="n"/>
      <c r="N55" s="79" t="n"/>
      <c r="O55" s="148" t="n"/>
      <c r="P55" s="79" t="n"/>
      <c r="Q55" s="79" t="n"/>
      <c r="R55" s="79" t="n"/>
      <c r="S55" s="79" t="n"/>
      <c r="T55" s="195" t="n"/>
      <c r="U55" s="195" t="n"/>
      <c r="V55" s="195" t="n"/>
      <c r="W55" s="195" t="n"/>
      <c r="X55" s="195" t="n"/>
      <c r="Y55" s="195" t="n"/>
      <c r="Z55" s="195" t="n"/>
      <c r="AA55" s="195" t="n"/>
      <c r="AB55" s="195" t="n"/>
    </row>
    <row r="56" ht="13.5" customHeight="1" s="426" thickTop="1">
      <c r="A56" s="182" t="inlineStr">
        <is>
          <t>Result</t>
        </is>
      </c>
      <c r="B56" s="331" t="inlineStr">
        <is>
          <t>Type(N : Normal, A : Abnormal, B : Boundary)</t>
        </is>
      </c>
      <c r="C56" s="472" t="n"/>
      <c r="D56" s="473" t="n"/>
      <c r="E56" s="331" t="n"/>
      <c r="F56" s="188" t="inlineStr">
        <is>
          <t>N</t>
        </is>
      </c>
      <c r="G56" s="188" t="inlineStr">
        <is>
          <t>A</t>
        </is>
      </c>
      <c r="H56" s="188" t="inlineStr">
        <is>
          <t>A</t>
        </is>
      </c>
      <c r="I56" s="188" t="inlineStr">
        <is>
          <t>A</t>
        </is>
      </c>
      <c r="J56" s="188" t="inlineStr">
        <is>
          <t>A</t>
        </is>
      </c>
      <c r="K56" s="188" t="inlineStr">
        <is>
          <t>A</t>
        </is>
      </c>
      <c r="L56" s="188" t="inlineStr">
        <is>
          <t>A</t>
        </is>
      </c>
      <c r="M56" s="188" t="inlineStr">
        <is>
          <t>A</t>
        </is>
      </c>
      <c r="N56" s="188" t="inlineStr">
        <is>
          <t>A</t>
        </is>
      </c>
      <c r="O56" s="188" t="inlineStr">
        <is>
          <t>B</t>
        </is>
      </c>
      <c r="P56" s="188" t="inlineStr">
        <is>
          <t>B</t>
        </is>
      </c>
      <c r="Q56" s="188" t="inlineStr">
        <is>
          <t>B</t>
        </is>
      </c>
      <c r="R56" s="188" t="inlineStr">
        <is>
          <t>B</t>
        </is>
      </c>
      <c r="S56" s="188" t="inlineStr">
        <is>
          <t>B</t>
        </is>
      </c>
      <c r="T56" s="188" t="inlineStr">
        <is>
          <t>B</t>
        </is>
      </c>
      <c r="U56" s="188" t="n"/>
      <c r="V56" s="188" t="n"/>
      <c r="W56" s="188" t="n"/>
      <c r="X56" s="188" t="n"/>
      <c r="Y56" s="188" t="n"/>
      <c r="Z56" s="198" t="n"/>
      <c r="AA56" s="198" t="n"/>
      <c r="AB56" s="198" t="n"/>
    </row>
    <row r="57" ht="13.5" customHeight="1" s="426">
      <c r="A57" s="174" t="n"/>
      <c r="B57" s="320" t="inlineStr">
        <is>
          <t>Passed/Failed</t>
        </is>
      </c>
      <c r="C57" s="449" t="n"/>
      <c r="D57" s="450" t="n"/>
      <c r="E57" s="95" t="n"/>
      <c r="F57" s="94" t="inlineStr">
        <is>
          <t>P</t>
        </is>
      </c>
      <c r="G57" s="94" t="inlineStr">
        <is>
          <t>P</t>
        </is>
      </c>
      <c r="H57" s="94" t="inlineStr">
        <is>
          <t>P</t>
        </is>
      </c>
      <c r="I57" s="94" t="inlineStr">
        <is>
          <t>P</t>
        </is>
      </c>
      <c r="J57" s="94" t="inlineStr">
        <is>
          <t>P</t>
        </is>
      </c>
      <c r="K57" s="94" t="inlineStr">
        <is>
          <t>P</t>
        </is>
      </c>
      <c r="L57" s="94" t="inlineStr">
        <is>
          <t>P</t>
        </is>
      </c>
      <c r="M57" s="94" t="inlineStr">
        <is>
          <t>P</t>
        </is>
      </c>
      <c r="N57" s="94" t="inlineStr">
        <is>
          <t>P</t>
        </is>
      </c>
      <c r="O57" s="94" t="inlineStr">
        <is>
          <t>P</t>
        </is>
      </c>
      <c r="P57" s="94" t="inlineStr">
        <is>
          <t>P</t>
        </is>
      </c>
      <c r="Q57" s="94" t="inlineStr">
        <is>
          <t>P</t>
        </is>
      </c>
      <c r="R57" s="94" t="inlineStr">
        <is>
          <t>P</t>
        </is>
      </c>
      <c r="S57" s="94" t="inlineStr">
        <is>
          <t>P</t>
        </is>
      </c>
      <c r="T57" s="94" t="inlineStr">
        <is>
          <t>P</t>
        </is>
      </c>
      <c r="U57" s="94" t="n"/>
      <c r="V57" s="94" t="n"/>
      <c r="W57" s="94" t="n"/>
      <c r="X57" s="94" t="n"/>
      <c r="Y57" s="94" t="n"/>
      <c r="Z57" s="199" t="n"/>
      <c r="AA57" s="199" t="n"/>
      <c r="AB57" s="199" t="n"/>
    </row>
    <row r="58" ht="71.5" customHeight="1" s="426">
      <c r="A58" s="174" t="n"/>
      <c r="B58" s="329" t="inlineStr">
        <is>
          <t>Executed Date</t>
        </is>
      </c>
      <c r="C58" s="449" t="n"/>
      <c r="D58" s="450" t="n"/>
      <c r="E58" s="96" t="n"/>
      <c r="F58" s="97" t="n">
        <v>45706</v>
      </c>
      <c r="G58" s="97" t="n">
        <v>45706</v>
      </c>
      <c r="H58" s="97" t="n">
        <v>45706</v>
      </c>
      <c r="I58" s="97" t="n">
        <v>45706</v>
      </c>
      <c r="J58" s="97" t="n">
        <v>45706</v>
      </c>
      <c r="K58" s="97" t="n">
        <v>45706</v>
      </c>
      <c r="L58" s="97" t="n">
        <v>45706</v>
      </c>
      <c r="M58" s="97" t="n">
        <v>45706</v>
      </c>
      <c r="N58" s="97" t="n">
        <v>45706</v>
      </c>
      <c r="O58" s="97" t="n">
        <v>45706</v>
      </c>
      <c r="P58" s="97" t="n">
        <v>45706</v>
      </c>
      <c r="Q58" s="97" t="n">
        <v>45706</v>
      </c>
      <c r="R58" s="97" t="n">
        <v>45706</v>
      </c>
      <c r="S58" s="97" t="n">
        <v>45706</v>
      </c>
      <c r="T58" s="97" t="n">
        <v>45706</v>
      </c>
      <c r="U58" s="97" t="n"/>
      <c r="V58" s="97" t="n"/>
      <c r="W58" s="97" t="n"/>
      <c r="X58" s="97" t="n"/>
      <c r="Y58" s="97" t="n"/>
      <c r="Z58" s="97" t="n"/>
      <c r="AA58" s="176" t="n"/>
      <c r="AB58" s="176" t="n"/>
    </row>
    <row r="59" ht="10.5" customHeight="1" s="426" thickBot="1">
      <c r="A59" s="177" t="n"/>
      <c r="B59" s="330" t="inlineStr">
        <is>
          <t>Defect ID</t>
        </is>
      </c>
      <c r="C59" s="474" t="n"/>
      <c r="D59" s="475" t="n"/>
      <c r="E59" s="178" t="n"/>
      <c r="F59" s="179" t="n"/>
      <c r="G59" s="179" t="n"/>
      <c r="H59" s="179" t="n"/>
      <c r="I59" s="179" t="n"/>
      <c r="J59" s="179" t="n"/>
      <c r="K59" s="179" t="n"/>
      <c r="L59" s="179" t="n"/>
      <c r="M59" s="179" t="n"/>
      <c r="N59" s="179" t="n"/>
      <c r="O59" s="179" t="n"/>
      <c r="P59" s="179" t="n"/>
      <c r="Q59" s="179" t="n"/>
      <c r="R59" s="179" t="n"/>
      <c r="S59" s="179" t="n"/>
      <c r="T59" s="180" t="n"/>
      <c r="U59" s="180" t="n"/>
      <c r="V59" s="180" t="n"/>
      <c r="W59" s="180" t="n"/>
      <c r="X59" s="180" t="n"/>
      <c r="Y59" s="180" t="n"/>
      <c r="Z59" s="180" t="n"/>
      <c r="AA59" s="180" t="n"/>
      <c r="AB59" s="180" t="n"/>
    </row>
    <row r="60" ht="10.5" customHeight="1" s="426" thickTop="1">
      <c r="A60" s="73" t="n"/>
      <c r="B60" s="69" t="n"/>
      <c r="C60" s="413" t="n"/>
      <c r="D60" s="69" t="n"/>
    </row>
  </sheetData>
  <mergeCells count="27">
    <mergeCell ref="B57:D57"/>
    <mergeCell ref="F2:K2"/>
    <mergeCell ref="A6:B6"/>
    <mergeCell ref="C4:D4"/>
    <mergeCell ref="L4:T4"/>
    <mergeCell ref="C2:E2"/>
    <mergeCell ref="A7:B7"/>
    <mergeCell ref="C7:E7"/>
    <mergeCell ref="L6:N6"/>
    <mergeCell ref="A3:B3"/>
    <mergeCell ref="A2:B2"/>
    <mergeCell ref="A5:B5"/>
    <mergeCell ref="C3:E3"/>
    <mergeCell ref="O7:T7"/>
    <mergeCell ref="F4:K4"/>
    <mergeCell ref="C6:E6"/>
    <mergeCell ref="A4:B4"/>
    <mergeCell ref="L2:T2"/>
    <mergeCell ref="B59:D59"/>
    <mergeCell ref="O6:T6"/>
    <mergeCell ref="F6:K6"/>
    <mergeCell ref="B56:D56"/>
    <mergeCell ref="B58:D58"/>
    <mergeCell ref="F7:K7"/>
    <mergeCell ref="C5:T5"/>
    <mergeCell ref="L3:T3"/>
    <mergeCell ref="F3:K3"/>
  </mergeCells>
  <dataValidations count="3">
    <dataValidation sqref="F57:AB57" showDropDown="0" showInputMessage="1" showErrorMessage="1" allowBlank="1" type="list">
      <formula1>"P,F, "</formula1>
    </dataValidation>
    <dataValidation sqref="F56:AB56" showDropDown="0" showInputMessage="1" showErrorMessage="1" allowBlank="1" type="list">
      <formula1>"N,A,B, "</formula1>
    </dataValidation>
    <dataValidation sqref="F10:AB55"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sheetPr>
  <dimension ref="A1:X67"/>
  <sheetViews>
    <sheetView topLeftCell="A29" zoomScale="115" zoomScaleNormal="115" workbookViewId="0">
      <selection activeCell="Z40" sqref="Z40"/>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3.08984375" customWidth="1" style="69" min="22" max="22"/>
    <col width="3.54296875" customWidth="1" style="69" min="23" max="23"/>
    <col width="3.7265625" customWidth="1" style="69" min="24" max="24"/>
    <col width="11" customWidth="1" style="69" min="25" max="256"/>
    <col width="9" customWidth="1" style="69" min="257" max="16384"/>
  </cols>
  <sheetData>
    <row r="1" ht="13.5" customHeight="1" s="426" thickBot="1">
      <c r="A1" s="67" t="n"/>
      <c r="B1" s="68" t="n"/>
    </row>
    <row r="2" ht="13.5" customHeight="1" s="426">
      <c r="A2" s="315" t="inlineStr">
        <is>
          <t>Function Code</t>
        </is>
      </c>
      <c r="B2" s="439" t="n"/>
      <c r="C2" s="440" t="inlineStr">
        <is>
          <t>Facility - 5</t>
        </is>
      </c>
      <c r="D2" s="439" t="n"/>
      <c r="E2" s="441" t="n"/>
      <c r="F2" s="410" t="inlineStr">
        <is>
          <t>Function Name</t>
        </is>
      </c>
      <c r="G2" s="496" t="n"/>
      <c r="H2" s="496" t="n"/>
      <c r="I2" s="496" t="n"/>
      <c r="J2" s="496" t="n"/>
      <c r="K2" s="496" t="n"/>
      <c r="L2" s="443" t="inlineStr">
        <is>
          <t>Update Facility</t>
        </is>
      </c>
      <c r="M2" s="439" t="n"/>
      <c r="N2" s="439" t="n"/>
      <c r="O2" s="439" t="n"/>
      <c r="P2" s="439" t="n"/>
      <c r="Q2" s="439" t="n"/>
      <c r="R2" s="439" t="n"/>
      <c r="S2" s="439" t="n"/>
      <c r="T2" s="444" t="n"/>
      <c r="V2" s="71" t="n"/>
    </row>
    <row r="3" ht="13.5" customHeight="1" s="426">
      <c r="A3" s="445" t="inlineStr">
        <is>
          <t>Created By</t>
        </is>
      </c>
      <c r="B3" s="428" t="n"/>
      <c r="C3" s="446" t="inlineStr">
        <is>
          <t>Nguyễn Thanh Tuấn</t>
        </is>
      </c>
      <c r="D3" s="433" t="n"/>
      <c r="E3" s="447" t="n"/>
      <c r="F3" s="448" t="inlineStr">
        <is>
          <t>Executed By</t>
        </is>
      </c>
      <c r="G3" s="449" t="n"/>
      <c r="H3" s="449" t="n"/>
      <c r="I3" s="449" t="n"/>
      <c r="J3" s="449" t="n"/>
      <c r="K3" s="450" t="n"/>
      <c r="L3" s="453" t="inlineStr">
        <is>
          <t>Nguyễn Thanh Tuấn</t>
        </is>
      </c>
      <c r="M3" s="454" t="n"/>
      <c r="N3" s="454" t="n"/>
      <c r="O3" s="454" t="n"/>
      <c r="P3" s="454" t="n"/>
      <c r="Q3" s="454" t="n"/>
      <c r="R3" s="454" t="n"/>
      <c r="S3" s="454" t="n"/>
      <c r="T3" s="455" t="n"/>
    </row>
    <row r="4" ht="13.5" customHeight="1" s="426">
      <c r="A4" s="445" t="inlineStr">
        <is>
          <t>Lines  of code</t>
        </is>
      </c>
      <c r="B4" s="428" t="n"/>
      <c r="C4" s="327" t="n">
        <v>347</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COUNTIF(F64:HQ64,"P")</f>
        <v/>
      </c>
      <c r="B7" s="465" t="n"/>
      <c r="C7" s="466">
        <f>COUNTIF(F65:HQ65,"F")</f>
        <v/>
      </c>
      <c r="D7" s="467" t="n"/>
      <c r="E7" s="465" t="n"/>
      <c r="F7" s="468">
        <f>SUM(O7,- A7,- C7)</f>
        <v/>
      </c>
      <c r="G7" s="467" t="n"/>
      <c r="H7" s="467" t="n"/>
      <c r="I7" s="467" t="n"/>
      <c r="J7" s="467" t="n"/>
      <c r="K7" s="469" t="n"/>
      <c r="L7" s="342">
        <f>COUNTIF(E63:HQ63,"N")</f>
        <v/>
      </c>
      <c r="M7" s="342">
        <f>COUNTIF(E63:HQ63,"A")</f>
        <v/>
      </c>
      <c r="N7" s="342">
        <f>COUNTIF(E63:HQ63,"B")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inlineStr">
        <is>
          <t>UTCID07</t>
        </is>
      </c>
      <c r="M9" s="168" t="inlineStr">
        <is>
          <t>UTCID08</t>
        </is>
      </c>
      <c r="N9" s="168" t="inlineStr">
        <is>
          <t>UTCID09</t>
        </is>
      </c>
      <c r="O9" s="168" t="inlineStr">
        <is>
          <t>UTCID10</t>
        </is>
      </c>
      <c r="P9" s="168" t="inlineStr">
        <is>
          <t>UTCID11</t>
        </is>
      </c>
      <c r="Q9" s="168" t="inlineStr">
        <is>
          <t>UTCID12</t>
        </is>
      </c>
      <c r="R9" s="168" t="inlineStr">
        <is>
          <t>UTCID13</t>
        </is>
      </c>
      <c r="S9" s="168" t="inlineStr">
        <is>
          <t>UTCID14</t>
        </is>
      </c>
      <c r="T9" s="168" t="inlineStr">
        <is>
          <t>UTCID15</t>
        </is>
      </c>
      <c r="U9" s="168" t="n"/>
      <c r="V9" s="168" t="n"/>
      <c r="W9" s="168" t="n"/>
      <c r="X9" s="168"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c r="U10" s="195" t="n"/>
      <c r="V10" s="195" t="n"/>
      <c r="W10" s="195" t="n"/>
      <c r="X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n"/>
      <c r="J11" s="148" t="inlineStr">
        <is>
          <t>O</t>
        </is>
      </c>
      <c r="K11" s="148" t="inlineStr">
        <is>
          <t>O</t>
        </is>
      </c>
      <c r="L11" s="148" t="inlineStr">
        <is>
          <t>O</t>
        </is>
      </c>
      <c r="M11" s="148" t="inlineStr">
        <is>
          <t>O</t>
        </is>
      </c>
      <c r="N11" s="148" t="inlineStr">
        <is>
          <t>O</t>
        </is>
      </c>
      <c r="O11" s="148" t="inlineStr">
        <is>
          <t>O</t>
        </is>
      </c>
      <c r="P11" s="148" t="inlineStr">
        <is>
          <t>O</t>
        </is>
      </c>
      <c r="Q11" s="148" t="inlineStr">
        <is>
          <t>O</t>
        </is>
      </c>
      <c r="R11" s="148" t="inlineStr">
        <is>
          <t>O</t>
        </is>
      </c>
      <c r="S11" s="148" t="inlineStr">
        <is>
          <t>O</t>
        </is>
      </c>
      <c r="T11" s="148" t="inlineStr">
        <is>
          <t>O</t>
        </is>
      </c>
      <c r="U11" s="170" t="n"/>
      <c r="V11" s="170" t="n"/>
      <c r="W11" s="170" t="n"/>
      <c r="X11" s="170"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inlineStr">
        <is>
          <t>O</t>
        </is>
      </c>
      <c r="M12" s="148" t="inlineStr">
        <is>
          <t>O</t>
        </is>
      </c>
      <c r="N12" s="148" t="inlineStr">
        <is>
          <t>O</t>
        </is>
      </c>
      <c r="O12" s="148" t="inlineStr">
        <is>
          <t>O</t>
        </is>
      </c>
      <c r="P12" s="148" t="inlineStr">
        <is>
          <t>O</t>
        </is>
      </c>
      <c r="Q12" s="148" t="inlineStr">
        <is>
          <t>O</t>
        </is>
      </c>
      <c r="R12" s="148" t="inlineStr">
        <is>
          <t>O</t>
        </is>
      </c>
      <c r="S12" s="148" t="inlineStr">
        <is>
          <t>O</t>
        </is>
      </c>
      <c r="T12" s="148" t="inlineStr">
        <is>
          <t>O</t>
        </is>
      </c>
      <c r="U12" s="170" t="n"/>
      <c r="V12" s="170" t="n"/>
      <c r="W12" s="170" t="n"/>
      <c r="X12" s="170" t="n"/>
    </row>
    <row r="13" ht="13.5" customHeight="1" s="426">
      <c r="A13" s="171" t="n"/>
      <c r="B13" s="75" t="n"/>
      <c r="C13" s="76" t="n"/>
      <c r="D13" s="77" t="inlineStr">
        <is>
          <t>Facility Existed</t>
        </is>
      </c>
      <c r="E13" s="80" t="n"/>
      <c r="F13" s="148" t="inlineStr">
        <is>
          <t>O</t>
        </is>
      </c>
      <c r="G13" s="148" t="n"/>
      <c r="H13" s="148" t="n"/>
      <c r="I13" s="148" t="inlineStr">
        <is>
          <t>O</t>
        </is>
      </c>
      <c r="J13" s="148" t="inlineStr">
        <is>
          <t>O</t>
        </is>
      </c>
      <c r="K13" s="148" t="inlineStr">
        <is>
          <t>O</t>
        </is>
      </c>
      <c r="L13" s="148" t="inlineStr">
        <is>
          <t>O</t>
        </is>
      </c>
      <c r="M13" s="148" t="inlineStr">
        <is>
          <t>O</t>
        </is>
      </c>
      <c r="N13" s="148" t="inlineStr">
        <is>
          <t>O</t>
        </is>
      </c>
      <c r="O13" s="148" t="inlineStr">
        <is>
          <t>O</t>
        </is>
      </c>
      <c r="P13" s="148" t="inlineStr">
        <is>
          <t>O</t>
        </is>
      </c>
      <c r="Q13" s="148" t="inlineStr">
        <is>
          <t>O</t>
        </is>
      </c>
      <c r="R13" s="148" t="inlineStr">
        <is>
          <t>O</t>
        </is>
      </c>
      <c r="S13" s="148" t="inlineStr">
        <is>
          <t>O</t>
        </is>
      </c>
      <c r="T13" s="148" t="inlineStr">
        <is>
          <t>O</t>
        </is>
      </c>
      <c r="U13" s="170" t="n"/>
      <c r="V13" s="170" t="n"/>
      <c r="W13" s="170" t="n"/>
      <c r="X13" s="170" t="n"/>
    </row>
    <row r="14" ht="13.5" customHeight="1" s="426">
      <c r="A14" s="171" t="n"/>
      <c r="B14" s="75" t="n"/>
      <c r="C14" s="76" t="n"/>
      <c r="D14" s="77" t="inlineStr">
        <is>
          <t>Facility Does Not Existed</t>
        </is>
      </c>
      <c r="E14" s="80" t="n"/>
      <c r="F14" s="148" t="n"/>
      <c r="G14" s="148" t="inlineStr">
        <is>
          <t>O</t>
        </is>
      </c>
      <c r="H14" s="148" t="inlineStr">
        <is>
          <t>O</t>
        </is>
      </c>
      <c r="I14" s="148" t="n"/>
      <c r="J14" s="148" t="n"/>
      <c r="K14" s="148" t="n"/>
      <c r="L14" s="148" t="n"/>
      <c r="M14" s="148" t="n"/>
      <c r="N14" s="148" t="n"/>
      <c r="O14" s="148" t="n"/>
      <c r="P14" s="148" t="n"/>
      <c r="Q14" s="148" t="n"/>
      <c r="R14" s="148" t="n"/>
      <c r="S14" s="148" t="n"/>
      <c r="T14" s="170" t="n"/>
      <c r="U14" s="170" t="n"/>
      <c r="V14" s="170" t="n"/>
      <c r="W14" s="170" t="n"/>
      <c r="X14" s="170" t="n"/>
    </row>
    <row r="15" ht="13.5" customHeight="1" s="426">
      <c r="A15" s="171" t="n"/>
      <c r="B15" s="75" t="n"/>
      <c r="C15" s="76" t="n"/>
      <c r="D15" s="77" t="inlineStr">
        <is>
          <t>RoleId Existed</t>
        </is>
      </c>
      <c r="E15" s="80" t="n"/>
      <c r="F15" s="148" t="inlineStr">
        <is>
          <t>O</t>
        </is>
      </c>
      <c r="G15" s="148" t="n"/>
      <c r="H15" s="148" t="inlineStr">
        <is>
          <t>O</t>
        </is>
      </c>
      <c r="I15" s="148" t="inlineStr">
        <is>
          <t>O</t>
        </is>
      </c>
      <c r="J15" s="148" t="inlineStr">
        <is>
          <t>O</t>
        </is>
      </c>
      <c r="K15" s="148" t="inlineStr">
        <is>
          <t>O</t>
        </is>
      </c>
      <c r="L15" s="148" t="inlineStr">
        <is>
          <t>O</t>
        </is>
      </c>
      <c r="M15" s="148" t="inlineStr">
        <is>
          <t>O</t>
        </is>
      </c>
      <c r="N15" s="148" t="inlineStr">
        <is>
          <t>O</t>
        </is>
      </c>
      <c r="O15" s="148" t="inlineStr">
        <is>
          <t>O</t>
        </is>
      </c>
      <c r="P15" s="148" t="inlineStr">
        <is>
          <t>O</t>
        </is>
      </c>
      <c r="Q15" s="148" t="inlineStr">
        <is>
          <t>O</t>
        </is>
      </c>
      <c r="R15" s="148" t="inlineStr">
        <is>
          <t>O</t>
        </is>
      </c>
      <c r="S15" s="148" t="n"/>
      <c r="T15" s="170" t="n"/>
      <c r="U15" s="170" t="n"/>
      <c r="V15" s="170" t="n"/>
      <c r="W15" s="170" t="n"/>
      <c r="X15" s="170" t="n"/>
    </row>
    <row r="16" ht="13.5" customHeight="1" s="426">
      <c r="A16" s="171" t="n"/>
      <c r="B16" s="75" t="n"/>
      <c r="C16" s="76" t="n"/>
      <c r="D16" s="77" t="inlineStr">
        <is>
          <t>RoleId Does not Existed</t>
        </is>
      </c>
      <c r="E16" s="80" t="n"/>
      <c r="F16" s="148" t="n"/>
      <c r="G16" s="148" t="inlineStr">
        <is>
          <t>O</t>
        </is>
      </c>
      <c r="H16" s="148" t="n"/>
      <c r="I16" s="148" t="n"/>
      <c r="J16" s="148" t="n"/>
      <c r="K16" s="148" t="n"/>
      <c r="L16" s="148" t="n"/>
      <c r="M16" s="148" t="n"/>
      <c r="N16" s="148" t="n"/>
      <c r="O16" s="148" t="n"/>
      <c r="P16" s="148" t="n"/>
      <c r="Q16" s="148" t="n"/>
      <c r="R16" s="148" t="n"/>
      <c r="S16" s="148" t="inlineStr">
        <is>
          <t>O</t>
        </is>
      </c>
      <c r="T16" s="170" t="n"/>
      <c r="U16" s="170" t="n"/>
      <c r="V16" s="170" t="n"/>
      <c r="W16" s="170" t="n"/>
      <c r="X16" s="170" t="n"/>
    </row>
    <row r="17" ht="13.5" customHeight="1" s="426">
      <c r="A17" s="171" t="n"/>
      <c r="B17" s="75" t="n"/>
      <c r="C17" s="76" t="n"/>
      <c r="D17" s="77" t="inlineStr">
        <is>
          <t>StatusId Existed</t>
        </is>
      </c>
      <c r="E17" s="80" t="n"/>
      <c r="F17" s="148" t="inlineStr">
        <is>
          <t>O</t>
        </is>
      </c>
      <c r="G17" s="148" t="n"/>
      <c r="H17" s="148" t="inlineStr">
        <is>
          <t>O</t>
        </is>
      </c>
      <c r="I17" s="148" t="inlineStr">
        <is>
          <t>O</t>
        </is>
      </c>
      <c r="J17" s="148" t="inlineStr">
        <is>
          <t>O</t>
        </is>
      </c>
      <c r="K17" s="148" t="inlineStr">
        <is>
          <t>O</t>
        </is>
      </c>
      <c r="L17" s="148" t="inlineStr">
        <is>
          <t>O</t>
        </is>
      </c>
      <c r="M17" s="148" t="inlineStr">
        <is>
          <t>O</t>
        </is>
      </c>
      <c r="N17" s="148" t="inlineStr">
        <is>
          <t>O</t>
        </is>
      </c>
      <c r="O17" s="148" t="inlineStr">
        <is>
          <t>O</t>
        </is>
      </c>
      <c r="P17" s="148" t="inlineStr">
        <is>
          <t>O</t>
        </is>
      </c>
      <c r="Q17" s="148" t="inlineStr">
        <is>
          <t>O</t>
        </is>
      </c>
      <c r="R17" s="148" t="inlineStr">
        <is>
          <t>O</t>
        </is>
      </c>
      <c r="S17" s="148" t="n"/>
      <c r="T17" s="170" t="n"/>
      <c r="U17" s="170" t="n"/>
      <c r="V17" s="170" t="n"/>
      <c r="W17" s="170" t="n"/>
      <c r="X17" s="170" t="n"/>
    </row>
    <row r="18" ht="13.5" customHeight="1" s="426">
      <c r="A18" s="171" t="n"/>
      <c r="B18" s="75" t="n"/>
      <c r="C18" s="76" t="n"/>
      <c r="D18" s="77" t="inlineStr">
        <is>
          <t>StatusId Does not Existed</t>
        </is>
      </c>
      <c r="E18" s="80" t="n"/>
      <c r="F18" s="148" t="n"/>
      <c r="G18" s="148" t="inlineStr">
        <is>
          <t>O</t>
        </is>
      </c>
      <c r="H18" s="148" t="n"/>
      <c r="I18" s="148" t="n"/>
      <c r="J18" s="148" t="n"/>
      <c r="K18" s="148" t="n"/>
      <c r="L18" s="148" t="n"/>
      <c r="M18" s="148" t="n"/>
      <c r="N18" s="148" t="n"/>
      <c r="O18" s="148" t="n"/>
      <c r="P18" s="148" t="n"/>
      <c r="Q18" s="148" t="n"/>
      <c r="R18" s="148" t="n"/>
      <c r="S18" s="148" t="n"/>
      <c r="T18" s="148" t="inlineStr">
        <is>
          <t>O</t>
        </is>
      </c>
      <c r="U18" s="170" t="n"/>
      <c r="V18" s="170" t="n"/>
      <c r="W18" s="170" t="n"/>
      <c r="X18" s="170" t="n"/>
    </row>
    <row r="19" ht="13.5" customHeight="1" s="426">
      <c r="A19" s="171" t="n"/>
      <c r="B19" s="75" t="inlineStr">
        <is>
          <t>FacilityName</t>
        </is>
      </c>
      <c r="C19" s="76" t="n"/>
      <c r="D19" s="77" t="n"/>
      <c r="E19" s="80" t="n"/>
      <c r="F19" s="148" t="n"/>
      <c r="G19" s="148" t="n"/>
      <c r="H19" s="148" t="n"/>
      <c r="I19" s="148" t="n"/>
      <c r="J19" s="148" t="n"/>
      <c r="K19" s="148" t="n"/>
      <c r="L19" s="148" t="n"/>
      <c r="M19" s="148" t="n"/>
      <c r="N19" s="148" t="n"/>
      <c r="O19" s="148" t="n"/>
      <c r="P19" s="148" t="n"/>
      <c r="Q19" s="148" t="n"/>
      <c r="R19" s="148" t="n"/>
      <c r="S19" s="148" t="n"/>
      <c r="T19" s="170" t="n"/>
      <c r="U19" s="170" t="n"/>
      <c r="V19" s="170" t="n"/>
      <c r="W19" s="170" t="n"/>
      <c r="X19" s="170" t="n"/>
    </row>
    <row r="20" ht="13.5" customHeight="1" s="426">
      <c r="A20" s="171" t="n"/>
      <c r="B20" s="75" t="n"/>
      <c r="C20" s="76" t="n"/>
      <c r="D20" s="77" t="inlineStr">
        <is>
          <t>"Test Facility"</t>
        </is>
      </c>
      <c r="E20" s="80" t="n"/>
      <c r="F20" s="148" t="inlineStr">
        <is>
          <t>O</t>
        </is>
      </c>
      <c r="G20" s="148" t="n"/>
      <c r="H20" s="148" t="inlineStr">
        <is>
          <t>O</t>
        </is>
      </c>
      <c r="I20" s="148" t="inlineStr">
        <is>
          <t>O</t>
        </is>
      </c>
      <c r="J20" s="148" t="n"/>
      <c r="K20" s="148" t="inlineStr">
        <is>
          <t>O</t>
        </is>
      </c>
      <c r="L20" s="148" t="inlineStr">
        <is>
          <t>O</t>
        </is>
      </c>
      <c r="M20" s="148" t="n"/>
      <c r="N20" s="148" t="n"/>
      <c r="O20" s="148" t="inlineStr">
        <is>
          <t>O</t>
        </is>
      </c>
      <c r="P20" s="148" t="inlineStr">
        <is>
          <t>O</t>
        </is>
      </c>
      <c r="Q20" s="148" t="inlineStr">
        <is>
          <t>O</t>
        </is>
      </c>
      <c r="R20" s="148" t="inlineStr">
        <is>
          <t>O</t>
        </is>
      </c>
      <c r="S20" s="148" t="inlineStr">
        <is>
          <t>O</t>
        </is>
      </c>
      <c r="T20" s="148" t="inlineStr">
        <is>
          <t>O</t>
        </is>
      </c>
      <c r="U20" s="170" t="n"/>
      <c r="V20" s="170" t="n"/>
      <c r="W20" s="170" t="n"/>
      <c r="X20" s="170" t="n"/>
    </row>
    <row r="21" ht="13.5" customHeight="1" s="426">
      <c r="A21" s="171" t="n"/>
      <c r="B21" s="75" t="n"/>
      <c r="C21" s="76" t="n"/>
      <c r="D21" s="77" t="inlineStr">
        <is>
          <t>null</t>
        </is>
      </c>
      <c r="E21" s="80" t="n"/>
      <c r="F21" s="148" t="n"/>
      <c r="G21" s="148" t="inlineStr">
        <is>
          <t>O</t>
        </is>
      </c>
      <c r="H21" s="148" t="n"/>
      <c r="I21" s="148" t="n"/>
      <c r="J21" s="148" t="inlineStr">
        <is>
          <t>O</t>
        </is>
      </c>
      <c r="K21" s="148" t="n"/>
      <c r="L21" s="148" t="n"/>
      <c r="M21" s="148" t="n"/>
      <c r="N21" s="148" t="n"/>
      <c r="O21" s="148" t="n"/>
      <c r="P21" s="148" t="n"/>
      <c r="Q21" s="148" t="n"/>
      <c r="R21" s="148" t="n"/>
      <c r="S21" s="148" t="n"/>
      <c r="T21" s="170" t="n"/>
      <c r="U21" s="170" t="n"/>
      <c r="V21" s="170" t="n"/>
      <c r="W21" s="170" t="n"/>
      <c r="X21" s="170" t="n"/>
    </row>
    <row r="22" ht="13.5" customHeight="1" s="426">
      <c r="A22" s="171" t="n"/>
      <c r="B22" s="75" t="n"/>
      <c r="C22" s="76" t="n"/>
      <c r="D22" s="77" t="inlineStr">
        <is>
          <t>50 characters string</t>
        </is>
      </c>
      <c r="E22" s="80" t="n"/>
      <c r="F22" s="148" t="n"/>
      <c r="G22" s="148" t="n"/>
      <c r="H22" s="148" t="n"/>
      <c r="I22" s="148" t="n"/>
      <c r="J22" s="148" t="n"/>
      <c r="K22" s="148" t="n"/>
      <c r="L22" s="148" t="n"/>
      <c r="M22" s="148" t="inlineStr">
        <is>
          <t>O</t>
        </is>
      </c>
      <c r="N22" s="148" t="n"/>
      <c r="O22" s="148" t="n"/>
      <c r="P22" s="148" t="n"/>
      <c r="Q22" s="148" t="n"/>
      <c r="R22" s="148" t="n"/>
      <c r="S22" s="148" t="n"/>
      <c r="T22" s="170" t="n"/>
      <c r="U22" s="170" t="n"/>
      <c r="V22" s="170" t="n"/>
      <c r="W22" s="170" t="n"/>
      <c r="X22" s="170" t="n"/>
    </row>
    <row r="23" ht="13.5" customHeight="1" s="426">
      <c r="A23" s="171" t="n"/>
      <c r="B23" s="75" t="n"/>
      <c r="C23" s="76" t="n"/>
      <c r="D23" s="77" t="inlineStr">
        <is>
          <t>51 characters string</t>
        </is>
      </c>
      <c r="E23" s="80" t="n"/>
      <c r="F23" s="148" t="n"/>
      <c r="G23" s="148" t="n"/>
      <c r="H23" s="148" t="n"/>
      <c r="I23" s="148" t="n"/>
      <c r="J23" s="148" t="n"/>
      <c r="K23" s="148" t="n"/>
      <c r="L23" s="148" t="n"/>
      <c r="M23" s="148" t="n"/>
      <c r="N23" s="148" t="inlineStr">
        <is>
          <t>O</t>
        </is>
      </c>
      <c r="O23" s="148" t="n"/>
      <c r="P23" s="148" t="n"/>
      <c r="Q23" s="148" t="n"/>
      <c r="R23" s="148" t="n"/>
      <c r="S23" s="148" t="n"/>
      <c r="T23" s="170" t="n"/>
      <c r="U23" s="170" t="n"/>
      <c r="V23" s="170" t="n"/>
      <c r="W23" s="170" t="n"/>
      <c r="X23" s="170" t="n"/>
    </row>
    <row r="24" ht="13.5" customHeight="1" s="426">
      <c r="A24" s="171" t="n"/>
      <c r="B24" s="75" t="inlineStr">
        <is>
          <t>TotalQuantity</t>
        </is>
      </c>
      <c r="C24" s="76" t="n"/>
      <c r="D24" s="77" t="n"/>
      <c r="E24" s="80" t="n"/>
      <c r="F24" s="148" t="n"/>
      <c r="G24" s="148" t="n"/>
      <c r="H24" s="148" t="n"/>
      <c r="I24" s="148" t="n"/>
      <c r="J24" s="148" t="n"/>
      <c r="K24" s="148" t="n"/>
      <c r="L24" s="148" t="n"/>
      <c r="M24" s="148" t="n"/>
      <c r="N24" s="148" t="n"/>
      <c r="O24" s="148" t="n"/>
      <c r="P24" s="148" t="n"/>
      <c r="Q24" s="148" t="n"/>
      <c r="R24" s="148" t="n"/>
      <c r="S24" s="148" t="n"/>
      <c r="T24" s="170" t="n"/>
      <c r="U24" s="170" t="n"/>
      <c r="V24" s="170" t="n"/>
      <c r="W24" s="170" t="n"/>
      <c r="X24" s="170" t="n"/>
    </row>
    <row r="25" ht="13.5" customHeight="1" s="426">
      <c r="A25" s="171" t="n"/>
      <c r="B25" s="75" t="n"/>
      <c r="C25" s="76" t="n"/>
      <c r="D25" s="77" t="n">
        <v>100</v>
      </c>
      <c r="E25" s="80" t="n"/>
      <c r="F25" s="148" t="inlineStr">
        <is>
          <t>O</t>
        </is>
      </c>
      <c r="G25" s="148" t="n"/>
      <c r="H25" s="148" t="inlineStr">
        <is>
          <t>O</t>
        </is>
      </c>
      <c r="I25" s="148" t="inlineStr">
        <is>
          <t>O</t>
        </is>
      </c>
      <c r="J25" s="148" t="inlineStr">
        <is>
          <t>O</t>
        </is>
      </c>
      <c r="K25" s="148" t="inlineStr">
        <is>
          <t>O</t>
        </is>
      </c>
      <c r="L25" s="148" t="inlineStr">
        <is>
          <t>O</t>
        </is>
      </c>
      <c r="M25" s="148" t="inlineStr">
        <is>
          <t>O</t>
        </is>
      </c>
      <c r="N25" s="148" t="inlineStr">
        <is>
          <t>O</t>
        </is>
      </c>
      <c r="O25" s="148" t="inlineStr">
        <is>
          <t>O</t>
        </is>
      </c>
      <c r="P25" s="148" t="inlineStr">
        <is>
          <t>O</t>
        </is>
      </c>
      <c r="Q25" s="148" t="inlineStr">
        <is>
          <t>O</t>
        </is>
      </c>
      <c r="R25" s="148" t="inlineStr">
        <is>
          <t>O</t>
        </is>
      </c>
      <c r="S25" s="148" t="inlineStr">
        <is>
          <t>O</t>
        </is>
      </c>
      <c r="T25" s="148" t="inlineStr">
        <is>
          <t>O</t>
        </is>
      </c>
      <c r="U25" s="170" t="n"/>
      <c r="V25" s="170" t="n"/>
      <c r="W25" s="170" t="n"/>
      <c r="X25" s="170" t="n"/>
    </row>
    <row r="26" ht="13.5" customHeight="1" s="426">
      <c r="A26" s="171" t="n"/>
      <c r="B26" s="75" t="n"/>
      <c r="C26" s="76" t="n"/>
      <c r="D26" s="77" t="inlineStr">
        <is>
          <t>null</t>
        </is>
      </c>
      <c r="E26" s="80" t="n"/>
      <c r="F26" s="148" t="n"/>
      <c r="G26" s="148" t="inlineStr">
        <is>
          <t>O</t>
        </is>
      </c>
      <c r="H26" s="148" t="n"/>
      <c r="I26" s="148" t="n"/>
      <c r="J26" s="148" t="n"/>
      <c r="K26" s="148" t="n"/>
      <c r="L26" s="148" t="n"/>
      <c r="M26" s="148" t="n"/>
      <c r="N26" s="148" t="n"/>
      <c r="O26" s="148" t="n"/>
      <c r="P26" s="148" t="n"/>
      <c r="Q26" s="148" t="n"/>
      <c r="R26" s="148" t="n"/>
      <c r="S26" s="148" t="n"/>
      <c r="T26" s="170" t="n"/>
      <c r="U26" s="170" t="n"/>
      <c r="V26" s="170" t="n"/>
      <c r="W26" s="170" t="n"/>
      <c r="X26" s="170" t="n"/>
    </row>
    <row r="27" ht="13.5" customHeight="1" s="426">
      <c r="A27" s="171" t="n"/>
      <c r="B27" s="75" t="inlineStr">
        <is>
          <t>AvailableQuantity</t>
        </is>
      </c>
      <c r="C27" s="76" t="n"/>
      <c r="D27" s="77" t="n"/>
      <c r="E27" s="80" t="n"/>
      <c r="F27" s="148" t="n"/>
      <c r="G27" s="148" t="n"/>
      <c r="H27" s="148" t="n"/>
      <c r="I27" s="148" t="n"/>
      <c r="J27" s="148" t="n"/>
      <c r="K27" s="148" t="n"/>
      <c r="L27" s="148" t="n"/>
      <c r="M27" s="148" t="n"/>
      <c r="N27" s="148" t="n"/>
      <c r="O27" s="148" t="n"/>
      <c r="P27" s="148" t="n"/>
      <c r="Q27" s="148" t="n"/>
      <c r="R27" s="148" t="n"/>
      <c r="S27" s="148" t="n"/>
      <c r="T27" s="170" t="n"/>
      <c r="U27" s="170" t="n"/>
      <c r="V27" s="170" t="n"/>
      <c r="W27" s="170" t="n"/>
      <c r="X27" s="170" t="n"/>
    </row>
    <row r="28" ht="13.5" customHeight="1" s="426">
      <c r="A28" s="171" t="n"/>
      <c r="B28" s="75" t="n"/>
      <c r="C28" s="76" t="n"/>
      <c r="D28" s="77" t="n">
        <v>100</v>
      </c>
      <c r="E28" s="80" t="n"/>
      <c r="F28" s="148" t="inlineStr">
        <is>
          <t>O</t>
        </is>
      </c>
      <c r="G28" s="148" t="n"/>
      <c r="H28" s="148" t="inlineStr">
        <is>
          <t>O</t>
        </is>
      </c>
      <c r="I28" s="148" t="inlineStr">
        <is>
          <t>O</t>
        </is>
      </c>
      <c r="J28" s="148" t="inlineStr">
        <is>
          <t>O</t>
        </is>
      </c>
      <c r="K28" s="148" t="inlineStr">
        <is>
          <t>O</t>
        </is>
      </c>
      <c r="L28" s="148" t="inlineStr">
        <is>
          <t>O</t>
        </is>
      </c>
      <c r="M28" s="148" t="inlineStr">
        <is>
          <t>O</t>
        </is>
      </c>
      <c r="N28" s="148" t="inlineStr">
        <is>
          <t>O</t>
        </is>
      </c>
      <c r="O28" s="148" t="inlineStr">
        <is>
          <t>O</t>
        </is>
      </c>
      <c r="P28" s="148" t="inlineStr">
        <is>
          <t>O</t>
        </is>
      </c>
      <c r="Q28" s="148" t="inlineStr">
        <is>
          <t>O</t>
        </is>
      </c>
      <c r="R28" s="148" t="inlineStr">
        <is>
          <t>O</t>
        </is>
      </c>
      <c r="S28" s="148" t="inlineStr">
        <is>
          <t>O</t>
        </is>
      </c>
      <c r="T28" s="148" t="inlineStr">
        <is>
          <t>O</t>
        </is>
      </c>
      <c r="U28" s="170" t="n"/>
      <c r="V28" s="170" t="n"/>
      <c r="W28" s="170" t="n"/>
      <c r="X28" s="170" t="n"/>
    </row>
    <row r="29" ht="13.5" customHeight="1" s="426">
      <c r="A29" s="171" t="n"/>
      <c r="B29" s="75" t="n"/>
      <c r="C29" s="76" t="n"/>
      <c r="D29" s="77" t="inlineStr">
        <is>
          <t>null</t>
        </is>
      </c>
      <c r="E29" s="80" t="n"/>
      <c r="F29" s="148" t="n"/>
      <c r="G29" s="148" t="inlineStr">
        <is>
          <t>O</t>
        </is>
      </c>
      <c r="H29" s="148" t="n"/>
      <c r="I29" s="148" t="n"/>
      <c r="J29" s="148" t="n"/>
      <c r="K29" s="148" t="n"/>
      <c r="L29" s="148" t="n"/>
      <c r="M29" s="148" t="n"/>
      <c r="N29" s="148" t="n"/>
      <c r="O29" s="148" t="n"/>
      <c r="P29" s="148" t="n"/>
      <c r="Q29" s="148" t="n"/>
      <c r="R29" s="148" t="n"/>
      <c r="S29" s="148" t="n"/>
      <c r="T29" s="170" t="n"/>
      <c r="U29" s="170" t="n"/>
      <c r="V29" s="170" t="n"/>
      <c r="W29" s="170" t="n"/>
      <c r="X29" s="170" t="n"/>
    </row>
    <row r="30" ht="13.5" customHeight="1" s="426">
      <c r="A30" s="171" t="n"/>
      <c r="B30" s="75" t="inlineStr">
        <is>
          <t>UnitOfMeasure</t>
        </is>
      </c>
      <c r="C30" s="76" t="n"/>
      <c r="D30" s="77" t="n"/>
      <c r="E30" s="80" t="n"/>
      <c r="F30" s="148" t="n"/>
      <c r="G30" s="148" t="n"/>
      <c r="H30" s="148" t="n"/>
      <c r="I30" s="148" t="n"/>
      <c r="J30" s="148" t="n"/>
      <c r="K30" s="148" t="n"/>
      <c r="L30" s="148" t="n"/>
      <c r="M30" s="148" t="n"/>
      <c r="N30" s="148" t="n"/>
      <c r="O30" s="148" t="n"/>
      <c r="P30" s="148" t="n"/>
      <c r="Q30" s="148" t="n"/>
      <c r="R30" s="148" t="n"/>
      <c r="S30" s="148" t="n"/>
      <c r="T30" s="170" t="n"/>
      <c r="U30" s="170" t="n"/>
      <c r="V30" s="170" t="n"/>
      <c r="W30" s="170" t="n"/>
      <c r="X30" s="170" t="n"/>
    </row>
    <row r="31" ht="13.5" customHeight="1" s="426">
      <c r="A31" s="171" t="n"/>
      <c r="B31" s="75" t="n"/>
      <c r="C31" s="76" t="n"/>
      <c r="D31" s="77" t="inlineStr">
        <is>
          <t>"pcs"</t>
        </is>
      </c>
      <c r="E31" s="80" t="n"/>
      <c r="F31" s="148" t="inlineStr">
        <is>
          <t>O</t>
        </is>
      </c>
      <c r="G31" s="148" t="n"/>
      <c r="H31" s="148" t="inlineStr">
        <is>
          <t>O</t>
        </is>
      </c>
      <c r="I31" s="148" t="inlineStr">
        <is>
          <t>O</t>
        </is>
      </c>
      <c r="J31" s="148" t="inlineStr">
        <is>
          <t>O</t>
        </is>
      </c>
      <c r="K31" s="148" t="n"/>
      <c r="L31" s="148" t="inlineStr">
        <is>
          <t>O</t>
        </is>
      </c>
      <c r="M31" s="148" t="inlineStr">
        <is>
          <t>O</t>
        </is>
      </c>
      <c r="N31" s="148" t="inlineStr">
        <is>
          <t>O</t>
        </is>
      </c>
      <c r="O31" s="148" t="n"/>
      <c r="P31" s="148" t="n"/>
      <c r="Q31" s="148" t="inlineStr">
        <is>
          <t>O</t>
        </is>
      </c>
      <c r="R31" s="148" t="inlineStr">
        <is>
          <t>O</t>
        </is>
      </c>
      <c r="S31" s="148" t="inlineStr">
        <is>
          <t>O</t>
        </is>
      </c>
      <c r="T31" s="148" t="inlineStr">
        <is>
          <t>O</t>
        </is>
      </c>
      <c r="U31" s="170" t="n"/>
      <c r="V31" s="170" t="n"/>
      <c r="W31" s="170" t="n"/>
      <c r="X31" s="170" t="n"/>
    </row>
    <row r="32" ht="13.5" customHeight="1" s="426">
      <c r="A32" s="171" t="n"/>
      <c r="B32" s="75" t="n"/>
      <c r="C32" s="76" t="n"/>
      <c r="D32" s="77" t="inlineStr">
        <is>
          <t>null</t>
        </is>
      </c>
      <c r="E32" s="80" t="n"/>
      <c r="F32" s="148" t="n"/>
      <c r="G32" s="148" t="inlineStr">
        <is>
          <t>O</t>
        </is>
      </c>
      <c r="H32" s="148" t="n"/>
      <c r="I32" s="148" t="n"/>
      <c r="J32" s="148" t="n"/>
      <c r="K32" s="148" t="inlineStr">
        <is>
          <t>O</t>
        </is>
      </c>
      <c r="L32" s="148" t="n"/>
      <c r="M32" s="148" t="n"/>
      <c r="N32" s="148" t="n"/>
      <c r="O32" s="148" t="n"/>
      <c r="P32" s="148" t="n"/>
      <c r="Q32" s="148" t="n"/>
      <c r="R32" s="148" t="n"/>
      <c r="S32" s="148" t="n"/>
      <c r="T32" s="170" t="n"/>
      <c r="U32" s="170" t="n"/>
      <c r="V32" s="170" t="n"/>
      <c r="W32" s="170" t="n"/>
      <c r="X32" s="170" t="n"/>
    </row>
    <row r="33" ht="13.5" customHeight="1" s="426">
      <c r="A33" s="171" t="n"/>
      <c r="B33" s="75" t="n"/>
      <c r="C33" s="76" t="n"/>
      <c r="D33" s="77" t="inlineStr">
        <is>
          <t>20 characters string</t>
        </is>
      </c>
      <c r="E33" s="80" t="n"/>
      <c r="F33" s="148" t="n"/>
      <c r="G33" s="148" t="n"/>
      <c r="H33" s="148" t="n"/>
      <c r="I33" s="148" t="n"/>
      <c r="J33" s="148" t="n"/>
      <c r="K33" s="148" t="n"/>
      <c r="L33" s="148" t="n"/>
      <c r="M33" s="148" t="n"/>
      <c r="N33" s="148" t="n"/>
      <c r="O33" s="148" t="inlineStr">
        <is>
          <t>O</t>
        </is>
      </c>
      <c r="P33" s="148" t="n"/>
      <c r="Q33" s="148" t="n"/>
      <c r="R33" s="148" t="n"/>
      <c r="S33" s="148" t="n"/>
      <c r="T33" s="170" t="n"/>
      <c r="U33" s="170" t="n"/>
      <c r="V33" s="170" t="n"/>
      <c r="W33" s="170" t="n"/>
      <c r="X33" s="170" t="n"/>
    </row>
    <row r="34" ht="13.5" customHeight="1" s="426">
      <c r="A34" s="171" t="n"/>
      <c r="B34" s="75" t="n"/>
      <c r="C34" s="76" t="n"/>
      <c r="D34" s="77" t="inlineStr">
        <is>
          <t>21 characters string</t>
        </is>
      </c>
      <c r="E34" s="80" t="n"/>
      <c r="F34" s="148" t="n"/>
      <c r="G34" s="148" t="n"/>
      <c r="H34" s="148" t="n"/>
      <c r="I34" s="148" t="n"/>
      <c r="J34" s="148" t="n"/>
      <c r="K34" s="148" t="n"/>
      <c r="L34" s="148" t="n"/>
      <c r="M34" s="148" t="n"/>
      <c r="N34" s="148" t="n"/>
      <c r="O34" s="148" t="n"/>
      <c r="P34" s="148" t="inlineStr">
        <is>
          <t>O</t>
        </is>
      </c>
      <c r="Q34" s="148" t="n"/>
      <c r="R34" s="148" t="n"/>
      <c r="S34" s="148" t="n"/>
      <c r="T34" s="170" t="n"/>
      <c r="U34" s="170" t="n"/>
      <c r="V34" s="170" t="n"/>
      <c r="W34" s="170" t="n"/>
      <c r="X34" s="170" t="n"/>
    </row>
    <row r="35" ht="13.5" customHeight="1" s="426">
      <c r="A35" s="171" t="n"/>
      <c r="B35" s="75" t="inlineStr">
        <is>
          <t>Description</t>
        </is>
      </c>
      <c r="C35" s="76" t="n"/>
      <c r="D35" s="77" t="n"/>
      <c r="E35" s="80" t="n"/>
      <c r="F35" s="148" t="n"/>
      <c r="G35" s="148" t="n"/>
      <c r="H35" s="148" t="n"/>
      <c r="I35" s="148" t="n"/>
      <c r="J35" s="148" t="n"/>
      <c r="K35" s="148" t="n"/>
      <c r="L35" s="148" t="n"/>
      <c r="M35" s="148" t="n"/>
      <c r="N35" s="148" t="n"/>
      <c r="O35" s="148" t="n"/>
      <c r="P35" s="148" t="n"/>
      <c r="Q35" s="148" t="n"/>
      <c r="R35" s="148" t="n"/>
      <c r="S35" s="148" t="n"/>
      <c r="T35" s="170" t="n"/>
      <c r="U35" s="170" t="n"/>
      <c r="V35" s="170" t="n"/>
      <c r="W35" s="170" t="n"/>
      <c r="X35" s="170" t="n"/>
    </row>
    <row r="36" ht="13.5" customHeight="1" s="426">
      <c r="A36" s="171" t="n"/>
      <c r="B36" s="75" t="n"/>
      <c r="C36" s="76" t="n"/>
      <c r="D36" s="77" t="inlineStr">
        <is>
          <t>"A valid facility update"</t>
        </is>
      </c>
      <c r="E36" s="80" t="n"/>
      <c r="F36" s="148" t="inlineStr">
        <is>
          <t>O</t>
        </is>
      </c>
      <c r="G36" s="148" t="n"/>
      <c r="H36" s="148" t="inlineStr">
        <is>
          <t>O</t>
        </is>
      </c>
      <c r="I36" s="148" t="inlineStr">
        <is>
          <t>O</t>
        </is>
      </c>
      <c r="J36" s="148" t="inlineStr">
        <is>
          <t>O</t>
        </is>
      </c>
      <c r="K36" s="148" t="inlineStr">
        <is>
          <t>O</t>
        </is>
      </c>
      <c r="L36" s="148" t="n"/>
      <c r="M36" s="148" t="inlineStr">
        <is>
          <t>O</t>
        </is>
      </c>
      <c r="N36" s="148" t="inlineStr">
        <is>
          <t>O</t>
        </is>
      </c>
      <c r="O36" s="148" t="inlineStr">
        <is>
          <t>O</t>
        </is>
      </c>
      <c r="P36" s="148" t="inlineStr">
        <is>
          <t>O</t>
        </is>
      </c>
      <c r="Q36" s="148" t="n"/>
      <c r="R36" s="148" t="n"/>
      <c r="S36" s="148" t="inlineStr">
        <is>
          <t>O</t>
        </is>
      </c>
      <c r="T36" s="148" t="inlineStr">
        <is>
          <t>O</t>
        </is>
      </c>
      <c r="U36" s="170" t="n"/>
      <c r="V36" s="170" t="n"/>
      <c r="W36" s="170" t="n"/>
      <c r="X36" s="170" t="n"/>
    </row>
    <row r="37" ht="13.5" customHeight="1" s="426">
      <c r="A37" s="171" t="n"/>
      <c r="B37" s="75" t="n"/>
      <c r="C37" s="76" t="n"/>
      <c r="D37" s="77" t="inlineStr">
        <is>
          <t>null</t>
        </is>
      </c>
      <c r="E37" s="80" t="n"/>
      <c r="F37" s="148" t="n"/>
      <c r="G37" s="148" t="inlineStr">
        <is>
          <t>O</t>
        </is>
      </c>
      <c r="H37" s="148" t="n"/>
      <c r="I37" s="148" t="n"/>
      <c r="J37" s="148" t="n"/>
      <c r="K37" s="148" t="n"/>
      <c r="L37" s="148" t="inlineStr">
        <is>
          <t>O</t>
        </is>
      </c>
      <c r="M37" s="148" t="n"/>
      <c r="N37" s="148" t="n"/>
      <c r="O37" s="148" t="n"/>
      <c r="P37" s="148" t="n"/>
      <c r="Q37" s="148" t="n"/>
      <c r="R37" s="148" t="n"/>
      <c r="S37" s="148" t="n"/>
      <c r="T37" s="170" t="n"/>
      <c r="U37" s="170" t="n"/>
      <c r="V37" s="170" t="n"/>
      <c r="W37" s="170" t="n"/>
      <c r="X37" s="170" t="n"/>
    </row>
    <row r="38" ht="13.5" customHeight="1" s="426">
      <c r="A38" s="171" t="n"/>
      <c r="B38" s="75" t="n"/>
      <c r="C38" s="76" t="n"/>
      <c r="D38" s="77" t="inlineStr">
        <is>
          <t>50 characters string</t>
        </is>
      </c>
      <c r="E38" s="80" t="n"/>
      <c r="F38" s="148" t="n"/>
      <c r="G38" s="148" t="n"/>
      <c r="H38" s="148" t="n"/>
      <c r="I38" s="148" t="n"/>
      <c r="J38" s="148" t="n"/>
      <c r="K38" s="148" t="n"/>
      <c r="L38" s="148" t="n"/>
      <c r="M38" s="148" t="n"/>
      <c r="N38" s="148" t="n"/>
      <c r="O38" s="148" t="n"/>
      <c r="P38" s="148" t="n"/>
      <c r="Q38" s="148" t="inlineStr">
        <is>
          <t>O</t>
        </is>
      </c>
      <c r="R38" s="148" t="n"/>
      <c r="S38" s="148" t="n"/>
      <c r="T38" s="170" t="n"/>
      <c r="U38" s="170" t="n"/>
      <c r="V38" s="170" t="n"/>
      <c r="W38" s="170" t="n"/>
      <c r="X38" s="170" t="n"/>
    </row>
    <row r="39" ht="13.5" customHeight="1" s="426">
      <c r="A39" s="171" t="n"/>
      <c r="B39" s="75" t="n"/>
      <c r="C39" s="76" t="n"/>
      <c r="D39" s="77" t="inlineStr">
        <is>
          <t>51 characters string</t>
        </is>
      </c>
      <c r="E39" s="80" t="n"/>
      <c r="F39" s="148" t="n"/>
      <c r="G39" s="148" t="n"/>
      <c r="H39" s="148" t="n"/>
      <c r="I39" s="148" t="n"/>
      <c r="J39" s="148" t="n"/>
      <c r="K39" s="148" t="n"/>
      <c r="L39" s="148" t="n"/>
      <c r="M39" s="148" t="n"/>
      <c r="N39" s="148" t="n"/>
      <c r="O39" s="148" t="n"/>
      <c r="P39" s="148" t="n"/>
      <c r="Q39" s="148" t="n"/>
      <c r="R39" s="148" t="inlineStr">
        <is>
          <t>O</t>
        </is>
      </c>
      <c r="S39" s="148" t="n"/>
      <c r="T39" s="170" t="n"/>
      <c r="U39" s="170" t="n"/>
      <c r="V39" s="170" t="n"/>
      <c r="W39" s="170" t="n"/>
      <c r="X39" s="170" t="n"/>
    </row>
    <row r="40" ht="13.5" customHeight="1" s="426">
      <c r="A40" s="171" t="n"/>
      <c r="B40" s="75" t="inlineStr">
        <is>
          <t>RoleId</t>
        </is>
      </c>
      <c r="C40" s="76" t="n"/>
      <c r="D40" s="77" t="n"/>
      <c r="E40" s="80" t="n"/>
      <c r="F40" s="148" t="n"/>
      <c r="G40" s="148" t="n"/>
      <c r="H40" s="148" t="n"/>
      <c r="I40" s="148" t="n"/>
      <c r="J40" s="148" t="n"/>
      <c r="K40" s="148" t="n"/>
      <c r="L40" s="148" t="n"/>
      <c r="M40" s="148" t="n"/>
      <c r="N40" s="148" t="n"/>
      <c r="O40" s="148" t="n"/>
      <c r="P40" s="148" t="n"/>
      <c r="Q40" s="148" t="n"/>
      <c r="R40" s="148" t="n"/>
      <c r="S40" s="148" t="n"/>
      <c r="T40" s="170" t="n"/>
      <c r="U40" s="170" t="n"/>
      <c r="V40" s="170" t="n"/>
      <c r="W40" s="170" t="n"/>
      <c r="X40" s="170" t="n"/>
    </row>
    <row r="41" ht="13.5" customHeight="1" s="426">
      <c r="A41" s="171" t="n"/>
      <c r="B41" s="75" t="n"/>
      <c r="C41" s="76" t="n"/>
      <c r="D41" s="77" t="n">
        <v>1</v>
      </c>
      <c r="E41" s="80" t="n"/>
      <c r="F41" s="148" t="inlineStr">
        <is>
          <t>O</t>
        </is>
      </c>
      <c r="G41" s="148" t="n"/>
      <c r="H41" s="148" t="inlineStr">
        <is>
          <t>O</t>
        </is>
      </c>
      <c r="I41" s="148" t="inlineStr">
        <is>
          <t>O</t>
        </is>
      </c>
      <c r="J41" s="148" t="inlineStr">
        <is>
          <t>O</t>
        </is>
      </c>
      <c r="K41" s="148" t="inlineStr">
        <is>
          <t>O</t>
        </is>
      </c>
      <c r="L41" s="148" t="inlineStr">
        <is>
          <t>O</t>
        </is>
      </c>
      <c r="M41" s="148" t="inlineStr">
        <is>
          <t>O</t>
        </is>
      </c>
      <c r="N41" s="148" t="inlineStr">
        <is>
          <t>O</t>
        </is>
      </c>
      <c r="O41" s="148" t="inlineStr">
        <is>
          <t>O</t>
        </is>
      </c>
      <c r="P41" s="148" t="inlineStr">
        <is>
          <t>O</t>
        </is>
      </c>
      <c r="Q41" s="148" t="inlineStr">
        <is>
          <t>O</t>
        </is>
      </c>
      <c r="R41" s="148" t="inlineStr">
        <is>
          <t>O</t>
        </is>
      </c>
      <c r="S41" s="148" t="n"/>
      <c r="T41" s="148" t="inlineStr">
        <is>
          <t>O</t>
        </is>
      </c>
      <c r="U41" s="170" t="n"/>
      <c r="V41" s="170" t="n"/>
      <c r="W41" s="170" t="n"/>
      <c r="X41" s="170" t="n"/>
    </row>
    <row r="42" ht="13.5" customHeight="1" s="426">
      <c r="A42" s="171" t="n"/>
      <c r="B42" s="75" t="n"/>
      <c r="C42" s="76" t="n"/>
      <c r="D42" s="77" t="n">
        <v>9999</v>
      </c>
      <c r="E42" s="80" t="n"/>
      <c r="F42" s="148" t="n"/>
      <c r="G42" s="148" t="n"/>
      <c r="H42" s="148" t="n"/>
      <c r="I42" s="148" t="n"/>
      <c r="J42" s="148" t="n"/>
      <c r="K42" s="148" t="n"/>
      <c r="L42" s="148" t="n"/>
      <c r="M42" s="148" t="n"/>
      <c r="N42" s="148" t="n"/>
      <c r="O42" s="148" t="n"/>
      <c r="P42" s="148" t="n"/>
      <c r="Q42" s="148" t="n"/>
      <c r="R42" s="148" t="n"/>
      <c r="S42" s="148" t="inlineStr">
        <is>
          <t>O</t>
        </is>
      </c>
      <c r="T42" s="170" t="n"/>
      <c r="U42" s="170" t="n"/>
      <c r="V42" s="170" t="n"/>
      <c r="W42" s="170" t="n"/>
      <c r="X42" s="170" t="n"/>
    </row>
    <row r="43" ht="13.5" customHeight="1" s="426">
      <c r="A43" s="171" t="n"/>
      <c r="B43" s="273" t="n"/>
      <c r="C43" s="274" t="n"/>
      <c r="D43" s="275" t="inlineStr">
        <is>
          <t>null</t>
        </is>
      </c>
      <c r="E43" s="80" t="n"/>
      <c r="F43" s="149" t="n"/>
      <c r="G43" s="148" t="inlineStr">
        <is>
          <t>O</t>
        </is>
      </c>
      <c r="H43" s="149" t="n"/>
      <c r="I43" s="149" t="n"/>
      <c r="J43" s="149" t="n"/>
      <c r="K43" s="149" t="n"/>
      <c r="L43" s="149" t="n"/>
      <c r="M43" s="149" t="n"/>
      <c r="N43" s="149" t="n"/>
      <c r="O43" s="149" t="n"/>
      <c r="P43" s="149" t="n"/>
      <c r="Q43" s="149" t="n"/>
      <c r="R43" s="149" t="n"/>
      <c r="S43" s="148" t="n"/>
      <c r="T43" s="170" t="n"/>
      <c r="U43" s="170" t="n"/>
      <c r="V43" s="170" t="n"/>
      <c r="W43" s="170" t="n"/>
      <c r="X43" s="170" t="n"/>
    </row>
    <row r="44" ht="13.5" customHeight="1" s="426">
      <c r="A44" s="171" t="n"/>
      <c r="B44" s="75" t="inlineStr">
        <is>
          <t>StatusId</t>
        </is>
      </c>
      <c r="C44" s="76" t="n"/>
      <c r="D44" s="77" t="n"/>
      <c r="E44" s="80" t="n"/>
      <c r="F44" s="148" t="n"/>
      <c r="G44" s="148" t="n"/>
      <c r="H44" s="148" t="n"/>
      <c r="I44" s="148" t="n"/>
      <c r="J44" s="148" t="n"/>
      <c r="K44" s="148" t="n"/>
      <c r="L44" s="148" t="n"/>
      <c r="M44" s="148" t="n"/>
      <c r="N44" s="148" t="n"/>
      <c r="O44" s="148" t="n"/>
      <c r="P44" s="148" t="n"/>
      <c r="Q44" s="148" t="n"/>
      <c r="R44" s="148" t="n"/>
      <c r="S44" s="148" t="n"/>
      <c r="T44" s="170" t="n"/>
      <c r="U44" s="170" t="n"/>
      <c r="V44" s="170" t="n"/>
      <c r="W44" s="170" t="n"/>
      <c r="X44" s="170" t="n"/>
    </row>
    <row r="45" ht="13.5" customHeight="1" s="426">
      <c r="A45" s="171" t="n"/>
      <c r="B45" s="75" t="n"/>
      <c r="C45" s="76" t="n"/>
      <c r="D45" s="77" t="n">
        <v>1</v>
      </c>
      <c r="E45" s="80" t="n"/>
      <c r="F45" s="148" t="inlineStr">
        <is>
          <t>O</t>
        </is>
      </c>
      <c r="G45" s="148" t="n"/>
      <c r="H45" s="148" t="inlineStr">
        <is>
          <t>O</t>
        </is>
      </c>
      <c r="I45" s="148" t="inlineStr">
        <is>
          <t>O</t>
        </is>
      </c>
      <c r="J45" s="148" t="inlineStr">
        <is>
          <t>O</t>
        </is>
      </c>
      <c r="K45" s="148" t="inlineStr">
        <is>
          <t>O</t>
        </is>
      </c>
      <c r="L45" s="148" t="inlineStr">
        <is>
          <t>O</t>
        </is>
      </c>
      <c r="M45" s="148" t="inlineStr">
        <is>
          <t>O</t>
        </is>
      </c>
      <c r="N45" s="148" t="inlineStr">
        <is>
          <t>O</t>
        </is>
      </c>
      <c r="O45" s="148" t="inlineStr">
        <is>
          <t>O</t>
        </is>
      </c>
      <c r="P45" s="148" t="inlineStr">
        <is>
          <t>O</t>
        </is>
      </c>
      <c r="Q45" s="148" t="inlineStr">
        <is>
          <t>O</t>
        </is>
      </c>
      <c r="R45" s="148" t="inlineStr">
        <is>
          <t>O</t>
        </is>
      </c>
      <c r="S45" s="148" t="inlineStr">
        <is>
          <t>O</t>
        </is>
      </c>
      <c r="T45" s="170" t="n"/>
      <c r="U45" s="170" t="n"/>
      <c r="V45" s="170" t="n"/>
      <c r="W45" s="170" t="n"/>
      <c r="X45" s="170" t="n"/>
    </row>
    <row r="46" ht="13.5" customHeight="1" s="426">
      <c r="A46" s="171" t="n"/>
      <c r="B46" s="75" t="n"/>
      <c r="C46" s="76" t="n"/>
      <c r="D46" s="77" t="n">
        <v>9999</v>
      </c>
      <c r="E46" s="80" t="n"/>
      <c r="F46" s="148" t="n"/>
      <c r="G46" s="148" t="n"/>
      <c r="H46" s="148" t="n"/>
      <c r="I46" s="148" t="n"/>
      <c r="J46" s="148" t="n"/>
      <c r="K46" s="148" t="n"/>
      <c r="L46" s="148" t="n"/>
      <c r="M46" s="148" t="n"/>
      <c r="N46" s="148" t="n"/>
      <c r="O46" s="148" t="n"/>
      <c r="P46" s="148" t="n"/>
      <c r="Q46" s="148" t="n"/>
      <c r="R46" s="148" t="n"/>
      <c r="S46" s="148" t="n"/>
      <c r="T46" s="148" t="inlineStr">
        <is>
          <t>O</t>
        </is>
      </c>
      <c r="U46" s="170" t="n"/>
      <c r="V46" s="170" t="n"/>
      <c r="W46" s="170" t="n"/>
      <c r="X46" s="170" t="n"/>
    </row>
    <row r="47" ht="13.5" customHeight="1" s="426" thickBot="1">
      <c r="A47" s="171" t="n"/>
      <c r="B47" s="75" t="n"/>
      <c r="C47" s="76" t="n"/>
      <c r="D47" s="77" t="inlineStr">
        <is>
          <t>null</t>
        </is>
      </c>
      <c r="E47" s="80" t="n"/>
      <c r="F47" s="148" t="n"/>
      <c r="G47" s="148" t="inlineStr">
        <is>
          <t>O</t>
        </is>
      </c>
      <c r="H47" s="148" t="n"/>
      <c r="I47" s="148" t="n"/>
      <c r="J47" s="148" t="n"/>
      <c r="K47" s="148" t="n"/>
      <c r="L47" s="148" t="n"/>
      <c r="M47" s="148" t="n"/>
      <c r="N47" s="148" t="n"/>
      <c r="O47" s="148" t="n"/>
      <c r="P47" s="148" t="n"/>
      <c r="Q47" s="148" t="n"/>
      <c r="R47" s="148" t="n"/>
      <c r="S47" s="148" t="n"/>
      <c r="T47" s="170" t="n"/>
      <c r="U47" s="170" t="n"/>
      <c r="V47" s="170" t="n"/>
      <c r="W47" s="170" t="n"/>
      <c r="X47" s="170" t="n"/>
    </row>
    <row r="48" ht="13.5" customHeight="1" s="426">
      <c r="A48" s="182" t="inlineStr">
        <is>
          <t>Confirm</t>
        </is>
      </c>
      <c r="B48" s="208" t="inlineStr">
        <is>
          <t>Return</t>
        </is>
      </c>
      <c r="C48" s="239" t="n"/>
      <c r="D48" s="210" t="n"/>
      <c r="E48" s="86" t="n"/>
      <c r="F48" s="87" t="n"/>
      <c r="G48" s="87" t="n"/>
      <c r="H48" s="87" t="n"/>
      <c r="I48" s="87" t="n"/>
      <c r="J48" s="87" t="n"/>
      <c r="K48" s="87" t="n"/>
      <c r="L48" s="87" t="n"/>
      <c r="M48" s="87" t="n"/>
      <c r="N48" s="87" t="n"/>
      <c r="O48" s="87" t="n"/>
      <c r="P48" s="87" t="n"/>
      <c r="Q48" s="87" t="n"/>
      <c r="R48" s="87" t="n"/>
      <c r="S48" s="87" t="n"/>
      <c r="T48" s="196" t="n"/>
      <c r="U48" s="196" t="n"/>
      <c r="V48" s="196" t="n"/>
      <c r="W48" s="196" t="n"/>
      <c r="X48" s="196" t="n"/>
    </row>
    <row r="49" ht="13.5" customHeight="1" s="426">
      <c r="A49" s="181" t="n"/>
      <c r="B49" s="208" t="n"/>
      <c r="C49" s="239" t="n"/>
      <c r="D49" s="210" t="inlineStr">
        <is>
          <t>T</t>
        </is>
      </c>
      <c r="E49" s="86" t="n"/>
      <c r="F49" s="148" t="inlineStr">
        <is>
          <t>O</t>
        </is>
      </c>
      <c r="G49" s="87" t="n"/>
      <c r="H49" s="87" t="n"/>
      <c r="I49" s="87" t="n"/>
      <c r="J49" s="87" t="n"/>
      <c r="K49" s="87" t="n"/>
      <c r="L49" s="87" t="n"/>
      <c r="M49" s="148" t="inlineStr">
        <is>
          <t>O</t>
        </is>
      </c>
      <c r="N49" s="87" t="n"/>
      <c r="O49" s="148" t="inlineStr">
        <is>
          <t>O</t>
        </is>
      </c>
      <c r="P49" s="87" t="n"/>
      <c r="Q49" s="148" t="inlineStr">
        <is>
          <t>O</t>
        </is>
      </c>
      <c r="R49" s="87" t="n"/>
      <c r="S49" s="87" t="n"/>
      <c r="T49" s="196" t="n"/>
      <c r="U49" s="196" t="n"/>
      <c r="V49" s="196" t="n"/>
      <c r="W49" s="196" t="n"/>
      <c r="X49" s="196" t="n"/>
    </row>
    <row r="50" ht="13.5" customHeight="1" s="426">
      <c r="A50" s="181" t="n"/>
      <c r="B50" s="126" t="n"/>
      <c r="C50" s="89" t="n"/>
      <c r="D50" s="90" t="inlineStr">
        <is>
          <t>F</t>
        </is>
      </c>
      <c r="E50" s="91" t="n"/>
      <c r="F50" s="79" t="n"/>
      <c r="G50" s="148" t="inlineStr">
        <is>
          <t>O</t>
        </is>
      </c>
      <c r="H50" s="148" t="inlineStr">
        <is>
          <t>O</t>
        </is>
      </c>
      <c r="I50" s="148" t="n"/>
      <c r="J50" s="148" t="inlineStr">
        <is>
          <t>O</t>
        </is>
      </c>
      <c r="K50" s="148" t="inlineStr">
        <is>
          <t>O</t>
        </is>
      </c>
      <c r="L50" s="148" t="inlineStr">
        <is>
          <t>O</t>
        </is>
      </c>
      <c r="M50" s="148" t="n"/>
      <c r="N50" s="148" t="inlineStr">
        <is>
          <t>O</t>
        </is>
      </c>
      <c r="O50" s="148" t="n"/>
      <c r="P50" s="148" t="inlineStr">
        <is>
          <t>O</t>
        </is>
      </c>
      <c r="Q50" s="79" t="n"/>
      <c r="R50" s="148" t="inlineStr">
        <is>
          <t>O</t>
        </is>
      </c>
      <c r="S50" s="148" t="inlineStr">
        <is>
          <t>O</t>
        </is>
      </c>
      <c r="T50" s="148" t="inlineStr">
        <is>
          <t>O</t>
        </is>
      </c>
      <c r="U50" s="195" t="n"/>
      <c r="V50" s="195" t="n"/>
      <c r="W50" s="195" t="n"/>
      <c r="X50" s="195" t="n"/>
    </row>
    <row r="51" ht="13.5" customHeight="1" s="426">
      <c r="A51" s="181" t="n"/>
      <c r="B51" s="116" t="inlineStr">
        <is>
          <t>Exception</t>
        </is>
      </c>
      <c r="C51" s="120" t="n"/>
      <c r="D51" s="118" t="n"/>
      <c r="E51" s="91" t="n"/>
      <c r="F51" s="79" t="n"/>
      <c r="G51" s="79" t="n"/>
      <c r="H51" s="79" t="n"/>
      <c r="I51" s="79" t="n"/>
      <c r="J51" s="79" t="n"/>
      <c r="K51" s="79" t="n"/>
      <c r="L51" s="79" t="n"/>
      <c r="M51" s="79" t="n"/>
      <c r="N51" s="79" t="n"/>
      <c r="O51" s="79" t="n"/>
      <c r="P51" s="79" t="n"/>
      <c r="Q51" s="79" t="n"/>
      <c r="R51" s="79" t="n"/>
      <c r="S51" s="79" t="n"/>
      <c r="T51" s="195" t="n"/>
      <c r="U51" s="195" t="n"/>
      <c r="V51" s="195" t="n"/>
      <c r="W51" s="195" t="n"/>
      <c r="X51" s="195" t="n"/>
    </row>
    <row r="52" ht="13.5" customHeight="1" s="426">
      <c r="A52" s="181" t="n"/>
      <c r="B52" s="116" t="n"/>
      <c r="C52" s="120" t="n"/>
      <c r="D52" s="118" t="inlineStr">
        <is>
          <t>InvalidOperationException</t>
        </is>
      </c>
      <c r="E52" s="91" t="n"/>
      <c r="F52" s="79" t="n"/>
      <c r="G52" s="79" t="n"/>
      <c r="H52" s="79" t="n"/>
      <c r="I52" s="148" t="inlineStr">
        <is>
          <t>O</t>
        </is>
      </c>
      <c r="J52" s="79" t="n"/>
      <c r="K52" s="148" t="n"/>
      <c r="L52" s="79" t="n"/>
      <c r="M52" s="79" t="n"/>
      <c r="N52" s="79" t="n"/>
      <c r="O52" s="79" t="n"/>
      <c r="P52" s="79" t="n"/>
      <c r="Q52" s="79" t="n"/>
      <c r="R52" s="79" t="n"/>
      <c r="S52" s="79" t="n"/>
      <c r="T52" s="195" t="n"/>
      <c r="U52" s="195" t="n"/>
      <c r="V52" s="195" t="n"/>
      <c r="W52" s="195" t="n"/>
      <c r="X52" s="195" t="n"/>
    </row>
    <row r="53" ht="13.5" customHeight="1" s="426">
      <c r="A53" s="181" t="n"/>
      <c r="B53" s="88" t="inlineStr">
        <is>
          <t>Log message</t>
        </is>
      </c>
      <c r="C53" s="89" t="n"/>
      <c r="D53" s="90" t="n"/>
      <c r="E53" s="91" t="n"/>
      <c r="F53" s="79" t="n"/>
      <c r="G53" s="79" t="n"/>
      <c r="H53" s="79" t="n"/>
      <c r="I53" s="79" t="n"/>
      <c r="J53" s="79" t="n"/>
      <c r="K53" s="79" t="n"/>
      <c r="L53" s="79" t="n"/>
      <c r="M53" s="79" t="n"/>
      <c r="N53" s="79" t="n"/>
      <c r="O53" s="79" t="n"/>
      <c r="P53" s="79" t="n"/>
      <c r="Q53" s="79" t="n"/>
      <c r="R53" s="79" t="n"/>
      <c r="S53" s="79" t="n"/>
      <c r="T53" s="195" t="n"/>
      <c r="U53" s="195" t="n"/>
      <c r="V53" s="195" t="n"/>
      <c r="W53" s="195" t="n"/>
      <c r="X53" s="195" t="n"/>
    </row>
    <row r="54" ht="13.5" customHeight="1" s="426">
      <c r="A54" s="181" t="n"/>
      <c r="B54" s="88" t="n"/>
      <c r="C54" s="89" t="n"/>
      <c r="D54" s="90" t="inlineStr">
        <is>
          <t>"Expected UpdateFacility to return true for valid data."</t>
        </is>
      </c>
      <c r="E54" s="91" t="n"/>
      <c r="F54" s="148" t="inlineStr">
        <is>
          <t>O</t>
        </is>
      </c>
      <c r="G54" s="79" t="n"/>
      <c r="H54" s="79" t="n"/>
      <c r="I54" s="79" t="n"/>
      <c r="J54" s="79" t="n"/>
      <c r="K54" s="79" t="n"/>
      <c r="L54" s="79" t="n"/>
      <c r="M54" s="79" t="n"/>
      <c r="N54" s="79" t="n"/>
      <c r="O54" s="79" t="n"/>
      <c r="P54" s="79" t="n"/>
      <c r="Q54" s="79" t="n"/>
      <c r="R54" s="79" t="n"/>
      <c r="S54" s="79" t="n"/>
      <c r="T54" s="195" t="n"/>
      <c r="U54" s="195" t="n"/>
      <c r="V54" s="195" t="n"/>
      <c r="W54" s="195" t="n"/>
      <c r="X54" s="195" t="n"/>
    </row>
    <row r="55" ht="13.5" customHeight="1" s="426">
      <c r="A55" s="181" t="n"/>
      <c r="B55" s="88" t="n"/>
      <c r="C55" s="89" t="n"/>
      <c r="D55" s="90" t="inlineStr">
        <is>
          <t>"Expected UpdateFacility to return false if the facility DTO is null."</t>
        </is>
      </c>
      <c r="E55" s="91" t="n"/>
      <c r="F55" s="79" t="n"/>
      <c r="G55" s="148" t="inlineStr">
        <is>
          <t>O</t>
        </is>
      </c>
      <c r="H55" s="79" t="n"/>
      <c r="I55" s="79" t="n"/>
      <c r="J55" s="79" t="n"/>
      <c r="K55" s="79" t="n"/>
      <c r="L55" s="79" t="n"/>
      <c r="M55" s="79" t="n"/>
      <c r="N55" s="79" t="n"/>
      <c r="O55" s="79" t="n"/>
      <c r="P55" s="79" t="n"/>
      <c r="Q55" s="79" t="n"/>
      <c r="R55" s="79" t="n"/>
      <c r="S55" s="79" t="n"/>
      <c r="T55" s="195" t="n"/>
      <c r="U55" s="195" t="n"/>
      <c r="V55" s="195" t="n"/>
      <c r="W55" s="195" t="n"/>
      <c r="X55" s="195" t="n"/>
    </row>
    <row r="56" ht="13.5" customHeight="1" s="426">
      <c r="A56" s="181" t="n"/>
      <c r="B56" s="88" t="n"/>
      <c r="C56" s="89" t="n"/>
      <c r="D56" s="90" t="inlineStr">
        <is>
          <t>"Expected UpdateFacility to return false for a non-existent facility."</t>
        </is>
      </c>
      <c r="E56" s="91" t="n"/>
      <c r="F56" s="79" t="n"/>
      <c r="G56" s="79" t="n"/>
      <c r="H56" s="148" t="inlineStr">
        <is>
          <t>O</t>
        </is>
      </c>
      <c r="I56" s="79" t="n"/>
      <c r="J56" s="79" t="n"/>
      <c r="K56" s="79" t="n"/>
      <c r="L56" s="79" t="n"/>
      <c r="M56" s="79" t="n"/>
      <c r="N56" s="79" t="n"/>
      <c r="O56" s="79" t="n"/>
      <c r="P56" s="79" t="n"/>
      <c r="Q56" s="79" t="n"/>
      <c r="R56" s="79" t="n"/>
      <c r="S56" s="79" t="n"/>
      <c r="T56" s="195" t="n"/>
      <c r="U56" s="195" t="n"/>
      <c r="V56" s="195" t="n"/>
      <c r="W56" s="195" t="n"/>
      <c r="X56" s="195" t="n"/>
    </row>
    <row r="57" ht="13.5" customHeight="1" s="426">
      <c r="A57" s="181" t="n"/>
      <c r="B57" s="88" t="n"/>
      <c r="C57" s="89" t="n"/>
      <c r="D57" s="90" t="inlineStr">
        <is>
          <t>"Expected false when FacilityName is empty."</t>
        </is>
      </c>
      <c r="E57" s="91" t="n"/>
      <c r="F57" s="79" t="n"/>
      <c r="G57" s="79" t="n"/>
      <c r="H57" s="79" t="n"/>
      <c r="I57" s="148" t="n"/>
      <c r="J57" s="148" t="inlineStr">
        <is>
          <t>O</t>
        </is>
      </c>
      <c r="K57" s="79" t="n"/>
      <c r="L57" s="79" t="n"/>
      <c r="M57" s="79" t="n"/>
      <c r="N57" s="79" t="n"/>
      <c r="O57" s="79" t="n"/>
      <c r="P57" s="79" t="n"/>
      <c r="Q57" s="79" t="n"/>
      <c r="R57" s="79" t="n"/>
      <c r="S57" s="79" t="n"/>
      <c r="T57" s="195" t="n"/>
      <c r="U57" s="195" t="n"/>
      <c r="V57" s="195" t="n"/>
      <c r="W57" s="195" t="n"/>
      <c r="X57" s="195" t="n"/>
    </row>
    <row r="58" ht="13.5" customHeight="1" s="426">
      <c r="A58" s="181" t="n"/>
      <c r="B58" s="88" t="n"/>
      <c r="C58" s="89" t="n"/>
      <c r="D58" s="90" t="inlineStr">
        <is>
          <t>"Expected false when UnitOfMeasure is empty."</t>
        </is>
      </c>
      <c r="E58" s="91" t="n"/>
      <c r="F58" s="79" t="n"/>
      <c r="G58" s="79" t="n"/>
      <c r="H58" s="79" t="n"/>
      <c r="I58" s="148" t="n"/>
      <c r="J58" s="79" t="n"/>
      <c r="K58" s="148" t="inlineStr">
        <is>
          <t>O</t>
        </is>
      </c>
      <c r="L58" s="79" t="n"/>
      <c r="M58" s="79" t="n"/>
      <c r="N58" s="79" t="n"/>
      <c r="O58" s="79" t="n"/>
      <c r="P58" s="79" t="n"/>
      <c r="Q58" s="79" t="n"/>
      <c r="R58" s="79" t="n"/>
      <c r="S58" s="79" t="n"/>
      <c r="T58" s="195" t="n"/>
      <c r="U58" s="195" t="n"/>
      <c r="V58" s="195" t="n"/>
      <c r="W58" s="195" t="n"/>
      <c r="X58" s="195" t="n"/>
    </row>
    <row r="59" ht="13.5" customHeight="1" s="426">
      <c r="A59" s="181" t="n"/>
      <c r="B59" s="88" t="n"/>
      <c r="C59" s="89" t="n"/>
      <c r="D59" s="90" t="inlineStr">
        <is>
          <t xml:space="preserve"> "Expected false when Description is empty."</t>
        </is>
      </c>
      <c r="E59" s="91" t="n"/>
      <c r="F59" s="79" t="n"/>
      <c r="G59" s="79" t="n"/>
      <c r="H59" s="79" t="n"/>
      <c r="I59" s="148" t="n"/>
      <c r="J59" s="79" t="n"/>
      <c r="K59" s="79" t="n"/>
      <c r="L59" s="148" t="inlineStr">
        <is>
          <t>O</t>
        </is>
      </c>
      <c r="M59" s="79" t="n"/>
      <c r="N59" s="79" t="n"/>
      <c r="O59" s="79" t="n"/>
      <c r="P59" s="79" t="n"/>
      <c r="Q59" s="79" t="n"/>
      <c r="R59" s="79" t="n"/>
      <c r="S59" s="79" t="n"/>
      <c r="T59" s="195" t="n"/>
      <c r="U59" s="195" t="n"/>
      <c r="V59" s="195" t="n"/>
      <c r="W59" s="195" t="n"/>
      <c r="X59" s="195" t="n"/>
    </row>
    <row r="60" ht="13.5" customHeight="1" s="426">
      <c r="A60" s="181" t="n"/>
      <c r="B60" s="88" t="n"/>
      <c r="C60" s="92" t="n"/>
      <c r="D60" s="90" t="inlineStr">
        <is>
          <t>"Expected false because the specified RoleId does not exist."</t>
        </is>
      </c>
      <c r="E60" s="93" t="n"/>
      <c r="F60" s="148" t="n"/>
      <c r="G60" s="79" t="n"/>
      <c r="H60" s="79" t="n"/>
      <c r="I60" s="79" t="n"/>
      <c r="J60" s="148" t="n"/>
      <c r="K60" s="79" t="n"/>
      <c r="L60" s="79" t="n"/>
      <c r="M60" s="79" t="n"/>
      <c r="N60" s="79" t="n"/>
      <c r="O60" s="79" t="n"/>
      <c r="P60" s="79" t="n"/>
      <c r="Q60" s="79" t="n"/>
      <c r="R60" s="79" t="n"/>
      <c r="S60" s="148" t="inlineStr">
        <is>
          <t>O</t>
        </is>
      </c>
      <c r="T60" s="195" t="n"/>
      <c r="U60" s="195" t="n"/>
      <c r="V60" s="195" t="n"/>
      <c r="W60" s="195" t="n"/>
      <c r="X60" s="195" t="n"/>
    </row>
    <row r="61" ht="13.5" customHeight="1" s="426">
      <c r="A61" s="181" t="n"/>
      <c r="B61" s="88" t="n"/>
      <c r="C61" s="92" t="n"/>
      <c r="D61" s="90" t="inlineStr">
        <is>
          <t>"Expected false because the specified StatusId does not exist."</t>
        </is>
      </c>
      <c r="E61" s="93" t="n"/>
      <c r="F61" s="148" t="n"/>
      <c r="G61" s="79" t="n"/>
      <c r="H61" s="79" t="n"/>
      <c r="I61" s="79" t="n"/>
      <c r="J61" s="148" t="n"/>
      <c r="K61" s="79" t="n"/>
      <c r="L61" s="79" t="n"/>
      <c r="M61" s="79" t="n"/>
      <c r="N61" s="79" t="n"/>
      <c r="O61" s="79" t="n"/>
      <c r="P61" s="79" t="n"/>
      <c r="Q61" s="79" t="n"/>
      <c r="R61" s="79" t="n"/>
      <c r="S61" s="79" t="n"/>
      <c r="T61" s="148" t="inlineStr">
        <is>
          <t>O</t>
        </is>
      </c>
      <c r="U61" s="195" t="n"/>
      <c r="V61" s="195" t="n"/>
      <c r="W61" s="195" t="n"/>
      <c r="X61" s="195" t="n"/>
    </row>
    <row r="62" ht="13.5" customHeight="1" s="426" thickBot="1">
      <c r="A62" s="181" t="n"/>
      <c r="B62" s="88" t="n"/>
      <c r="C62" s="92" t="n"/>
      <c r="D62" s="90" t="inlineStr">
        <is>
          <t>"Simulated DB error"</t>
        </is>
      </c>
      <c r="E62" s="93" t="n"/>
      <c r="F62" s="79" t="n"/>
      <c r="G62" s="148" t="n"/>
      <c r="H62" s="79" t="n"/>
      <c r="I62" s="148" t="inlineStr">
        <is>
          <t>O</t>
        </is>
      </c>
      <c r="J62" s="79" t="n"/>
      <c r="K62" s="148" t="n"/>
      <c r="L62" s="79" t="n"/>
      <c r="M62" s="79" t="n"/>
      <c r="N62" s="79" t="n"/>
      <c r="O62" s="79" t="n"/>
      <c r="P62" s="79" t="n"/>
      <c r="Q62" s="79" t="n"/>
      <c r="R62" s="79" t="n"/>
      <c r="S62" s="79" t="n"/>
      <c r="T62" s="195" t="n"/>
      <c r="U62" s="195" t="n"/>
      <c r="V62" s="195" t="n"/>
      <c r="W62" s="195" t="n"/>
      <c r="X62" s="195" t="n"/>
    </row>
    <row r="63" ht="13.5" customHeight="1" s="426" thickTop="1">
      <c r="A63" s="182" t="inlineStr">
        <is>
          <t>Result</t>
        </is>
      </c>
      <c r="B63" s="331" t="inlineStr">
        <is>
          <t>Type(N : Normal, A : Abnormal, B : Boundary)</t>
        </is>
      </c>
      <c r="C63" s="472" t="n"/>
      <c r="D63" s="473" t="n"/>
      <c r="E63" s="331" t="n"/>
      <c r="F63" s="188" t="inlineStr">
        <is>
          <t>N</t>
        </is>
      </c>
      <c r="G63" s="188" t="inlineStr">
        <is>
          <t>A</t>
        </is>
      </c>
      <c r="H63" s="188" t="inlineStr">
        <is>
          <t>A</t>
        </is>
      </c>
      <c r="I63" s="188" t="inlineStr">
        <is>
          <t>A</t>
        </is>
      </c>
      <c r="J63" s="188" t="inlineStr">
        <is>
          <t>A</t>
        </is>
      </c>
      <c r="K63" s="188" t="inlineStr">
        <is>
          <t>A</t>
        </is>
      </c>
      <c r="L63" s="188" t="inlineStr">
        <is>
          <t>A</t>
        </is>
      </c>
      <c r="M63" s="188" t="inlineStr">
        <is>
          <t>B</t>
        </is>
      </c>
      <c r="N63" s="188" t="inlineStr">
        <is>
          <t>B</t>
        </is>
      </c>
      <c r="O63" s="188" t="inlineStr">
        <is>
          <t>B</t>
        </is>
      </c>
      <c r="P63" s="188" t="inlineStr">
        <is>
          <t>B</t>
        </is>
      </c>
      <c r="Q63" s="188" t="inlineStr">
        <is>
          <t>B</t>
        </is>
      </c>
      <c r="R63" s="188" t="inlineStr">
        <is>
          <t>B</t>
        </is>
      </c>
      <c r="S63" s="188" t="inlineStr">
        <is>
          <t>A</t>
        </is>
      </c>
      <c r="T63" s="198" t="inlineStr">
        <is>
          <t>A</t>
        </is>
      </c>
      <c r="U63" s="198" t="n"/>
      <c r="V63" s="198" t="n"/>
      <c r="W63" s="198" t="n"/>
      <c r="X63" s="198" t="n"/>
    </row>
    <row r="64" ht="13.5" customHeight="1" s="426">
      <c r="A64" s="174" t="n"/>
      <c r="B64" s="320" t="inlineStr">
        <is>
          <t>Passed/Failed</t>
        </is>
      </c>
      <c r="C64" s="449" t="n"/>
      <c r="D64" s="450" t="n"/>
      <c r="E64" s="95" t="n"/>
      <c r="F64" s="94" t="inlineStr">
        <is>
          <t>P</t>
        </is>
      </c>
      <c r="G64" s="94" t="inlineStr">
        <is>
          <t>P</t>
        </is>
      </c>
      <c r="H64" s="94" t="inlineStr">
        <is>
          <t>P</t>
        </is>
      </c>
      <c r="I64" s="94" t="inlineStr">
        <is>
          <t>P</t>
        </is>
      </c>
      <c r="J64" s="94" t="inlineStr">
        <is>
          <t>P</t>
        </is>
      </c>
      <c r="K64" s="94" t="inlineStr">
        <is>
          <t>P</t>
        </is>
      </c>
      <c r="L64" s="94" t="inlineStr">
        <is>
          <t>P</t>
        </is>
      </c>
      <c r="M64" s="94" t="inlineStr">
        <is>
          <t>P</t>
        </is>
      </c>
      <c r="N64" s="94" t="inlineStr">
        <is>
          <t>P</t>
        </is>
      </c>
      <c r="O64" s="94" t="inlineStr">
        <is>
          <t>P</t>
        </is>
      </c>
      <c r="P64" s="94" t="inlineStr">
        <is>
          <t>P</t>
        </is>
      </c>
      <c r="Q64" s="94" t="inlineStr">
        <is>
          <t>P</t>
        </is>
      </c>
      <c r="R64" s="94" t="inlineStr">
        <is>
          <t>P</t>
        </is>
      </c>
      <c r="S64" s="94" t="inlineStr">
        <is>
          <t>P</t>
        </is>
      </c>
      <c r="T64" s="94" t="inlineStr">
        <is>
          <t>P</t>
        </is>
      </c>
      <c r="U64" s="199" t="n"/>
      <c r="V64" s="199" t="n"/>
      <c r="W64" s="199" t="n"/>
      <c r="X64" s="199" t="n"/>
    </row>
    <row r="65" ht="71.5" customHeight="1" s="426">
      <c r="A65" s="174" t="n"/>
      <c r="B65" s="329" t="inlineStr">
        <is>
          <t>Executed Date</t>
        </is>
      </c>
      <c r="C65" s="449" t="n"/>
      <c r="D65" s="450" t="n"/>
      <c r="E65" s="96" t="n"/>
      <c r="F65" s="97" t="n">
        <v>45700</v>
      </c>
      <c r="G65" s="97" t="n">
        <v>45700</v>
      </c>
      <c r="H65" s="97" t="n">
        <v>45700</v>
      </c>
      <c r="I65" s="97" t="n">
        <v>45700</v>
      </c>
      <c r="J65" s="97" t="n">
        <v>45700</v>
      </c>
      <c r="K65" s="97" t="n">
        <v>45700</v>
      </c>
      <c r="L65" s="97" t="n">
        <v>45700</v>
      </c>
      <c r="M65" s="97" t="n">
        <v>45700</v>
      </c>
      <c r="N65" s="97" t="n">
        <v>45700</v>
      </c>
      <c r="O65" s="97" t="n">
        <v>45700</v>
      </c>
      <c r="P65" s="97" t="n">
        <v>45700</v>
      </c>
      <c r="Q65" s="97" t="n">
        <v>45700</v>
      </c>
      <c r="R65" s="97" t="n">
        <v>45700</v>
      </c>
      <c r="S65" s="97" t="n">
        <v>45700</v>
      </c>
      <c r="T65" s="97" t="n">
        <v>45700</v>
      </c>
      <c r="U65" s="176" t="n"/>
      <c r="V65" s="176" t="n"/>
      <c r="W65" s="176" t="n"/>
      <c r="X65" s="176" t="n"/>
    </row>
    <row r="66" ht="10.5" customHeight="1" s="426" thickBot="1">
      <c r="A66" s="177" t="n"/>
      <c r="B66" s="330" t="inlineStr">
        <is>
          <t>Defect ID</t>
        </is>
      </c>
      <c r="C66" s="474" t="n"/>
      <c r="D66" s="475" t="n"/>
      <c r="E66" s="178" t="n"/>
      <c r="F66" s="179" t="n"/>
      <c r="G66" s="179" t="n"/>
      <c r="H66" s="179" t="n"/>
      <c r="I66" s="179" t="n"/>
      <c r="J66" s="179" t="n"/>
      <c r="K66" s="179" t="n"/>
      <c r="L66" s="179" t="n"/>
      <c r="M66" s="179" t="n"/>
      <c r="N66" s="179" t="n"/>
      <c r="O66" s="179" t="n"/>
      <c r="P66" s="179" t="n"/>
      <c r="Q66" s="179" t="n"/>
      <c r="R66" s="179" t="n"/>
      <c r="S66" s="179" t="n"/>
      <c r="T66" s="180" t="n"/>
      <c r="U66" s="180" t="n"/>
      <c r="V66" s="180" t="n"/>
      <c r="W66" s="180" t="n"/>
      <c r="X66" s="180" t="n"/>
    </row>
    <row r="67" ht="10.5" customHeight="1" s="426" thickTop="1">
      <c r="A67" s="73" t="n"/>
      <c r="B67" s="69" t="n"/>
      <c r="C67" s="413" t="n"/>
      <c r="D67" s="69" t="n"/>
    </row>
  </sheetData>
  <mergeCells count="27">
    <mergeCell ref="F2:K2"/>
    <mergeCell ref="A6:B6"/>
    <mergeCell ref="C4:D4"/>
    <mergeCell ref="L4:T4"/>
    <mergeCell ref="C2:E2"/>
    <mergeCell ref="A7:B7"/>
    <mergeCell ref="B65:D65"/>
    <mergeCell ref="C7:E7"/>
    <mergeCell ref="L6:N6"/>
    <mergeCell ref="A3:B3"/>
    <mergeCell ref="B64:D64"/>
    <mergeCell ref="A2:B2"/>
    <mergeCell ref="B63:D63"/>
    <mergeCell ref="A5:B5"/>
    <mergeCell ref="C3:E3"/>
    <mergeCell ref="O7:T7"/>
    <mergeCell ref="F4:K4"/>
    <mergeCell ref="C6:E6"/>
    <mergeCell ref="A4:B4"/>
    <mergeCell ref="L2:T2"/>
    <mergeCell ref="O6:T6"/>
    <mergeCell ref="B66:D66"/>
    <mergeCell ref="F6:K6"/>
    <mergeCell ref="F7:K7"/>
    <mergeCell ref="C5:T5"/>
    <mergeCell ref="L3:T3"/>
    <mergeCell ref="F3:K3"/>
  </mergeCells>
  <dataValidations count="3">
    <dataValidation sqref="F63:X63" showDropDown="0" showInputMessage="1" showErrorMessage="1" allowBlank="1" type="list">
      <formula1>"N,A,B, "</formula1>
    </dataValidation>
    <dataValidation sqref="F64:X64" showDropDown="0" showInputMessage="1" showErrorMessage="1" allowBlank="1" type="list">
      <formula1>"P,F, "</formula1>
    </dataValidation>
    <dataValidation sqref="F10:X62"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41.xml><?xml version="1.0" encoding="utf-8"?>
<worksheet xmlns="http://schemas.openxmlformats.org/spreadsheetml/2006/main">
  <sheetPr>
    <outlinePr summaryBelow="1" summaryRight="1"/>
    <pageSetUpPr/>
  </sheetPr>
  <dimension ref="A1:X69"/>
  <sheetViews>
    <sheetView zoomScale="115" zoomScaleNormal="115" workbookViewId="0">
      <selection activeCell="A1" sqref="A1"/>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3.08984375" customWidth="1" style="69" min="22" max="22"/>
    <col width="3.54296875" customWidth="1" style="69" min="23" max="23"/>
    <col width="3.7265625" customWidth="1" style="69" min="24" max="24"/>
    <col width="11" customWidth="1" style="69" min="25" max="256"/>
    <col width="9" customWidth="1" style="69" min="257" max="16384"/>
  </cols>
  <sheetData>
    <row r="1" ht="13.5" customHeight="1" s="426" thickBot="1">
      <c r="A1" s="67" t="n"/>
      <c r="B1" s="68" t="n"/>
    </row>
    <row r="2" ht="13.5" customHeight="1" s="426">
      <c r="A2" s="315" t="inlineStr">
        <is>
          <t>Function Code</t>
        </is>
      </c>
      <c r="B2" s="439" t="n"/>
      <c r="C2" s="440" t="inlineStr">
        <is>
          <t>RoomFacility - 4</t>
        </is>
      </c>
      <c r="D2" s="439" t="n"/>
      <c r="E2" s="441" t="n"/>
      <c r="F2" s="410" t="inlineStr">
        <is>
          <t>Function Name</t>
        </is>
      </c>
      <c r="G2" s="496" t="n"/>
      <c r="H2" s="496" t="n"/>
      <c r="I2" s="496" t="n"/>
      <c r="J2" s="496" t="n"/>
      <c r="K2" s="496" t="n"/>
      <c r="L2" s="443" t="inlineStr">
        <is>
          <t>Update Room Facility</t>
        </is>
      </c>
      <c r="M2" s="439" t="n"/>
      <c r="N2" s="439" t="n"/>
      <c r="O2" s="439" t="n"/>
      <c r="P2" s="439" t="n"/>
      <c r="Q2" s="439" t="n"/>
      <c r="R2" s="439" t="n"/>
      <c r="S2" s="439" t="n"/>
      <c r="T2" s="444" t="n"/>
      <c r="V2" s="71" t="n"/>
    </row>
    <row r="3" ht="13.5" customHeight="1" s="426">
      <c r="A3" s="445" t="inlineStr">
        <is>
          <t>Created By</t>
        </is>
      </c>
      <c r="B3" s="428" t="n"/>
      <c r="C3" s="446" t="inlineStr">
        <is>
          <t>Nguyễn Thanh Tuấn</t>
        </is>
      </c>
      <c r="D3" s="433" t="n"/>
      <c r="E3" s="447" t="n"/>
      <c r="F3" s="448" t="inlineStr">
        <is>
          <t>Executed By</t>
        </is>
      </c>
      <c r="G3" s="449" t="n"/>
      <c r="H3" s="449" t="n"/>
      <c r="I3" s="449" t="n"/>
      <c r="J3" s="449" t="n"/>
      <c r="K3" s="450" t="n"/>
      <c r="L3" s="453" t="inlineStr">
        <is>
          <t>Nguyễn Thanh Tuấn</t>
        </is>
      </c>
      <c r="M3" s="454" t="n"/>
      <c r="N3" s="454" t="n"/>
      <c r="O3" s="454" t="n"/>
      <c r="P3" s="454" t="n"/>
      <c r="Q3" s="454" t="n"/>
      <c r="R3" s="454" t="n"/>
      <c r="S3" s="454" t="n"/>
      <c r="T3" s="455" t="n"/>
    </row>
    <row r="4" ht="13.5" customHeight="1" s="426">
      <c r="A4" s="445" t="inlineStr">
        <is>
          <t>Lines  of code</t>
        </is>
      </c>
      <c r="B4" s="428" t="n"/>
      <c r="C4" s="327" t="n">
        <v>307</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COUNTIF(F66:HQ66,"P")</f>
        <v/>
      </c>
      <c r="B7" s="465" t="n"/>
      <c r="C7" s="466">
        <f>COUNTIF(F67:HQ67,"F")</f>
        <v/>
      </c>
      <c r="D7" s="467" t="n"/>
      <c r="E7" s="465" t="n"/>
      <c r="F7" s="468">
        <f>SUM(O7,- A7,- C7)</f>
        <v/>
      </c>
      <c r="G7" s="467" t="n"/>
      <c r="H7" s="467" t="n"/>
      <c r="I7" s="467" t="n"/>
      <c r="J7" s="467" t="n"/>
      <c r="K7" s="469" t="n"/>
      <c r="L7" s="342">
        <f>COUNTIF(E65:HQ65,"N")</f>
        <v/>
      </c>
      <c r="M7" s="342">
        <f>COUNTIF(E65:HQ65,"A")</f>
        <v/>
      </c>
      <c r="N7" s="342">
        <f>COUNTIF(E65:HQ65,"B")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inlineStr">
        <is>
          <t>UTCID07</t>
        </is>
      </c>
      <c r="M9" s="168" t="inlineStr">
        <is>
          <t>UTCID08</t>
        </is>
      </c>
      <c r="N9" s="168" t="inlineStr">
        <is>
          <t>UTCID09</t>
        </is>
      </c>
      <c r="O9" s="168" t="inlineStr">
        <is>
          <t>UTCID10</t>
        </is>
      </c>
      <c r="P9" s="168" t="inlineStr">
        <is>
          <t>UTCID11</t>
        </is>
      </c>
      <c r="Q9" s="168" t="inlineStr">
        <is>
          <t>UTCID12</t>
        </is>
      </c>
      <c r="R9" s="168" t="inlineStr">
        <is>
          <t>UTCID13</t>
        </is>
      </c>
      <c r="S9" s="168" t="inlineStr">
        <is>
          <t>UTCID14</t>
        </is>
      </c>
      <c r="T9" s="168" t="inlineStr">
        <is>
          <t>UTCID15</t>
        </is>
      </c>
      <c r="U9" s="168" t="n"/>
      <c r="V9" s="168" t="n"/>
      <c r="W9" s="168" t="n"/>
      <c r="X9" s="168"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c r="U10" s="195" t="n"/>
      <c r="V10" s="195" t="n"/>
      <c r="W10" s="195" t="n"/>
      <c r="X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n"/>
      <c r="J11" s="148" t="inlineStr">
        <is>
          <t>O</t>
        </is>
      </c>
      <c r="K11" s="148" t="inlineStr">
        <is>
          <t>O</t>
        </is>
      </c>
      <c r="L11" s="148" t="inlineStr">
        <is>
          <t>O</t>
        </is>
      </c>
      <c r="M11" s="148" t="inlineStr">
        <is>
          <t>O</t>
        </is>
      </c>
      <c r="N11" s="148" t="n"/>
      <c r="O11" s="148" t="inlineStr">
        <is>
          <t>O</t>
        </is>
      </c>
      <c r="P11" s="148" t="inlineStr">
        <is>
          <t>O</t>
        </is>
      </c>
      <c r="Q11" s="148" t="inlineStr">
        <is>
          <t>O</t>
        </is>
      </c>
      <c r="R11" s="148" t="inlineStr">
        <is>
          <t>O</t>
        </is>
      </c>
      <c r="S11" s="148" t="inlineStr">
        <is>
          <t>O</t>
        </is>
      </c>
      <c r="T11" s="148" t="inlineStr">
        <is>
          <t>O</t>
        </is>
      </c>
      <c r="U11" s="170" t="n"/>
      <c r="V11" s="170" t="n"/>
      <c r="W11" s="170" t="n"/>
      <c r="X11" s="170"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inlineStr">
        <is>
          <t>O</t>
        </is>
      </c>
      <c r="M12" s="148" t="inlineStr">
        <is>
          <t>O</t>
        </is>
      </c>
      <c r="N12" s="148" t="inlineStr">
        <is>
          <t>O</t>
        </is>
      </c>
      <c r="O12" s="148" t="inlineStr">
        <is>
          <t>O</t>
        </is>
      </c>
      <c r="P12" s="148" t="inlineStr">
        <is>
          <t>O</t>
        </is>
      </c>
      <c r="Q12" s="148" t="inlineStr">
        <is>
          <t>O</t>
        </is>
      </c>
      <c r="R12" s="148" t="inlineStr">
        <is>
          <t>O</t>
        </is>
      </c>
      <c r="S12" s="148" t="inlineStr">
        <is>
          <t>O</t>
        </is>
      </c>
      <c r="T12" s="148" t="inlineStr">
        <is>
          <t>O</t>
        </is>
      </c>
      <c r="U12" s="170" t="n"/>
      <c r="V12" s="170" t="n"/>
      <c r="W12" s="170" t="n"/>
      <c r="X12" s="170" t="n"/>
    </row>
    <row r="13" ht="13.5" customHeight="1" s="426">
      <c r="A13" s="171" t="n"/>
      <c r="B13" s="75" t="n"/>
      <c r="C13" s="76" t="n"/>
      <c r="D13" s="77" t="inlineStr">
        <is>
          <t>Room Facility Existed</t>
        </is>
      </c>
      <c r="E13" s="80" t="n"/>
      <c r="F13" s="148" t="inlineStr">
        <is>
          <t>O</t>
        </is>
      </c>
      <c r="G13" s="148" t="n"/>
      <c r="H13" s="148" t="n"/>
      <c r="I13" s="148" t="inlineStr">
        <is>
          <t>O</t>
        </is>
      </c>
      <c r="J13" s="148" t="inlineStr">
        <is>
          <t>O</t>
        </is>
      </c>
      <c r="K13" s="148" t="inlineStr">
        <is>
          <t>O</t>
        </is>
      </c>
      <c r="L13" s="148" t="inlineStr">
        <is>
          <t>O</t>
        </is>
      </c>
      <c r="M13" s="148" t="inlineStr">
        <is>
          <t>O</t>
        </is>
      </c>
      <c r="N13" s="148" t="inlineStr">
        <is>
          <t>O</t>
        </is>
      </c>
      <c r="O13" s="148" t="inlineStr">
        <is>
          <t>O</t>
        </is>
      </c>
      <c r="P13" s="148" t="inlineStr">
        <is>
          <t>O</t>
        </is>
      </c>
      <c r="Q13" s="148" t="inlineStr">
        <is>
          <t>O</t>
        </is>
      </c>
      <c r="R13" s="148" t="inlineStr">
        <is>
          <t>O</t>
        </is>
      </c>
      <c r="S13" s="148" t="inlineStr">
        <is>
          <t>O</t>
        </is>
      </c>
      <c r="T13" s="148" t="inlineStr">
        <is>
          <t>O</t>
        </is>
      </c>
      <c r="U13" s="170" t="n"/>
      <c r="V13" s="170" t="n"/>
      <c r="W13" s="170" t="n"/>
      <c r="X13" s="170" t="n"/>
    </row>
    <row r="14" ht="13.5" customHeight="1" s="426">
      <c r="A14" s="171" t="n"/>
      <c r="B14" s="75" t="n"/>
      <c r="C14" s="76" t="n"/>
      <c r="D14" s="77" t="inlineStr">
        <is>
          <t>Room Facility Does Not Existed</t>
        </is>
      </c>
      <c r="E14" s="80" t="n"/>
      <c r="F14" s="148" t="n"/>
      <c r="G14" s="148" t="inlineStr">
        <is>
          <t>O</t>
        </is>
      </c>
      <c r="H14" s="148" t="inlineStr">
        <is>
          <t>O</t>
        </is>
      </c>
      <c r="I14" s="148" t="n"/>
      <c r="J14" s="148" t="n"/>
      <c r="K14" s="148" t="n"/>
      <c r="L14" s="148" t="n"/>
      <c r="M14" s="148" t="n"/>
      <c r="N14" s="148" t="n"/>
      <c r="O14" s="148" t="n"/>
      <c r="P14" s="148" t="n"/>
      <c r="Q14" s="148" t="n"/>
      <c r="R14" s="148" t="n"/>
      <c r="S14" s="148" t="n"/>
      <c r="T14" s="170" t="n"/>
      <c r="U14" s="170" t="n"/>
      <c r="V14" s="170" t="n"/>
      <c r="W14" s="170" t="n"/>
      <c r="X14" s="170" t="n"/>
    </row>
    <row r="15" ht="13.5" customHeight="1" s="426">
      <c r="A15" s="171" t="n"/>
      <c r="B15" s="75" t="n"/>
      <c r="C15" s="76" t="n"/>
      <c r="D15" s="77" t="inlineStr">
        <is>
          <t>RoomId Existed</t>
        </is>
      </c>
      <c r="E15" s="80" t="n"/>
      <c r="F15" s="148" t="inlineStr">
        <is>
          <t>O</t>
        </is>
      </c>
      <c r="G15" s="148" t="n"/>
      <c r="H15" s="148" t="inlineStr">
        <is>
          <t>O</t>
        </is>
      </c>
      <c r="I15" s="148" t="inlineStr">
        <is>
          <t>O</t>
        </is>
      </c>
      <c r="J15" s="148" t="inlineStr">
        <is>
          <t>O</t>
        </is>
      </c>
      <c r="K15" s="148" t="inlineStr">
        <is>
          <t>O</t>
        </is>
      </c>
      <c r="L15" s="148" t="n"/>
      <c r="M15" s="148" t="inlineStr">
        <is>
          <t>O</t>
        </is>
      </c>
      <c r="N15" s="148" t="inlineStr">
        <is>
          <t>O</t>
        </is>
      </c>
      <c r="O15" s="148" t="inlineStr">
        <is>
          <t>O</t>
        </is>
      </c>
      <c r="P15" s="148" t="inlineStr">
        <is>
          <t>O</t>
        </is>
      </c>
      <c r="Q15" s="148" t="inlineStr">
        <is>
          <t>O</t>
        </is>
      </c>
      <c r="R15" s="148" t="inlineStr">
        <is>
          <t>O</t>
        </is>
      </c>
      <c r="S15" s="148" t="inlineStr">
        <is>
          <t>O</t>
        </is>
      </c>
      <c r="T15" s="148" t="inlineStr">
        <is>
          <t>O</t>
        </is>
      </c>
      <c r="U15" s="170" t="n"/>
      <c r="V15" s="170" t="n"/>
      <c r="W15" s="170" t="n"/>
      <c r="X15" s="170" t="n"/>
    </row>
    <row r="16" ht="13.5" customHeight="1" s="426">
      <c r="A16" s="171" t="n"/>
      <c r="B16" s="75" t="n"/>
      <c r="C16" s="76" t="n"/>
      <c r="D16" s="77" t="inlineStr">
        <is>
          <t>RoomId Does not Existed</t>
        </is>
      </c>
      <c r="E16" s="80" t="n"/>
      <c r="F16" s="148" t="n"/>
      <c r="G16" s="148" t="inlineStr">
        <is>
          <t>O</t>
        </is>
      </c>
      <c r="H16" s="148" t="n"/>
      <c r="I16" s="148" t="n"/>
      <c r="J16" s="148" t="n"/>
      <c r="K16" s="148" t="n"/>
      <c r="L16" s="148" t="inlineStr">
        <is>
          <t>O</t>
        </is>
      </c>
      <c r="M16" s="148" t="n"/>
      <c r="N16" s="148" t="n"/>
      <c r="O16" s="148" t="n"/>
      <c r="P16" s="148" t="n"/>
      <c r="Q16" s="148" t="n"/>
      <c r="R16" s="148" t="n"/>
      <c r="S16" s="148" t="n"/>
      <c r="T16" s="170" t="n"/>
      <c r="U16" s="170" t="n"/>
      <c r="V16" s="170" t="n"/>
      <c r="W16" s="170" t="n"/>
      <c r="X16" s="170" t="n"/>
    </row>
    <row r="17" ht="13.5" customHeight="1" s="426">
      <c r="A17" s="171" t="n"/>
      <c r="B17" s="75" t="n"/>
      <c r="C17" s="76" t="n"/>
      <c r="D17" s="77" t="inlineStr">
        <is>
          <t>StatusId Existed</t>
        </is>
      </c>
      <c r="E17" s="80" t="n"/>
      <c r="F17" s="148" t="inlineStr">
        <is>
          <t>O</t>
        </is>
      </c>
      <c r="G17" s="148" t="n"/>
      <c r="H17" s="148" t="inlineStr">
        <is>
          <t>O</t>
        </is>
      </c>
      <c r="I17" s="148" t="inlineStr">
        <is>
          <t>O</t>
        </is>
      </c>
      <c r="J17" s="148" t="inlineStr">
        <is>
          <t>O</t>
        </is>
      </c>
      <c r="K17" s="148" t="inlineStr">
        <is>
          <t>O</t>
        </is>
      </c>
      <c r="L17" s="148" t="inlineStr">
        <is>
          <t>O</t>
        </is>
      </c>
      <c r="M17" s="148" t="n"/>
      <c r="N17" s="148" t="inlineStr">
        <is>
          <t>O</t>
        </is>
      </c>
      <c r="O17" s="148" t="inlineStr">
        <is>
          <t>O</t>
        </is>
      </c>
      <c r="P17" s="148" t="inlineStr">
        <is>
          <t>O</t>
        </is>
      </c>
      <c r="Q17" s="148" t="inlineStr">
        <is>
          <t>O</t>
        </is>
      </c>
      <c r="R17" s="148" t="inlineStr">
        <is>
          <t>O</t>
        </is>
      </c>
      <c r="S17" s="148" t="inlineStr">
        <is>
          <t>O</t>
        </is>
      </c>
      <c r="T17" s="148" t="inlineStr">
        <is>
          <t>O</t>
        </is>
      </c>
      <c r="U17" s="170" t="n"/>
      <c r="V17" s="170" t="n"/>
      <c r="W17" s="170" t="n"/>
      <c r="X17" s="170" t="n"/>
    </row>
    <row r="18" ht="13.5" customHeight="1" s="426">
      <c r="A18" s="171" t="n"/>
      <c r="B18" s="75" t="n"/>
      <c r="C18" s="76" t="n"/>
      <c r="D18" s="77" t="inlineStr">
        <is>
          <t>StatusId Does not Existed</t>
        </is>
      </c>
      <c r="E18" s="80" t="n"/>
      <c r="F18" s="148" t="n"/>
      <c r="G18" s="148" t="inlineStr">
        <is>
          <t>O</t>
        </is>
      </c>
      <c r="H18" s="148" t="n"/>
      <c r="I18" s="148" t="n"/>
      <c r="J18" s="148" t="n"/>
      <c r="K18" s="148" t="n"/>
      <c r="L18" s="148" t="n"/>
      <c r="M18" s="148" t="inlineStr">
        <is>
          <t>O</t>
        </is>
      </c>
      <c r="N18" s="148" t="n"/>
      <c r="O18" s="148" t="n"/>
      <c r="P18" s="148" t="n"/>
      <c r="Q18" s="148" t="n"/>
      <c r="R18" s="148" t="n"/>
      <c r="S18" s="148" t="n"/>
      <c r="T18" s="148" t="n"/>
      <c r="U18" s="170" t="n"/>
      <c r="V18" s="170" t="n"/>
      <c r="W18" s="170" t="n"/>
      <c r="X18" s="170" t="n"/>
    </row>
    <row r="19" ht="13.5" customHeight="1" s="426">
      <c r="A19" s="171" t="n"/>
      <c r="B19" s="75" t="inlineStr">
        <is>
          <t xml:space="preserve"> RoomFacilityId</t>
        </is>
      </c>
      <c r="C19" s="76" t="n"/>
      <c r="D19" s="77" t="n"/>
      <c r="E19" s="80" t="n"/>
      <c r="F19" s="148" t="n"/>
      <c r="G19" s="148" t="n"/>
      <c r="H19" s="148" t="n"/>
      <c r="I19" s="148" t="n"/>
      <c r="J19" s="148" t="n"/>
      <c r="K19" s="148" t="n"/>
      <c r="L19" s="148" t="n"/>
      <c r="M19" s="148" t="n"/>
      <c r="N19" s="148" t="n"/>
      <c r="O19" s="148" t="n"/>
      <c r="P19" s="148" t="n"/>
      <c r="Q19" s="148" t="n"/>
      <c r="R19" s="148" t="n"/>
      <c r="S19" s="148" t="n"/>
      <c r="T19" s="276" t="n"/>
      <c r="U19" s="170" t="n"/>
      <c r="V19" s="170" t="n"/>
      <c r="W19" s="170" t="n"/>
      <c r="X19" s="170" t="n"/>
    </row>
    <row r="20" ht="13.5" customHeight="1" s="426">
      <c r="A20" s="171" t="n"/>
      <c r="B20" s="75" t="n"/>
      <c r="C20" s="76" t="n"/>
      <c r="D20" s="77" t="inlineStr">
        <is>
          <t>Guid</t>
        </is>
      </c>
      <c r="E20" s="80" t="n"/>
      <c r="F20" s="148" t="inlineStr">
        <is>
          <t>O</t>
        </is>
      </c>
      <c r="G20" s="148" t="n"/>
      <c r="H20" s="148" t="inlineStr">
        <is>
          <t>O</t>
        </is>
      </c>
      <c r="I20" s="148" t="inlineStr">
        <is>
          <t>O</t>
        </is>
      </c>
      <c r="J20" s="148" t="inlineStr">
        <is>
          <t>O</t>
        </is>
      </c>
      <c r="K20" s="148" t="inlineStr">
        <is>
          <t>O</t>
        </is>
      </c>
      <c r="L20" s="148" t="inlineStr">
        <is>
          <t>O</t>
        </is>
      </c>
      <c r="M20" s="148" t="inlineStr">
        <is>
          <t>O</t>
        </is>
      </c>
      <c r="N20" s="148" t="inlineStr">
        <is>
          <t>O</t>
        </is>
      </c>
      <c r="O20" s="148" t="inlineStr">
        <is>
          <t>O</t>
        </is>
      </c>
      <c r="P20" s="148" t="inlineStr">
        <is>
          <t>O</t>
        </is>
      </c>
      <c r="Q20" s="148" t="inlineStr">
        <is>
          <t>O</t>
        </is>
      </c>
      <c r="R20" s="148" t="inlineStr">
        <is>
          <t>O</t>
        </is>
      </c>
      <c r="S20" s="148" t="inlineStr">
        <is>
          <t>O</t>
        </is>
      </c>
      <c r="T20" s="148" t="inlineStr">
        <is>
          <t>O</t>
        </is>
      </c>
      <c r="U20" s="170" t="n"/>
      <c r="V20" s="170" t="n"/>
      <c r="W20" s="170" t="n"/>
      <c r="X20" s="170" t="n"/>
    </row>
    <row r="21" ht="13.5" customHeight="1" s="426">
      <c r="A21" s="171" t="n"/>
      <c r="B21" s="75" t="n"/>
      <c r="C21" s="76" t="n"/>
      <c r="D21" s="77" t="inlineStr">
        <is>
          <t>null</t>
        </is>
      </c>
      <c r="E21" s="80" t="n"/>
      <c r="F21" s="148" t="n"/>
      <c r="G21" s="148" t="inlineStr">
        <is>
          <t>O</t>
        </is>
      </c>
      <c r="H21" s="148" t="n"/>
      <c r="I21" s="148" t="n"/>
      <c r="J21" s="148" t="n"/>
      <c r="K21" s="148" t="n"/>
      <c r="L21" s="148" t="n"/>
      <c r="M21" s="148" t="n"/>
      <c r="N21" s="148" t="n"/>
      <c r="O21" s="148" t="n"/>
      <c r="P21" s="148" t="n"/>
      <c r="Q21" s="148" t="n"/>
      <c r="R21" s="148" t="n"/>
      <c r="S21" s="148" t="n"/>
      <c r="T21" s="276" t="n"/>
      <c r="U21" s="170" t="n"/>
      <c r="V21" s="170" t="n"/>
      <c r="W21" s="170" t="n"/>
      <c r="X21" s="170" t="n"/>
    </row>
    <row r="22" ht="13.5" customHeight="1" s="426">
      <c r="A22" s="171" t="n"/>
      <c r="B22" s="75" t="inlineStr">
        <is>
          <t>RoomId</t>
        </is>
      </c>
      <c r="C22" s="76" t="n"/>
      <c r="D22" s="77" t="n"/>
      <c r="E22" s="80" t="n"/>
      <c r="F22" s="148" t="n"/>
      <c r="G22" s="148" t="n"/>
      <c r="H22" s="148" t="n"/>
      <c r="I22" s="148" t="n"/>
      <c r="J22" s="148" t="n"/>
      <c r="K22" s="148" t="n"/>
      <c r="L22" s="148" t="n"/>
      <c r="M22" s="148" t="n"/>
      <c r="N22" s="148" t="n"/>
      <c r="O22" s="148" t="n"/>
      <c r="P22" s="148" t="n"/>
      <c r="Q22" s="148" t="n"/>
      <c r="R22" s="148" t="n"/>
      <c r="S22" s="148" t="n"/>
      <c r="T22" s="276" t="n"/>
      <c r="U22" s="170" t="n"/>
      <c r="V22" s="170" t="n"/>
      <c r="W22" s="170" t="n"/>
      <c r="X22" s="170" t="n"/>
    </row>
    <row r="23" ht="13.5" customHeight="1" s="426">
      <c r="A23" s="171" t="n"/>
      <c r="B23" s="75" t="n"/>
      <c r="C23" s="76" t="n"/>
      <c r="D23" s="77" t="inlineStr">
        <is>
          <t>Guid</t>
        </is>
      </c>
      <c r="E23" s="80" t="n"/>
      <c r="F23" s="148" t="inlineStr">
        <is>
          <t>O</t>
        </is>
      </c>
      <c r="G23" s="148" t="n"/>
      <c r="H23" s="148" t="inlineStr">
        <is>
          <t>O</t>
        </is>
      </c>
      <c r="I23" s="148" t="inlineStr">
        <is>
          <t>O</t>
        </is>
      </c>
      <c r="J23" s="148" t="inlineStr">
        <is>
          <t>O</t>
        </is>
      </c>
      <c r="K23" s="148" t="inlineStr">
        <is>
          <t>O</t>
        </is>
      </c>
      <c r="L23" s="148" t="inlineStr">
        <is>
          <t>O</t>
        </is>
      </c>
      <c r="M23" s="148" t="inlineStr">
        <is>
          <t>O</t>
        </is>
      </c>
      <c r="N23" s="148" t="inlineStr">
        <is>
          <t>O</t>
        </is>
      </c>
      <c r="O23" s="148" t="inlineStr">
        <is>
          <t>O</t>
        </is>
      </c>
      <c r="P23" s="148" t="inlineStr">
        <is>
          <t>O</t>
        </is>
      </c>
      <c r="Q23" s="148" t="inlineStr">
        <is>
          <t>O</t>
        </is>
      </c>
      <c r="R23" s="148" t="inlineStr">
        <is>
          <t>O</t>
        </is>
      </c>
      <c r="S23" s="148" t="inlineStr">
        <is>
          <t>O</t>
        </is>
      </c>
      <c r="T23" s="148" t="inlineStr">
        <is>
          <t>O</t>
        </is>
      </c>
      <c r="U23" s="170" t="n"/>
      <c r="V23" s="170" t="n"/>
      <c r="W23" s="170" t="n"/>
      <c r="X23" s="170" t="n"/>
    </row>
    <row r="24" ht="13.5" customHeight="1" s="426">
      <c r="A24" s="171" t="n"/>
      <c r="B24" s="75" t="n"/>
      <c r="C24" s="76" t="n"/>
      <c r="D24" s="77" t="inlineStr">
        <is>
          <t>null</t>
        </is>
      </c>
      <c r="E24" s="80" t="n"/>
      <c r="F24" s="148" t="n"/>
      <c r="G24" s="148" t="inlineStr">
        <is>
          <t>O</t>
        </is>
      </c>
      <c r="H24" s="148" t="n"/>
      <c r="I24" s="148" t="n"/>
      <c r="J24" s="148" t="n"/>
      <c r="K24" s="148" t="n"/>
      <c r="L24" s="148" t="n"/>
      <c r="M24" s="148" t="n"/>
      <c r="N24" s="148" t="n"/>
      <c r="O24" s="148" t="n"/>
      <c r="P24" s="148" t="n"/>
      <c r="Q24" s="148" t="n"/>
      <c r="R24" s="148" t="n"/>
      <c r="S24" s="148" t="n"/>
      <c r="T24" s="276" t="n"/>
      <c r="U24" s="170" t="n"/>
      <c r="V24" s="170" t="n"/>
      <c r="W24" s="170" t="n"/>
      <c r="X24" s="170" t="n"/>
    </row>
    <row r="25" ht="13.5" customHeight="1" s="426">
      <c r="A25" s="171" t="n"/>
      <c r="B25" s="75" t="inlineStr">
        <is>
          <t>FacilityName</t>
        </is>
      </c>
      <c r="C25" s="76" t="n"/>
      <c r="D25" s="77" t="n"/>
      <c r="E25" s="80" t="n"/>
      <c r="F25" s="148" t="n"/>
      <c r="G25" s="148" t="n"/>
      <c r="H25" s="148" t="n"/>
      <c r="I25" s="148" t="n"/>
      <c r="J25" s="148" t="n"/>
      <c r="K25" s="148" t="n"/>
      <c r="L25" s="148" t="n"/>
      <c r="M25" s="148" t="n"/>
      <c r="N25" s="148" t="n"/>
      <c r="O25" s="148" t="n"/>
      <c r="P25" s="148" t="n"/>
      <c r="Q25" s="148" t="n"/>
      <c r="R25" s="148" t="n"/>
      <c r="S25" s="148" t="n"/>
      <c r="T25" s="170" t="n"/>
      <c r="U25" s="170" t="n"/>
      <c r="V25" s="170" t="n"/>
      <c r="W25" s="170" t="n"/>
      <c r="X25" s="170" t="n"/>
    </row>
    <row r="26" ht="13.5" customHeight="1" s="426">
      <c r="A26" s="171" t="n"/>
      <c r="B26" s="75" t="n"/>
      <c r="C26" s="76" t="n"/>
      <c r="D26" s="77" t="inlineStr">
        <is>
          <t>"Updated Projector"</t>
        </is>
      </c>
      <c r="E26" s="80" t="n"/>
      <c r="F26" s="148" t="inlineStr">
        <is>
          <t>O</t>
        </is>
      </c>
      <c r="G26" s="148" t="n"/>
      <c r="H26" s="148" t="inlineStr">
        <is>
          <t>O</t>
        </is>
      </c>
      <c r="I26" s="148" t="n"/>
      <c r="J26" s="148" t="inlineStr">
        <is>
          <t>O</t>
        </is>
      </c>
      <c r="K26" s="148" t="inlineStr">
        <is>
          <t>O</t>
        </is>
      </c>
      <c r="L26" s="148" t="inlineStr">
        <is>
          <t>O</t>
        </is>
      </c>
      <c r="M26" s="148" t="inlineStr">
        <is>
          <t>O</t>
        </is>
      </c>
      <c r="N26" s="148" t="inlineStr">
        <is>
          <t>O</t>
        </is>
      </c>
      <c r="O26" s="148" t="n"/>
      <c r="P26" s="148" t="n"/>
      <c r="Q26" s="148" t="inlineStr">
        <is>
          <t>O</t>
        </is>
      </c>
      <c r="R26" s="148" t="inlineStr">
        <is>
          <t>O</t>
        </is>
      </c>
      <c r="S26" s="148" t="inlineStr">
        <is>
          <t>O</t>
        </is>
      </c>
      <c r="T26" s="148" t="inlineStr">
        <is>
          <t>O</t>
        </is>
      </c>
      <c r="U26" s="170" t="n"/>
      <c r="V26" s="170" t="n"/>
      <c r="W26" s="170" t="n"/>
      <c r="X26" s="170" t="n"/>
    </row>
    <row r="27" ht="13.5" customHeight="1" s="426">
      <c r="A27" s="171" t="n"/>
      <c r="B27" s="75" t="n"/>
      <c r="C27" s="76" t="n"/>
      <c r="D27" s="77" t="inlineStr">
        <is>
          <t>null</t>
        </is>
      </c>
      <c r="E27" s="80" t="n"/>
      <c r="F27" s="148" t="n"/>
      <c r="G27" s="148" t="inlineStr">
        <is>
          <t>O</t>
        </is>
      </c>
      <c r="H27" s="148" t="n"/>
      <c r="I27" s="148" t="inlineStr">
        <is>
          <t>O</t>
        </is>
      </c>
      <c r="J27" s="148" t="n"/>
      <c r="K27" s="148" t="n"/>
      <c r="L27" s="148" t="n"/>
      <c r="M27" s="148" t="n"/>
      <c r="N27" s="148" t="n"/>
      <c r="O27" s="148" t="n"/>
      <c r="P27" s="148" t="n"/>
      <c r="Q27" s="148" t="n"/>
      <c r="R27" s="148" t="n"/>
      <c r="S27" s="148" t="n"/>
      <c r="T27" s="170" t="n"/>
      <c r="U27" s="170" t="n"/>
      <c r="V27" s="170" t="n"/>
      <c r="W27" s="170" t="n"/>
      <c r="X27" s="170" t="n"/>
    </row>
    <row r="28" ht="13.5" customHeight="1" s="426">
      <c r="A28" s="171" t="n"/>
      <c r="B28" s="75" t="n"/>
      <c r="C28" s="76" t="n"/>
      <c r="D28" s="77" t="inlineStr">
        <is>
          <t>50 characters string</t>
        </is>
      </c>
      <c r="E28" s="80" t="n"/>
      <c r="F28" s="148" t="n"/>
      <c r="G28" s="148" t="n"/>
      <c r="H28" s="148" t="n"/>
      <c r="I28" s="148" t="n"/>
      <c r="J28" s="148" t="n"/>
      <c r="K28" s="148" t="n"/>
      <c r="L28" s="148" t="n"/>
      <c r="M28" s="148" t="n"/>
      <c r="N28" s="148" t="n"/>
      <c r="O28" s="148" t="inlineStr">
        <is>
          <t>O</t>
        </is>
      </c>
      <c r="P28" s="148" t="n"/>
      <c r="Q28" s="148" t="n"/>
      <c r="R28" s="148" t="n"/>
      <c r="S28" s="148" t="n"/>
      <c r="T28" s="170" t="n"/>
      <c r="U28" s="170" t="n"/>
      <c r="V28" s="170" t="n"/>
      <c r="W28" s="170" t="n"/>
      <c r="X28" s="170" t="n"/>
    </row>
    <row r="29" ht="13.5" customHeight="1" s="426">
      <c r="A29" s="171" t="n"/>
      <c r="B29" s="75" t="n"/>
      <c r="C29" s="76" t="n"/>
      <c r="D29" s="77" t="inlineStr">
        <is>
          <t>51 characters string</t>
        </is>
      </c>
      <c r="E29" s="80" t="n"/>
      <c r="F29" s="148" t="n"/>
      <c r="G29" s="148" t="n"/>
      <c r="H29" s="148" t="n"/>
      <c r="I29" s="148" t="n"/>
      <c r="J29" s="148" t="n"/>
      <c r="K29" s="148" t="n"/>
      <c r="L29" s="148" t="n"/>
      <c r="M29" s="148" t="n"/>
      <c r="N29" s="148" t="n"/>
      <c r="O29" s="148" t="n"/>
      <c r="P29" s="148" t="inlineStr">
        <is>
          <t>O</t>
        </is>
      </c>
      <c r="Q29" s="148" t="n"/>
      <c r="R29" s="148" t="n"/>
      <c r="S29" s="148" t="n"/>
      <c r="T29" s="170" t="n"/>
      <c r="U29" s="170" t="n"/>
      <c r="V29" s="170" t="n"/>
      <c r="W29" s="170" t="n"/>
      <c r="X29" s="170" t="n"/>
    </row>
    <row r="30" ht="13.5" customHeight="1" s="426">
      <c r="A30" s="171" t="n"/>
      <c r="B30" s="75" t="inlineStr">
        <is>
          <t>TotalQuantity</t>
        </is>
      </c>
      <c r="C30" s="76" t="n"/>
      <c r="D30" s="77" t="n"/>
      <c r="E30" s="80" t="n"/>
      <c r="F30" s="148" t="n"/>
      <c r="G30" s="148" t="n"/>
      <c r="H30" s="148" t="n"/>
      <c r="I30" s="148" t="n"/>
      <c r="J30" s="148" t="n"/>
      <c r="K30" s="148" t="n"/>
      <c r="L30" s="148" t="n"/>
      <c r="M30" s="148" t="n"/>
      <c r="N30" s="148" t="n"/>
      <c r="O30" s="148" t="n"/>
      <c r="P30" s="148" t="n"/>
      <c r="Q30" s="148" t="n"/>
      <c r="R30" s="148" t="n"/>
      <c r="S30" s="148" t="n"/>
      <c r="T30" s="170" t="n"/>
      <c r="U30" s="170" t="n"/>
      <c r="V30" s="170" t="n"/>
      <c r="W30" s="170" t="n"/>
      <c r="X30" s="170" t="n"/>
    </row>
    <row r="31" ht="13.5" customHeight="1" s="426">
      <c r="A31" s="171" t="n"/>
      <c r="B31" s="75" t="n"/>
      <c r="C31" s="76" t="n"/>
      <c r="D31" s="77" t="n">
        <v>5</v>
      </c>
      <c r="E31" s="80" t="n"/>
      <c r="F31" s="148" t="inlineStr">
        <is>
          <t>O</t>
        </is>
      </c>
      <c r="G31" s="148" t="n"/>
      <c r="H31" s="148" t="inlineStr">
        <is>
          <t>O</t>
        </is>
      </c>
      <c r="I31" s="148" t="inlineStr">
        <is>
          <t>O</t>
        </is>
      </c>
      <c r="J31" s="148" t="inlineStr">
        <is>
          <t>O</t>
        </is>
      </c>
      <c r="K31" s="148" t="inlineStr">
        <is>
          <t>O</t>
        </is>
      </c>
      <c r="L31" s="148" t="inlineStr">
        <is>
          <t>O</t>
        </is>
      </c>
      <c r="M31" s="148" t="inlineStr">
        <is>
          <t>O</t>
        </is>
      </c>
      <c r="N31" s="148" t="inlineStr">
        <is>
          <t>O</t>
        </is>
      </c>
      <c r="O31" s="148" t="inlineStr">
        <is>
          <t>O</t>
        </is>
      </c>
      <c r="P31" s="148" t="inlineStr">
        <is>
          <t>O</t>
        </is>
      </c>
      <c r="Q31" s="148" t="inlineStr">
        <is>
          <t>O</t>
        </is>
      </c>
      <c r="R31" s="148" t="inlineStr">
        <is>
          <t>O</t>
        </is>
      </c>
      <c r="S31" s="148" t="inlineStr">
        <is>
          <t>O</t>
        </is>
      </c>
      <c r="T31" s="148" t="inlineStr">
        <is>
          <t>O</t>
        </is>
      </c>
      <c r="U31" s="170" t="n"/>
      <c r="V31" s="170" t="n"/>
      <c r="W31" s="170" t="n"/>
      <c r="X31" s="170" t="n"/>
    </row>
    <row r="32" ht="13.5" customHeight="1" s="426">
      <c r="A32" s="171" t="n"/>
      <c r="B32" s="75" t="n"/>
      <c r="C32" s="76" t="n"/>
      <c r="D32" s="77" t="inlineStr">
        <is>
          <t>null</t>
        </is>
      </c>
      <c r="E32" s="80" t="n"/>
      <c r="F32" s="148" t="n"/>
      <c r="G32" s="148" t="inlineStr">
        <is>
          <t>O</t>
        </is>
      </c>
      <c r="H32" s="148" t="n"/>
      <c r="I32" s="148" t="n"/>
      <c r="J32" s="148" t="n"/>
      <c r="K32" s="148" t="n"/>
      <c r="L32" s="148" t="n"/>
      <c r="M32" s="148" t="n"/>
      <c r="N32" s="148" t="n"/>
      <c r="O32" s="148" t="n"/>
      <c r="P32" s="148" t="n"/>
      <c r="Q32" s="148" t="n"/>
      <c r="R32" s="148" t="n"/>
      <c r="S32" s="148" t="n"/>
      <c r="T32" s="170" t="n"/>
      <c r="U32" s="170" t="n"/>
      <c r="V32" s="170" t="n"/>
      <c r="W32" s="170" t="n"/>
      <c r="X32" s="170" t="n"/>
    </row>
    <row r="33" ht="13.5" customHeight="1" s="426">
      <c r="A33" s="171" t="n"/>
      <c r="B33" s="75" t="inlineStr">
        <is>
          <t>AvailableQuantity</t>
        </is>
      </c>
      <c r="C33" s="76" t="n"/>
      <c r="D33" s="77" t="n"/>
      <c r="E33" s="80" t="n"/>
      <c r="F33" s="148" t="n"/>
      <c r="G33" s="148" t="n"/>
      <c r="H33" s="148" t="n"/>
      <c r="I33" s="148" t="n"/>
      <c r="J33" s="148" t="n"/>
      <c r="K33" s="148" t="n"/>
      <c r="L33" s="148" t="n"/>
      <c r="M33" s="148" t="n"/>
      <c r="N33" s="148" t="n"/>
      <c r="O33" s="148" t="n"/>
      <c r="P33" s="148" t="n"/>
      <c r="Q33" s="148" t="n"/>
      <c r="R33" s="148" t="n"/>
      <c r="S33" s="148" t="n"/>
      <c r="T33" s="170" t="n"/>
      <c r="U33" s="170" t="n"/>
      <c r="V33" s="170" t="n"/>
      <c r="W33" s="170" t="n"/>
      <c r="X33" s="170" t="n"/>
    </row>
    <row r="34" ht="13.5" customHeight="1" s="426">
      <c r="A34" s="171" t="n"/>
      <c r="B34" s="75" t="n"/>
      <c r="C34" s="76" t="n"/>
      <c r="D34" s="77" t="n">
        <v>3</v>
      </c>
      <c r="E34" s="80" t="n"/>
      <c r="F34" s="148" t="inlineStr">
        <is>
          <t>O</t>
        </is>
      </c>
      <c r="G34" s="148" t="n"/>
      <c r="H34" s="148" t="inlineStr">
        <is>
          <t>O</t>
        </is>
      </c>
      <c r="I34" s="148" t="inlineStr">
        <is>
          <t>O</t>
        </is>
      </c>
      <c r="J34" s="148" t="inlineStr">
        <is>
          <t>O</t>
        </is>
      </c>
      <c r="K34" s="148" t="inlineStr">
        <is>
          <t>O</t>
        </is>
      </c>
      <c r="L34" s="148" t="inlineStr">
        <is>
          <t>O</t>
        </is>
      </c>
      <c r="M34" s="148" t="inlineStr">
        <is>
          <t>O</t>
        </is>
      </c>
      <c r="N34" s="148" t="inlineStr">
        <is>
          <t>O</t>
        </is>
      </c>
      <c r="O34" s="148" t="inlineStr">
        <is>
          <t>O</t>
        </is>
      </c>
      <c r="P34" s="148" t="inlineStr">
        <is>
          <t>O</t>
        </is>
      </c>
      <c r="Q34" s="148" t="inlineStr">
        <is>
          <t>O</t>
        </is>
      </c>
      <c r="R34" s="148" t="inlineStr">
        <is>
          <t>O</t>
        </is>
      </c>
      <c r="S34" s="148" t="inlineStr">
        <is>
          <t>O</t>
        </is>
      </c>
      <c r="T34" s="148" t="inlineStr">
        <is>
          <t>O</t>
        </is>
      </c>
      <c r="U34" s="170" t="n"/>
      <c r="V34" s="170" t="n"/>
      <c r="W34" s="170" t="n"/>
      <c r="X34" s="170" t="n"/>
    </row>
    <row r="35" ht="13.5" customHeight="1" s="426">
      <c r="A35" s="171" t="n"/>
      <c r="B35" s="75" t="n"/>
      <c r="C35" s="76" t="n"/>
      <c r="D35" s="77" t="inlineStr">
        <is>
          <t>null</t>
        </is>
      </c>
      <c r="E35" s="80" t="n"/>
      <c r="F35" s="148" t="n"/>
      <c r="G35" s="148" t="inlineStr">
        <is>
          <t>O</t>
        </is>
      </c>
      <c r="H35" s="148" t="n"/>
      <c r="I35" s="148" t="n"/>
      <c r="J35" s="148" t="n"/>
      <c r="K35" s="148" t="n"/>
      <c r="L35" s="148" t="n"/>
      <c r="M35" s="148" t="n"/>
      <c r="N35" s="148" t="n"/>
      <c r="O35" s="148" t="n"/>
      <c r="P35" s="148" t="n"/>
      <c r="Q35" s="148" t="n"/>
      <c r="R35" s="148" t="n"/>
      <c r="S35" s="148" t="n"/>
      <c r="T35" s="170" t="n"/>
      <c r="U35" s="170" t="n"/>
      <c r="V35" s="170" t="n"/>
      <c r="W35" s="170" t="n"/>
      <c r="X35" s="170" t="n"/>
    </row>
    <row r="36" ht="13.5" customHeight="1" s="426">
      <c r="A36" s="171" t="n"/>
      <c r="B36" s="75" t="inlineStr">
        <is>
          <t>UnitOfMeasure</t>
        </is>
      </c>
      <c r="C36" s="76" t="n"/>
      <c r="D36" s="77" t="n"/>
      <c r="E36" s="80" t="n"/>
      <c r="F36" s="148" t="n"/>
      <c r="G36" s="148" t="n"/>
      <c r="H36" s="148" t="n"/>
      <c r="I36" s="148" t="n"/>
      <c r="J36" s="148" t="n"/>
      <c r="K36" s="148" t="n"/>
      <c r="L36" s="148" t="n"/>
      <c r="M36" s="148" t="n"/>
      <c r="N36" s="148" t="n"/>
      <c r="O36" s="148" t="n"/>
      <c r="P36" s="148" t="n"/>
      <c r="Q36" s="148" t="n"/>
      <c r="R36" s="148" t="n"/>
      <c r="S36" s="148" t="n"/>
      <c r="T36" s="170" t="n"/>
      <c r="U36" s="170" t="n"/>
      <c r="V36" s="170" t="n"/>
      <c r="W36" s="170" t="n"/>
      <c r="X36" s="170" t="n"/>
    </row>
    <row r="37" ht="13.5" customHeight="1" s="426">
      <c r="A37" s="171" t="n"/>
      <c r="B37" s="75" t="n"/>
      <c r="C37" s="76" t="n"/>
      <c r="D37" s="77" t="inlineStr">
        <is>
          <t>"pcs"</t>
        </is>
      </c>
      <c r="E37" s="80" t="n"/>
      <c r="F37" s="148" t="inlineStr">
        <is>
          <t>O</t>
        </is>
      </c>
      <c r="G37" s="148" t="n"/>
      <c r="H37" s="148" t="inlineStr">
        <is>
          <t>O</t>
        </is>
      </c>
      <c r="I37" s="148" t="inlineStr">
        <is>
          <t>O</t>
        </is>
      </c>
      <c r="J37" s="148" t="n"/>
      <c r="K37" s="148" t="inlineStr">
        <is>
          <t>O</t>
        </is>
      </c>
      <c r="L37" s="148" t="inlineStr">
        <is>
          <t>O</t>
        </is>
      </c>
      <c r="M37" s="148" t="inlineStr">
        <is>
          <t>O</t>
        </is>
      </c>
      <c r="N37" s="148" t="inlineStr">
        <is>
          <t>O</t>
        </is>
      </c>
      <c r="O37" s="148" t="inlineStr">
        <is>
          <t>O</t>
        </is>
      </c>
      <c r="P37" s="148" t="inlineStr">
        <is>
          <t>O</t>
        </is>
      </c>
      <c r="Q37" s="148" t="n"/>
      <c r="R37" s="148" t="n"/>
      <c r="S37" s="148" t="inlineStr">
        <is>
          <t>O</t>
        </is>
      </c>
      <c r="T37" s="148" t="inlineStr">
        <is>
          <t>O</t>
        </is>
      </c>
      <c r="U37" s="170" t="n"/>
      <c r="V37" s="170" t="n"/>
      <c r="W37" s="170" t="n"/>
      <c r="X37" s="170" t="n"/>
    </row>
    <row r="38" ht="13.5" customHeight="1" s="426">
      <c r="A38" s="171" t="n"/>
      <c r="B38" s="75" t="n"/>
      <c r="C38" s="76" t="n"/>
      <c r="D38" s="77" t="inlineStr">
        <is>
          <t>null</t>
        </is>
      </c>
      <c r="E38" s="80" t="n"/>
      <c r="F38" s="148" t="n"/>
      <c r="G38" s="148" t="inlineStr">
        <is>
          <t>O</t>
        </is>
      </c>
      <c r="H38" s="148" t="n"/>
      <c r="I38" s="148" t="n"/>
      <c r="J38" s="148" t="inlineStr">
        <is>
          <t>O</t>
        </is>
      </c>
      <c r="K38" s="148" t="n"/>
      <c r="L38" s="148" t="n"/>
      <c r="M38" s="148" t="n"/>
      <c r="N38" s="148" t="n"/>
      <c r="O38" s="148" t="n"/>
      <c r="P38" s="148" t="n"/>
      <c r="Q38" s="148" t="n"/>
      <c r="R38" s="148" t="n"/>
      <c r="S38" s="148" t="n"/>
      <c r="T38" s="170" t="n"/>
      <c r="U38" s="170" t="n"/>
      <c r="V38" s="170" t="n"/>
      <c r="W38" s="170" t="n"/>
      <c r="X38" s="170" t="n"/>
    </row>
    <row r="39" ht="13.5" customHeight="1" s="426">
      <c r="A39" s="171" t="n"/>
      <c r="B39" s="75" t="n"/>
      <c r="C39" s="76" t="n"/>
      <c r="D39" s="77" t="inlineStr">
        <is>
          <t>20 characters string</t>
        </is>
      </c>
      <c r="E39" s="80" t="n"/>
      <c r="F39" s="148" t="n"/>
      <c r="G39" s="148" t="n"/>
      <c r="H39" s="148" t="n"/>
      <c r="I39" s="148" t="n"/>
      <c r="J39" s="148" t="n"/>
      <c r="K39" s="148" t="n"/>
      <c r="L39" s="148" t="n"/>
      <c r="M39" s="148" t="n"/>
      <c r="N39" s="148" t="n"/>
      <c r="O39" s="148" t="n"/>
      <c r="P39" s="148" t="n"/>
      <c r="Q39" s="148" t="inlineStr">
        <is>
          <t>O</t>
        </is>
      </c>
      <c r="R39" s="148" t="n"/>
      <c r="S39" s="148" t="n"/>
      <c r="T39" s="170" t="n"/>
      <c r="U39" s="170" t="n"/>
      <c r="V39" s="170" t="n"/>
      <c r="W39" s="170" t="n"/>
      <c r="X39" s="170" t="n"/>
    </row>
    <row r="40" ht="13.5" customHeight="1" s="426">
      <c r="A40" s="171" t="n"/>
      <c r="B40" s="75" t="n"/>
      <c r="C40" s="76" t="n"/>
      <c r="D40" s="77" t="inlineStr">
        <is>
          <t>21 characters string</t>
        </is>
      </c>
      <c r="E40" s="80" t="n"/>
      <c r="F40" s="148" t="n"/>
      <c r="G40" s="148" t="n"/>
      <c r="H40" s="148" t="n"/>
      <c r="I40" s="148" t="n"/>
      <c r="J40" s="148" t="n"/>
      <c r="K40" s="148" t="n"/>
      <c r="L40" s="148" t="n"/>
      <c r="M40" s="148" t="n"/>
      <c r="N40" s="148" t="n"/>
      <c r="O40" s="148" t="n"/>
      <c r="P40" s="148" t="n"/>
      <c r="Q40" s="148" t="n"/>
      <c r="R40" s="148" t="inlineStr">
        <is>
          <t>O</t>
        </is>
      </c>
      <c r="S40" s="148" t="n"/>
      <c r="T40" s="170" t="n"/>
      <c r="U40" s="170" t="n"/>
      <c r="V40" s="170" t="n"/>
      <c r="W40" s="170" t="n"/>
      <c r="X40" s="170" t="n"/>
    </row>
    <row r="41" ht="13.5" customHeight="1" s="426">
      <c r="A41" s="171" t="n"/>
      <c r="B41" s="75" t="inlineStr">
        <is>
          <t>Description</t>
        </is>
      </c>
      <c r="C41" s="76" t="n"/>
      <c r="D41" s="77" t="n"/>
      <c r="E41" s="80" t="n"/>
      <c r="F41" s="148" t="n"/>
      <c r="G41" s="148" t="n"/>
      <c r="H41" s="148" t="n"/>
      <c r="I41" s="148" t="n"/>
      <c r="J41" s="148" t="n"/>
      <c r="K41" s="148" t="n"/>
      <c r="L41" s="148" t="n"/>
      <c r="M41" s="148" t="n"/>
      <c r="N41" s="148" t="n"/>
      <c r="O41" s="148" t="n"/>
      <c r="P41" s="148" t="n"/>
      <c r="Q41" s="148" t="n"/>
      <c r="R41" s="148" t="n"/>
      <c r="S41" s="148" t="n"/>
      <c r="T41" s="170" t="n"/>
      <c r="U41" s="170" t="n"/>
      <c r="V41" s="170" t="n"/>
      <c r="W41" s="170" t="n"/>
      <c r="X41" s="170" t="n"/>
    </row>
    <row r="42" ht="13.5" customHeight="1" s="426">
      <c r="A42" s="171" t="n"/>
      <c r="B42" s="75" t="n"/>
      <c r="C42" s="76" t="n"/>
      <c r="D42" s="77" t="inlineStr">
        <is>
          <t>"Updated description"</t>
        </is>
      </c>
      <c r="E42" s="80" t="n"/>
      <c r="F42" s="148" t="inlineStr">
        <is>
          <t>O</t>
        </is>
      </c>
      <c r="G42" s="148" t="n"/>
      <c r="H42" s="148" t="inlineStr">
        <is>
          <t>O</t>
        </is>
      </c>
      <c r="I42" s="148" t="inlineStr">
        <is>
          <t>O</t>
        </is>
      </c>
      <c r="J42" s="148" t="inlineStr">
        <is>
          <t>O</t>
        </is>
      </c>
      <c r="K42" s="148" t="n"/>
      <c r="L42" s="148" t="inlineStr">
        <is>
          <t>O</t>
        </is>
      </c>
      <c r="M42" s="148" t="inlineStr">
        <is>
          <t>O</t>
        </is>
      </c>
      <c r="N42" s="148" t="inlineStr">
        <is>
          <t>O</t>
        </is>
      </c>
      <c r="O42" s="148" t="inlineStr">
        <is>
          <t>O</t>
        </is>
      </c>
      <c r="P42" s="148" t="inlineStr">
        <is>
          <t>O</t>
        </is>
      </c>
      <c r="Q42" s="148" t="inlineStr">
        <is>
          <t>O</t>
        </is>
      </c>
      <c r="R42" s="148" t="inlineStr">
        <is>
          <t>O</t>
        </is>
      </c>
      <c r="S42" s="148" t="n"/>
      <c r="T42" s="148" t="n"/>
      <c r="U42" s="170" t="n"/>
      <c r="V42" s="170" t="n"/>
      <c r="W42" s="170" t="n"/>
      <c r="X42" s="170" t="n"/>
    </row>
    <row r="43" ht="13.5" customHeight="1" s="426">
      <c r="A43" s="171" t="n"/>
      <c r="B43" s="75" t="n"/>
      <c r="C43" s="76" t="n"/>
      <c r="D43" s="77" t="inlineStr">
        <is>
          <t>null</t>
        </is>
      </c>
      <c r="E43" s="80" t="n"/>
      <c r="F43" s="148" t="n"/>
      <c r="G43" s="148" t="inlineStr">
        <is>
          <t>O</t>
        </is>
      </c>
      <c r="H43" s="148" t="n"/>
      <c r="I43" s="148" t="n"/>
      <c r="J43" s="148" t="n"/>
      <c r="K43" s="148" t="inlineStr">
        <is>
          <t>O</t>
        </is>
      </c>
      <c r="L43" s="148" t="n"/>
      <c r="M43" s="148" t="n"/>
      <c r="N43" s="148" t="n"/>
      <c r="O43" s="148" t="n"/>
      <c r="P43" s="148" t="n"/>
      <c r="Q43" s="148" t="n"/>
      <c r="R43" s="148" t="n"/>
      <c r="S43" s="148" t="n"/>
      <c r="T43" s="170" t="n"/>
      <c r="U43" s="170" t="n"/>
      <c r="V43" s="170" t="n"/>
      <c r="W43" s="170" t="n"/>
      <c r="X43" s="170" t="n"/>
    </row>
    <row r="44" ht="13.5" customHeight="1" s="426">
      <c r="A44" s="171" t="n"/>
      <c r="B44" s="75" t="n"/>
      <c r="C44" s="76" t="n"/>
      <c r="D44" s="77" t="inlineStr">
        <is>
          <t>50 characters string</t>
        </is>
      </c>
      <c r="E44" s="80" t="n"/>
      <c r="F44" s="148" t="n"/>
      <c r="G44" s="148" t="n"/>
      <c r="H44" s="148" t="n"/>
      <c r="I44" s="148" t="n"/>
      <c r="J44" s="148" t="n"/>
      <c r="K44" s="148" t="n"/>
      <c r="L44" s="148" t="n"/>
      <c r="M44" s="148" t="n"/>
      <c r="N44" s="148" t="n"/>
      <c r="O44" s="148" t="n"/>
      <c r="P44" s="148" t="n"/>
      <c r="Q44" s="148" t="n"/>
      <c r="R44" s="148" t="n"/>
      <c r="S44" s="148" t="inlineStr">
        <is>
          <t>O</t>
        </is>
      </c>
      <c r="T44" s="170" t="n"/>
      <c r="U44" s="170" t="n"/>
      <c r="V44" s="170" t="n"/>
      <c r="W44" s="170" t="n"/>
      <c r="X44" s="170" t="n"/>
    </row>
    <row r="45" ht="13.5" customHeight="1" s="426">
      <c r="A45" s="171" t="n"/>
      <c r="B45" s="75" t="n"/>
      <c r="C45" s="76" t="n"/>
      <c r="D45" s="77" t="inlineStr">
        <is>
          <t>51 characters string</t>
        </is>
      </c>
      <c r="E45" s="80" t="n"/>
      <c r="F45" s="148" t="n"/>
      <c r="G45" s="148" t="n"/>
      <c r="H45" s="148" t="n"/>
      <c r="I45" s="148" t="n"/>
      <c r="J45" s="148" t="n"/>
      <c r="K45" s="148" t="n"/>
      <c r="L45" s="148" t="n"/>
      <c r="M45" s="148" t="n"/>
      <c r="N45" s="148" t="n"/>
      <c r="O45" s="148" t="n"/>
      <c r="P45" s="148" t="n"/>
      <c r="Q45" s="148" t="n"/>
      <c r="R45" s="148" t="n"/>
      <c r="S45" s="148" t="n"/>
      <c r="T45" s="148" t="inlineStr">
        <is>
          <t>O</t>
        </is>
      </c>
      <c r="U45" s="170" t="n"/>
      <c r="V45" s="170" t="n"/>
      <c r="W45" s="170" t="n"/>
      <c r="X45" s="170" t="n"/>
    </row>
    <row r="46" ht="13.5" customHeight="1" s="426">
      <c r="A46" s="171" t="n"/>
      <c r="B46" s="75" t="inlineStr">
        <is>
          <t>StatusId</t>
        </is>
      </c>
      <c r="C46" s="76" t="n"/>
      <c r="D46" s="77" t="n"/>
      <c r="E46" s="80" t="n"/>
      <c r="F46" s="148" t="n"/>
      <c r="G46" s="148" t="n"/>
      <c r="H46" s="148" t="n"/>
      <c r="I46" s="148" t="n"/>
      <c r="J46" s="148" t="n"/>
      <c r="K46" s="148" t="n"/>
      <c r="L46" s="148" t="n"/>
      <c r="M46" s="148" t="n"/>
      <c r="N46" s="148" t="n"/>
      <c r="O46" s="148" t="n"/>
      <c r="P46" s="148" t="n"/>
      <c r="Q46" s="148" t="n"/>
      <c r="R46" s="148" t="n"/>
      <c r="S46" s="148" t="n"/>
      <c r="T46" s="170" t="n"/>
      <c r="U46" s="170" t="n"/>
      <c r="V46" s="170" t="n"/>
      <c r="W46" s="170" t="n"/>
      <c r="X46" s="170" t="n"/>
    </row>
    <row r="47" ht="13.5" customHeight="1" s="426">
      <c r="A47" s="171" t="n"/>
      <c r="B47" s="75" t="n"/>
      <c r="C47" s="76" t="n"/>
      <c r="D47" s="77" t="n">
        <v>1</v>
      </c>
      <c r="E47" s="80" t="n"/>
      <c r="F47" s="148" t="inlineStr">
        <is>
          <t>O</t>
        </is>
      </c>
      <c r="G47" s="148" t="n"/>
      <c r="H47" s="148" t="inlineStr">
        <is>
          <t>O</t>
        </is>
      </c>
      <c r="I47" s="148" t="inlineStr">
        <is>
          <t>O</t>
        </is>
      </c>
      <c r="J47" s="148" t="inlineStr">
        <is>
          <t>O</t>
        </is>
      </c>
      <c r="K47" s="148" t="inlineStr">
        <is>
          <t>O</t>
        </is>
      </c>
      <c r="L47" s="148" t="inlineStr">
        <is>
          <t>O</t>
        </is>
      </c>
      <c r="M47" s="148" t="n"/>
      <c r="N47" s="148" t="inlineStr">
        <is>
          <t>O</t>
        </is>
      </c>
      <c r="O47" s="148" t="inlineStr">
        <is>
          <t>O</t>
        </is>
      </c>
      <c r="P47" s="148" t="inlineStr">
        <is>
          <t>O</t>
        </is>
      </c>
      <c r="Q47" s="148" t="inlineStr">
        <is>
          <t>O</t>
        </is>
      </c>
      <c r="R47" s="148" t="inlineStr">
        <is>
          <t>O</t>
        </is>
      </c>
      <c r="S47" s="148" t="inlineStr">
        <is>
          <t>O</t>
        </is>
      </c>
      <c r="T47" s="148" t="inlineStr">
        <is>
          <t>O</t>
        </is>
      </c>
      <c r="U47" s="170" t="n"/>
      <c r="V47" s="170" t="n"/>
      <c r="W47" s="170" t="n"/>
      <c r="X47" s="170" t="n"/>
    </row>
    <row r="48" ht="13.5" customHeight="1" s="426">
      <c r="A48" s="171" t="n"/>
      <c r="B48" s="75" t="n"/>
      <c r="C48" s="76" t="n"/>
      <c r="D48" s="77" t="n">
        <v>9999</v>
      </c>
      <c r="E48" s="80" t="n"/>
      <c r="F48" s="148" t="n"/>
      <c r="G48" s="148" t="n"/>
      <c r="H48" s="148" t="n"/>
      <c r="I48" s="148" t="n"/>
      <c r="J48" s="148" t="n"/>
      <c r="K48" s="148" t="n"/>
      <c r="L48" s="148" t="n"/>
      <c r="M48" s="148" t="inlineStr">
        <is>
          <t>O</t>
        </is>
      </c>
      <c r="N48" s="148" t="n"/>
      <c r="O48" s="148" t="n"/>
      <c r="P48" s="148" t="n"/>
      <c r="Q48" s="148" t="n"/>
      <c r="R48" s="148" t="n"/>
      <c r="S48" s="148" t="n"/>
      <c r="T48" s="148" t="n"/>
      <c r="U48" s="170" t="n"/>
      <c r="V48" s="170" t="n"/>
      <c r="W48" s="170" t="n"/>
      <c r="X48" s="170" t="n"/>
    </row>
    <row r="49" ht="13.5" customHeight="1" s="426" thickBot="1">
      <c r="A49" s="171" t="n"/>
      <c r="B49" s="75" t="n"/>
      <c r="C49" s="76" t="n"/>
      <c r="D49" s="77" t="inlineStr">
        <is>
          <t>null</t>
        </is>
      </c>
      <c r="E49" s="80" t="n"/>
      <c r="F49" s="148" t="n"/>
      <c r="G49" s="148" t="inlineStr">
        <is>
          <t>O</t>
        </is>
      </c>
      <c r="H49" s="148" t="n"/>
      <c r="I49" s="148" t="n"/>
      <c r="J49" s="148" t="n"/>
      <c r="K49" s="148" t="n"/>
      <c r="L49" s="148" t="n"/>
      <c r="M49" s="148" t="n"/>
      <c r="N49" s="148" t="n"/>
      <c r="O49" s="148" t="n"/>
      <c r="P49" s="148" t="n"/>
      <c r="Q49" s="148" t="n"/>
      <c r="R49" s="148" t="n"/>
      <c r="S49" s="148" t="n"/>
      <c r="T49" s="170" t="n"/>
      <c r="U49" s="170" t="n"/>
      <c r="V49" s="170" t="n"/>
      <c r="W49" s="170" t="n"/>
      <c r="X49" s="170" t="n"/>
    </row>
    <row r="50" ht="13.5" customHeight="1" s="426">
      <c r="A50" s="182" t="inlineStr">
        <is>
          <t>Confirm</t>
        </is>
      </c>
      <c r="B50" s="208" t="inlineStr">
        <is>
          <t>Return</t>
        </is>
      </c>
      <c r="C50" s="239" t="n"/>
      <c r="D50" s="210" t="n"/>
      <c r="E50" s="86" t="n"/>
      <c r="F50" s="87" t="n"/>
      <c r="G50" s="87" t="n"/>
      <c r="H50" s="87" t="n"/>
      <c r="I50" s="87" t="n"/>
      <c r="J50" s="87" t="n"/>
      <c r="K50" s="87" t="n"/>
      <c r="L50" s="87" t="n"/>
      <c r="M50" s="87" t="n"/>
      <c r="N50" s="87" t="n"/>
      <c r="O50" s="87" t="n"/>
      <c r="P50" s="87" t="n"/>
      <c r="Q50" s="87" t="n"/>
      <c r="R50" s="87" t="n"/>
      <c r="S50" s="87" t="n"/>
      <c r="T50" s="196" t="n"/>
      <c r="U50" s="196" t="n"/>
      <c r="V50" s="196" t="n"/>
      <c r="W50" s="196" t="n"/>
      <c r="X50" s="196" t="n"/>
    </row>
    <row r="51" ht="13.5" customHeight="1" s="426">
      <c r="A51" s="181" t="n"/>
      <c r="B51" s="208" t="n"/>
      <c r="C51" s="239" t="n"/>
      <c r="D51" s="210" t="inlineStr">
        <is>
          <t>T</t>
        </is>
      </c>
      <c r="E51" s="86" t="n"/>
      <c r="F51" s="148" t="inlineStr">
        <is>
          <t>O</t>
        </is>
      </c>
      <c r="G51" s="87" t="n"/>
      <c r="H51" s="87" t="n"/>
      <c r="I51" s="87" t="n"/>
      <c r="J51" s="87" t="n"/>
      <c r="K51" s="87" t="n"/>
      <c r="L51" s="87" t="n"/>
      <c r="M51" s="148" t="n"/>
      <c r="N51" s="87" t="n"/>
      <c r="O51" s="148" t="inlineStr">
        <is>
          <t>O</t>
        </is>
      </c>
      <c r="P51" s="87" t="n"/>
      <c r="Q51" s="148" t="inlineStr">
        <is>
          <t>O</t>
        </is>
      </c>
      <c r="R51" s="87" t="n"/>
      <c r="S51" s="148" t="inlineStr">
        <is>
          <t>O</t>
        </is>
      </c>
      <c r="T51" s="196" t="n"/>
      <c r="U51" s="196" t="n"/>
      <c r="V51" s="196" t="n"/>
      <c r="W51" s="196" t="n"/>
      <c r="X51" s="196" t="n"/>
    </row>
    <row r="52" ht="13.5" customHeight="1" s="426">
      <c r="A52" s="181" t="n"/>
      <c r="B52" s="126" t="n"/>
      <c r="C52" s="89" t="n"/>
      <c r="D52" s="90" t="inlineStr">
        <is>
          <t>F</t>
        </is>
      </c>
      <c r="E52" s="91" t="n"/>
      <c r="F52" s="79" t="n"/>
      <c r="G52" s="148" t="inlineStr">
        <is>
          <t>O</t>
        </is>
      </c>
      <c r="H52" s="148" t="inlineStr">
        <is>
          <t>O</t>
        </is>
      </c>
      <c r="I52" s="148" t="inlineStr">
        <is>
          <t>O</t>
        </is>
      </c>
      <c r="J52" s="148" t="inlineStr">
        <is>
          <t>O</t>
        </is>
      </c>
      <c r="K52" s="148" t="inlineStr">
        <is>
          <t>O</t>
        </is>
      </c>
      <c r="L52" s="148" t="inlineStr">
        <is>
          <t>O</t>
        </is>
      </c>
      <c r="M52" s="148" t="inlineStr">
        <is>
          <t>O</t>
        </is>
      </c>
      <c r="N52" s="148" t="inlineStr">
        <is>
          <t>O</t>
        </is>
      </c>
      <c r="O52" s="148" t="n"/>
      <c r="P52" s="148" t="inlineStr">
        <is>
          <t>O</t>
        </is>
      </c>
      <c r="Q52" s="79" t="n"/>
      <c r="R52" s="148" t="inlineStr">
        <is>
          <t>O</t>
        </is>
      </c>
      <c r="S52" s="148" t="n"/>
      <c r="T52" s="148" t="inlineStr">
        <is>
          <t>O</t>
        </is>
      </c>
      <c r="U52" s="195" t="n"/>
      <c r="V52" s="195" t="n"/>
      <c r="W52" s="195" t="n"/>
      <c r="X52" s="195" t="n"/>
    </row>
    <row r="53" ht="13.5" customHeight="1" s="426">
      <c r="A53" s="181" t="n"/>
      <c r="B53" s="116" t="inlineStr">
        <is>
          <t>Exception</t>
        </is>
      </c>
      <c r="C53" s="120" t="n"/>
      <c r="D53" s="118" t="n"/>
      <c r="E53" s="91" t="n"/>
      <c r="F53" s="79" t="n"/>
      <c r="G53" s="79" t="n"/>
      <c r="H53" s="79" t="n"/>
      <c r="I53" s="79" t="n"/>
      <c r="J53" s="79" t="n"/>
      <c r="K53" s="79" t="n"/>
      <c r="L53" s="79" t="n"/>
      <c r="M53" s="79" t="n"/>
      <c r="N53" s="79" t="n"/>
      <c r="O53" s="79" t="n"/>
      <c r="P53" s="79" t="n"/>
      <c r="Q53" s="79" t="n"/>
      <c r="R53" s="79" t="n"/>
      <c r="S53" s="79" t="n"/>
      <c r="T53" s="195" t="n"/>
      <c r="U53" s="195" t="n"/>
      <c r="V53" s="195" t="n"/>
      <c r="W53" s="195" t="n"/>
      <c r="X53" s="195" t="n"/>
    </row>
    <row r="54" ht="13.5" customHeight="1" s="426">
      <c r="A54" s="181" t="n"/>
      <c r="B54" s="116" t="n"/>
      <c r="C54" s="120" t="n"/>
      <c r="D54" s="118" t="inlineStr">
        <is>
          <t>InvalidOperationException</t>
        </is>
      </c>
      <c r="E54" s="91" t="n"/>
      <c r="F54" s="79" t="n"/>
      <c r="G54" s="79" t="n"/>
      <c r="H54" s="79" t="n"/>
      <c r="I54" s="148" t="n"/>
      <c r="J54" s="79" t="n"/>
      <c r="K54" s="148" t="n"/>
      <c r="L54" s="79" t="n"/>
      <c r="M54" s="79" t="n"/>
      <c r="N54" s="79" t="n"/>
      <c r="O54" s="79" t="n"/>
      <c r="P54" s="79" t="n"/>
      <c r="Q54" s="79" t="n"/>
      <c r="R54" s="79" t="n"/>
      <c r="S54" s="79" t="n"/>
      <c r="T54" s="195" t="n"/>
      <c r="U54" s="195" t="n"/>
      <c r="V54" s="195" t="n"/>
      <c r="W54" s="195" t="n"/>
      <c r="X54" s="195" t="n"/>
    </row>
    <row r="55" ht="13.5" customHeight="1" s="426">
      <c r="A55" s="181" t="n"/>
      <c r="B55" s="88" t="inlineStr">
        <is>
          <t>Log message</t>
        </is>
      </c>
      <c r="C55" s="89" t="n"/>
      <c r="D55" s="90" t="n"/>
      <c r="E55" s="91" t="n"/>
      <c r="F55" s="79" t="n"/>
      <c r="G55" s="79" t="n"/>
      <c r="H55" s="79" t="n"/>
      <c r="I55" s="79" t="n"/>
      <c r="J55" s="79" t="n"/>
      <c r="K55" s="79" t="n"/>
      <c r="L55" s="79" t="n"/>
      <c r="M55" s="79" t="n"/>
      <c r="N55" s="79" t="n"/>
      <c r="O55" s="79" t="n"/>
      <c r="P55" s="79" t="n"/>
      <c r="Q55" s="79" t="n"/>
      <c r="R55" s="79" t="n"/>
      <c r="S55" s="79" t="n"/>
      <c r="T55" s="195" t="n"/>
      <c r="U55" s="195" t="n"/>
      <c r="V55" s="195" t="n"/>
      <c r="W55" s="195" t="n"/>
      <c r="X55" s="195" t="n"/>
    </row>
    <row r="56" ht="13.5" customHeight="1" s="426">
      <c r="A56" s="181" t="n"/>
      <c r="B56" s="88" t="n"/>
      <c r="C56" s="89" t="n"/>
      <c r="D56" s="90" t="inlineStr">
        <is>
          <t>"Expected UpdateRoomFacility to return true for a valid room facility."</t>
        </is>
      </c>
      <c r="E56" s="91" t="n"/>
      <c r="F56" s="148" t="inlineStr">
        <is>
          <t>O</t>
        </is>
      </c>
      <c r="G56" s="79" t="n"/>
      <c r="H56" s="79" t="n"/>
      <c r="I56" s="79" t="n"/>
      <c r="J56" s="79" t="n"/>
      <c r="K56" s="79" t="n"/>
      <c r="L56" s="79" t="n"/>
      <c r="M56" s="79" t="n"/>
      <c r="N56" s="79" t="n"/>
      <c r="O56" s="79" t="n"/>
      <c r="P56" s="79" t="n"/>
      <c r="Q56" s="79" t="n"/>
      <c r="R56" s="79" t="n"/>
      <c r="S56" s="79" t="n"/>
      <c r="T56" s="195" t="n"/>
      <c r="U56" s="195" t="n"/>
      <c r="V56" s="195" t="n"/>
      <c r="W56" s="195" t="n"/>
      <c r="X56" s="195" t="n"/>
    </row>
    <row r="57" ht="13.5" customHeight="1" s="426">
      <c r="A57" s="181" t="n"/>
      <c r="B57" s="88" t="n"/>
      <c r="C57" s="89" t="n"/>
      <c r="D57" s="90" t="inlineStr">
        <is>
          <t>"Expected UpdateRoomFacility to return false for a null room facility DTO."</t>
        </is>
      </c>
      <c r="E57" s="91" t="n"/>
      <c r="F57" s="79" t="n"/>
      <c r="G57" s="148" t="inlineStr">
        <is>
          <t>O</t>
        </is>
      </c>
      <c r="H57" s="79" t="n"/>
      <c r="I57" s="79" t="n"/>
      <c r="J57" s="79" t="n"/>
      <c r="K57" s="79" t="n"/>
      <c r="L57" s="79" t="n"/>
      <c r="M57" s="79" t="n"/>
      <c r="N57" s="79" t="n"/>
      <c r="O57" s="79" t="n"/>
      <c r="P57" s="79" t="n"/>
      <c r="Q57" s="79" t="n"/>
      <c r="R57" s="79" t="n"/>
      <c r="S57" s="79" t="n"/>
      <c r="T57" s="195" t="n"/>
      <c r="U57" s="195" t="n"/>
      <c r="V57" s="195" t="n"/>
      <c r="W57" s="195" t="n"/>
      <c r="X57" s="195" t="n"/>
    </row>
    <row r="58" ht="13.5" customHeight="1" s="426">
      <c r="A58" s="181" t="n"/>
      <c r="B58" s="88" t="n"/>
      <c r="C58" s="89" t="n"/>
      <c r="D58" s="90" t="inlineStr">
        <is>
          <t>"Expected UpdateRoomFacility to return false for a non-existent RoomFacilityId."</t>
        </is>
      </c>
      <c r="E58" s="91" t="n"/>
      <c r="F58" s="79" t="n"/>
      <c r="G58" s="79" t="n"/>
      <c r="H58" s="148" t="inlineStr">
        <is>
          <t>O</t>
        </is>
      </c>
      <c r="I58" s="79" t="n"/>
      <c r="J58" s="79" t="n"/>
      <c r="K58" s="79" t="n"/>
      <c r="L58" s="79" t="n"/>
      <c r="M58" s="79" t="n"/>
      <c r="N58" s="79" t="n"/>
      <c r="O58" s="79" t="n"/>
      <c r="P58" s="79" t="n"/>
      <c r="Q58" s="79" t="n"/>
      <c r="R58" s="79" t="n"/>
      <c r="S58" s="79" t="n"/>
      <c r="T58" s="195" t="n"/>
      <c r="U58" s="195" t="n"/>
      <c r="V58" s="195" t="n"/>
      <c r="W58" s="195" t="n"/>
      <c r="X58" s="195" t="n"/>
    </row>
    <row r="59" ht="13.5" customHeight="1" s="426">
      <c r="A59" s="181" t="n"/>
      <c r="B59" s="88" t="n"/>
      <c r="C59" s="89" t="n"/>
      <c r="D59" s="90" t="inlineStr">
        <is>
          <t>"Expected UpdateRoomFacility to return false when FacilityName is empty."</t>
        </is>
      </c>
      <c r="E59" s="91" t="n"/>
      <c r="F59" s="79" t="n"/>
      <c r="G59" s="79" t="n"/>
      <c r="H59" s="79" t="n"/>
      <c r="I59" s="148" t="inlineStr">
        <is>
          <t>O</t>
        </is>
      </c>
      <c r="J59" s="148" t="n"/>
      <c r="K59" s="79" t="n"/>
      <c r="L59" s="79" t="n"/>
      <c r="M59" s="79" t="n"/>
      <c r="N59" s="79" t="n"/>
      <c r="O59" s="79" t="n"/>
      <c r="P59" s="79" t="n"/>
      <c r="Q59" s="79" t="n"/>
      <c r="R59" s="79" t="n"/>
      <c r="S59" s="79" t="n"/>
      <c r="T59" s="195" t="n"/>
      <c r="U59" s="195" t="n"/>
      <c r="V59" s="195" t="n"/>
      <c r="W59" s="195" t="n"/>
      <c r="X59" s="195" t="n"/>
    </row>
    <row r="60" ht="13.5" customHeight="1" s="426">
      <c r="A60" s="181" t="n"/>
      <c r="B60" s="88" t="n"/>
      <c r="C60" s="89" t="n"/>
      <c r="D60" s="90" t="inlineStr">
        <is>
          <t>"Expected UpdateRoomFacility to return false when UnitOfMeasure is empty."</t>
        </is>
      </c>
      <c r="E60" s="91" t="n"/>
      <c r="F60" s="79" t="n"/>
      <c r="G60" s="79" t="n"/>
      <c r="H60" s="79" t="n"/>
      <c r="I60" s="148" t="n"/>
      <c r="J60" s="148" t="inlineStr">
        <is>
          <t>O</t>
        </is>
      </c>
      <c r="K60" s="148" t="n"/>
      <c r="L60" s="79" t="n"/>
      <c r="M60" s="79" t="n"/>
      <c r="N60" s="79" t="n"/>
      <c r="O60" s="79" t="n"/>
      <c r="P60" s="79" t="n"/>
      <c r="Q60" s="79" t="n"/>
      <c r="R60" s="79" t="n"/>
      <c r="S60" s="79" t="n"/>
      <c r="T60" s="195" t="n"/>
      <c r="U60" s="195" t="n"/>
      <c r="V60" s="195" t="n"/>
      <c r="W60" s="195" t="n"/>
      <c r="X60" s="195" t="n"/>
    </row>
    <row r="61" ht="13.5" customHeight="1" s="426">
      <c r="A61" s="181" t="n"/>
      <c r="B61" s="88" t="n"/>
      <c r="C61" s="89" t="n"/>
      <c r="D61" s="90" t="inlineStr">
        <is>
          <t>"Expected UpdateRoomFacility to return false when Description is empty."</t>
        </is>
      </c>
      <c r="E61" s="91" t="n"/>
      <c r="F61" s="79" t="n"/>
      <c r="G61" s="79" t="n"/>
      <c r="H61" s="79" t="n"/>
      <c r="I61" s="148" t="n"/>
      <c r="J61" s="79" t="n"/>
      <c r="K61" s="148" t="inlineStr">
        <is>
          <t>O</t>
        </is>
      </c>
      <c r="L61" s="148" t="n"/>
      <c r="M61" s="79" t="n"/>
      <c r="N61" s="79" t="n"/>
      <c r="O61" s="79" t="n"/>
      <c r="P61" s="79" t="n"/>
      <c r="Q61" s="79" t="n"/>
      <c r="R61" s="79" t="n"/>
      <c r="S61" s="79" t="n"/>
      <c r="T61" s="195" t="n"/>
      <c r="U61" s="195" t="n"/>
      <c r="V61" s="195" t="n"/>
      <c r="W61" s="195" t="n"/>
      <c r="X61" s="195" t="n"/>
    </row>
    <row r="62" ht="13.5" customHeight="1" s="426">
      <c r="A62" s="181" t="n"/>
      <c r="B62" s="88" t="n"/>
      <c r="C62" s="92" t="n"/>
      <c r="D62" s="90" t="inlineStr">
        <is>
          <t>"Expected UpdateRoomFacility to return false for a non-existent RoomId."</t>
        </is>
      </c>
      <c r="E62" s="93" t="n"/>
      <c r="F62" s="148" t="n"/>
      <c r="G62" s="79" t="n"/>
      <c r="H62" s="79" t="n"/>
      <c r="I62" s="79" t="n"/>
      <c r="J62" s="148" t="n"/>
      <c r="K62" s="79" t="n"/>
      <c r="L62" s="148" t="inlineStr">
        <is>
          <t>O</t>
        </is>
      </c>
      <c r="M62" s="79" t="n"/>
      <c r="N62" s="79" t="n"/>
      <c r="O62" s="79" t="n"/>
      <c r="P62" s="79" t="n"/>
      <c r="Q62" s="79" t="n"/>
      <c r="R62" s="79" t="n"/>
      <c r="S62" s="148" t="n"/>
      <c r="T62" s="195" t="n"/>
      <c r="U62" s="195" t="n"/>
      <c r="V62" s="195" t="n"/>
      <c r="W62" s="195" t="n"/>
      <c r="X62" s="195" t="n"/>
    </row>
    <row r="63" ht="13.5" customHeight="1" s="426">
      <c r="A63" s="181" t="n"/>
      <c r="B63" s="88" t="n"/>
      <c r="C63" s="92" t="n"/>
      <c r="D63" s="90" t="inlineStr">
        <is>
          <t>"Expected UpdateRoomFacility to return false for a non-existent StatusId."</t>
        </is>
      </c>
      <c r="E63" s="93" t="n"/>
      <c r="F63" s="148" t="n"/>
      <c r="G63" s="79" t="n"/>
      <c r="H63" s="79" t="n"/>
      <c r="I63" s="79" t="n"/>
      <c r="J63" s="148" t="n"/>
      <c r="K63" s="79" t="n"/>
      <c r="L63" s="79" t="n"/>
      <c r="M63" s="148" t="inlineStr">
        <is>
          <t>O</t>
        </is>
      </c>
      <c r="N63" s="79" t="n"/>
      <c r="O63" s="79" t="n"/>
      <c r="P63" s="79" t="n"/>
      <c r="Q63" s="79" t="n"/>
      <c r="R63" s="79" t="n"/>
      <c r="S63" s="79" t="n"/>
      <c r="T63" s="148" t="n"/>
      <c r="U63" s="195" t="n"/>
      <c r="V63" s="195" t="n"/>
      <c r="W63" s="195" t="n"/>
      <c r="X63" s="195" t="n"/>
    </row>
    <row r="64" ht="13.5" customHeight="1" s="426" thickBot="1">
      <c r="A64" s="181" t="n"/>
      <c r="B64" s="88" t="n"/>
      <c r="C64" s="92" t="n"/>
      <c r="D64" s="90" t="inlineStr">
        <is>
          <t>"Simulated DB error"</t>
        </is>
      </c>
      <c r="E64" s="93" t="n"/>
      <c r="F64" s="79" t="n"/>
      <c r="G64" s="148" t="n"/>
      <c r="H64" s="79" t="n"/>
      <c r="I64" s="148" t="n"/>
      <c r="J64" s="79" t="n"/>
      <c r="K64" s="148" t="n"/>
      <c r="L64" s="79" t="n"/>
      <c r="M64" s="79" t="n"/>
      <c r="N64" s="148" t="inlineStr">
        <is>
          <t>O</t>
        </is>
      </c>
      <c r="O64" s="79" t="n"/>
      <c r="P64" s="79" t="n"/>
      <c r="Q64" s="79" t="n"/>
      <c r="R64" s="79" t="n"/>
      <c r="S64" s="79" t="n"/>
      <c r="T64" s="195" t="n"/>
      <c r="U64" s="195" t="n"/>
      <c r="V64" s="195" t="n"/>
      <c r="W64" s="195" t="n"/>
      <c r="X64" s="195" t="n"/>
    </row>
    <row r="65" ht="13.5" customHeight="1" s="426" thickTop="1">
      <c r="A65" s="182" t="inlineStr">
        <is>
          <t>Result</t>
        </is>
      </c>
      <c r="B65" s="331" t="inlineStr">
        <is>
          <t>Type(N : Normal, A : Abnormal, B : Boundary)</t>
        </is>
      </c>
      <c r="C65" s="472" t="n"/>
      <c r="D65" s="473" t="n"/>
      <c r="E65" s="331" t="n"/>
      <c r="F65" s="188" t="inlineStr">
        <is>
          <t>N</t>
        </is>
      </c>
      <c r="G65" s="188" t="inlineStr">
        <is>
          <t>A</t>
        </is>
      </c>
      <c r="H65" s="188" t="inlineStr">
        <is>
          <t>A</t>
        </is>
      </c>
      <c r="I65" s="188" t="inlineStr">
        <is>
          <t>A</t>
        </is>
      </c>
      <c r="J65" s="188" t="inlineStr">
        <is>
          <t>A</t>
        </is>
      </c>
      <c r="K65" s="188" t="inlineStr">
        <is>
          <t>A</t>
        </is>
      </c>
      <c r="L65" s="188" t="inlineStr">
        <is>
          <t>A</t>
        </is>
      </c>
      <c r="M65" s="188" t="inlineStr">
        <is>
          <t>B</t>
        </is>
      </c>
      <c r="N65" s="188" t="inlineStr">
        <is>
          <t>A</t>
        </is>
      </c>
      <c r="O65" s="188" t="inlineStr">
        <is>
          <t>B</t>
        </is>
      </c>
      <c r="P65" s="188" t="inlineStr">
        <is>
          <t>B</t>
        </is>
      </c>
      <c r="Q65" s="188" t="inlineStr">
        <is>
          <t>B</t>
        </is>
      </c>
      <c r="R65" s="188" t="inlineStr">
        <is>
          <t>B</t>
        </is>
      </c>
      <c r="S65" s="188" t="inlineStr">
        <is>
          <t>B</t>
        </is>
      </c>
      <c r="T65" s="188" t="inlineStr">
        <is>
          <t>B</t>
        </is>
      </c>
      <c r="U65" s="198" t="n"/>
      <c r="V65" s="198" t="n"/>
      <c r="W65" s="198" t="n"/>
      <c r="X65" s="198" t="n"/>
    </row>
    <row r="66" ht="13.5" customHeight="1" s="426">
      <c r="A66" s="174" t="n"/>
      <c r="B66" s="320" t="inlineStr">
        <is>
          <t>Passed/Failed</t>
        </is>
      </c>
      <c r="C66" s="449" t="n"/>
      <c r="D66" s="450" t="n"/>
      <c r="E66" s="95" t="n"/>
      <c r="F66" s="94" t="inlineStr">
        <is>
          <t>P</t>
        </is>
      </c>
      <c r="G66" s="94" t="inlineStr">
        <is>
          <t>P</t>
        </is>
      </c>
      <c r="H66" s="94" t="inlineStr">
        <is>
          <t>P</t>
        </is>
      </c>
      <c r="I66" s="94" t="inlineStr">
        <is>
          <t>P</t>
        </is>
      </c>
      <c r="J66" s="94" t="inlineStr">
        <is>
          <t>P</t>
        </is>
      </c>
      <c r="K66" s="94" t="inlineStr">
        <is>
          <t>P</t>
        </is>
      </c>
      <c r="L66" s="94" t="inlineStr">
        <is>
          <t>P</t>
        </is>
      </c>
      <c r="M66" s="94" t="inlineStr">
        <is>
          <t>P</t>
        </is>
      </c>
      <c r="N66" s="94" t="inlineStr">
        <is>
          <t>P</t>
        </is>
      </c>
      <c r="O66" s="94" t="inlineStr">
        <is>
          <t>P</t>
        </is>
      </c>
      <c r="P66" s="94" t="inlineStr">
        <is>
          <t>P</t>
        </is>
      </c>
      <c r="Q66" s="94" t="inlineStr">
        <is>
          <t>P</t>
        </is>
      </c>
      <c r="R66" s="94" t="inlineStr">
        <is>
          <t>P</t>
        </is>
      </c>
      <c r="S66" s="94" t="inlineStr">
        <is>
          <t>P</t>
        </is>
      </c>
      <c r="T66" s="94" t="inlineStr">
        <is>
          <t>P</t>
        </is>
      </c>
      <c r="U66" s="199" t="n"/>
      <c r="V66" s="199" t="n"/>
      <c r="W66" s="199" t="n"/>
      <c r="X66" s="199" t="n"/>
    </row>
    <row r="67" ht="71.5" customHeight="1" s="426">
      <c r="A67" s="174" t="n"/>
      <c r="B67" s="329" t="inlineStr">
        <is>
          <t>Executed Date</t>
        </is>
      </c>
      <c r="C67" s="449" t="n"/>
      <c r="D67" s="450" t="n"/>
      <c r="E67" s="96" t="n"/>
      <c r="F67" s="97" t="n">
        <v>45702</v>
      </c>
      <c r="G67" s="97" t="n">
        <v>45702</v>
      </c>
      <c r="H67" s="97" t="n">
        <v>45702</v>
      </c>
      <c r="I67" s="97" t="n">
        <v>45702</v>
      </c>
      <c r="J67" s="97" t="n">
        <v>45702</v>
      </c>
      <c r="K67" s="97" t="n">
        <v>45702</v>
      </c>
      <c r="L67" s="97" t="n">
        <v>45702</v>
      </c>
      <c r="M67" s="97" t="n">
        <v>45702</v>
      </c>
      <c r="N67" s="97" t="n">
        <v>45702</v>
      </c>
      <c r="O67" s="97" t="n">
        <v>45702</v>
      </c>
      <c r="P67" s="97" t="n">
        <v>45702</v>
      </c>
      <c r="Q67" s="97" t="n">
        <v>45702</v>
      </c>
      <c r="R67" s="97" t="n">
        <v>45702</v>
      </c>
      <c r="S67" s="97" t="n">
        <v>45702</v>
      </c>
      <c r="T67" s="97" t="n">
        <v>45702</v>
      </c>
      <c r="U67" s="176" t="n"/>
      <c r="V67" s="176" t="n"/>
      <c r="W67" s="176" t="n"/>
      <c r="X67" s="176" t="n"/>
    </row>
    <row r="68" ht="10.5" customHeight="1" s="426" thickBot="1">
      <c r="A68" s="177" t="n"/>
      <c r="B68" s="330" t="inlineStr">
        <is>
          <t>Defect ID</t>
        </is>
      </c>
      <c r="C68" s="474" t="n"/>
      <c r="D68" s="475" t="n"/>
      <c r="E68" s="178" t="n"/>
      <c r="F68" s="179" t="n"/>
      <c r="G68" s="179" t="n"/>
      <c r="H68" s="179" t="n"/>
      <c r="I68" s="179" t="n"/>
      <c r="J68" s="179" t="n"/>
      <c r="K68" s="179" t="n"/>
      <c r="L68" s="179" t="n"/>
      <c r="M68" s="179" t="n"/>
      <c r="N68" s="179" t="n"/>
      <c r="O68" s="179" t="n"/>
      <c r="P68" s="179" t="n"/>
      <c r="Q68" s="179" t="n"/>
      <c r="R68" s="179" t="n"/>
      <c r="S68" s="179" t="n"/>
      <c r="T68" s="180" t="n"/>
      <c r="U68" s="180" t="n"/>
      <c r="V68" s="180" t="n"/>
      <c r="W68" s="180" t="n"/>
      <c r="X68" s="180" t="n"/>
    </row>
    <row r="69" ht="10.5" customHeight="1" s="426" thickTop="1">
      <c r="A69" s="73" t="n"/>
      <c r="B69" s="69" t="n"/>
      <c r="C69" s="413" t="n"/>
      <c r="D69" s="69" t="n"/>
    </row>
  </sheetData>
  <mergeCells count="27">
    <mergeCell ref="B67:D67"/>
    <mergeCell ref="F2:K2"/>
    <mergeCell ref="A6:B6"/>
    <mergeCell ref="C4:D4"/>
    <mergeCell ref="C2:E2"/>
    <mergeCell ref="L4:T4"/>
    <mergeCell ref="A7:B7"/>
    <mergeCell ref="B65:D65"/>
    <mergeCell ref="B68:D68"/>
    <mergeCell ref="C7:E7"/>
    <mergeCell ref="L6:N6"/>
    <mergeCell ref="A3:B3"/>
    <mergeCell ref="A2:B2"/>
    <mergeCell ref="A5:B5"/>
    <mergeCell ref="C3:E3"/>
    <mergeCell ref="O7:T7"/>
    <mergeCell ref="F4:K4"/>
    <mergeCell ref="C6:E6"/>
    <mergeCell ref="A4:B4"/>
    <mergeCell ref="L2:T2"/>
    <mergeCell ref="O6:T6"/>
    <mergeCell ref="B66:D66"/>
    <mergeCell ref="F6:K6"/>
    <mergeCell ref="C5:T5"/>
    <mergeCell ref="F7:K7"/>
    <mergeCell ref="L3:T3"/>
    <mergeCell ref="F3:K3"/>
  </mergeCells>
  <dataValidations count="3">
    <dataValidation sqref="F66:X66" showDropDown="0" showInputMessage="1" showErrorMessage="1" allowBlank="1" type="list">
      <formula1>"P,F, "</formula1>
    </dataValidation>
    <dataValidation sqref="F65:X65" showDropDown="0" showInputMessage="1" showErrorMessage="1" allowBlank="1" type="list">
      <formula1>"N,A,B, "</formula1>
    </dataValidation>
    <dataValidation sqref="F10:X64"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42.xml><?xml version="1.0" encoding="utf-8"?>
<worksheet xmlns="http://schemas.openxmlformats.org/spreadsheetml/2006/main">
  <sheetPr>
    <outlinePr summaryBelow="1" summaryRight="1"/>
    <pageSetUpPr/>
  </sheetPr>
  <dimension ref="A1:V26"/>
  <sheetViews>
    <sheetView topLeftCell="A2" zoomScale="115" zoomScaleNormal="115" workbookViewId="0">
      <selection activeCell="Y9" sqref="Y9"/>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Facility - 5</t>
        </is>
      </c>
      <c r="D2" s="439" t="n"/>
      <c r="E2" s="441" t="n"/>
      <c r="F2" s="410" t="inlineStr">
        <is>
          <t>Function Name</t>
        </is>
      </c>
      <c r="G2" s="496" t="n"/>
      <c r="H2" s="496" t="n"/>
      <c r="I2" s="496" t="n"/>
      <c r="J2" s="496" t="n"/>
      <c r="K2" s="496" t="n"/>
      <c r="L2" s="443" t="inlineStr">
        <is>
          <t>Get Available Facilities</t>
        </is>
      </c>
      <c r="M2" s="439" t="n"/>
      <c r="N2" s="439" t="n"/>
      <c r="O2" s="439" t="n"/>
      <c r="P2" s="439" t="n"/>
      <c r="Q2" s="439" t="n"/>
      <c r="R2" s="439" t="n"/>
      <c r="S2" s="439" t="n"/>
      <c r="T2" s="444" t="n"/>
      <c r="V2" s="71" t="n"/>
    </row>
    <row r="3" ht="13.5" customHeight="1" s="426">
      <c r="A3" s="445" t="inlineStr">
        <is>
          <t>Created By</t>
        </is>
      </c>
      <c r="B3" s="428" t="n"/>
      <c r="C3" s="446" t="inlineStr">
        <is>
          <t>Nguyễn Thanh Tuấn</t>
        </is>
      </c>
      <c r="D3" s="433" t="n"/>
      <c r="E3" s="447" t="n"/>
      <c r="F3" s="448" t="inlineStr">
        <is>
          <t>Executed By</t>
        </is>
      </c>
      <c r="G3" s="449" t="n"/>
      <c r="H3" s="449" t="n"/>
      <c r="I3" s="449" t="n"/>
      <c r="J3" s="449" t="n"/>
      <c r="K3" s="450" t="n"/>
      <c r="L3" s="453" t="inlineStr">
        <is>
          <t>Nguyễn Thanh Tuấn</t>
        </is>
      </c>
      <c r="M3" s="454" t="n"/>
      <c r="N3" s="454" t="n"/>
      <c r="O3" s="454" t="n"/>
      <c r="P3" s="454" t="n"/>
      <c r="Q3" s="454" t="n"/>
      <c r="R3" s="454" t="n"/>
      <c r="S3" s="454" t="n"/>
      <c r="T3" s="455" t="n"/>
    </row>
    <row r="4" ht="13.5" customHeight="1" s="426">
      <c r="A4" s="445" t="inlineStr">
        <is>
          <t>Lines  of code</t>
        </is>
      </c>
      <c r="B4" s="428" t="n"/>
      <c r="C4" s="327" t="n">
        <v>73</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COUNTIF(F23:HQ23,"P")</f>
        <v/>
      </c>
      <c r="B7" s="465" t="n"/>
      <c r="C7" s="466">
        <f>COUNTIF(F24:HQ24,"F")</f>
        <v/>
      </c>
      <c r="D7" s="467" t="n"/>
      <c r="E7" s="465" t="n"/>
      <c r="F7" s="468">
        <f>SUM(O7,- A7,- C7)</f>
        <v/>
      </c>
      <c r="G7" s="467" t="n"/>
      <c r="H7" s="467" t="n"/>
      <c r="I7" s="467" t="n"/>
      <c r="J7" s="467" t="n"/>
      <c r="K7" s="469" t="n"/>
      <c r="L7" s="342">
        <f>COUNTIF(E22:HQ22,"N")</f>
        <v/>
      </c>
      <c r="M7" s="342">
        <f>COUNTIF(E22:HQ22,"A")</f>
        <v/>
      </c>
      <c r="N7" s="342">
        <f>COUNTIF(E22:HQ22,"B")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inlineStr">
        <is>
          <t>O</t>
        </is>
      </c>
      <c r="I13" s="148" t="n"/>
      <c r="J13" s="148" t="n"/>
      <c r="K13" s="148" t="n"/>
      <c r="L13" s="148" t="n"/>
      <c r="M13" s="148" t="n"/>
      <c r="N13" s="148" t="n"/>
      <c r="O13" s="148" t="n"/>
      <c r="P13" s="148" t="n"/>
      <c r="Q13" s="148" t="n"/>
      <c r="R13" s="148" t="n"/>
      <c r="S13" s="148" t="n"/>
      <c r="T13" s="170" t="n"/>
    </row>
    <row r="14" ht="13.5" customHeight="1" s="426" thickBot="1">
      <c r="A14" s="171" t="n"/>
      <c r="B14" s="75" t="n"/>
      <c r="C14" s="76" t="n"/>
      <c r="D14" s="77" t="inlineStr">
        <is>
          <t>No Entry in Database</t>
        </is>
      </c>
      <c r="E14" s="80" t="n"/>
      <c r="F14" s="148" t="n"/>
      <c r="G14" s="148" t="inlineStr">
        <is>
          <t>O</t>
        </is>
      </c>
      <c r="H14" s="148" t="n"/>
      <c r="I14" s="148" t="n"/>
      <c r="J14" s="148" t="n"/>
      <c r="K14" s="148" t="n"/>
      <c r="L14" s="148" t="n"/>
      <c r="M14" s="148" t="n"/>
      <c r="N14" s="148" t="n"/>
      <c r="O14" s="148" t="n"/>
      <c r="P14" s="148" t="n"/>
      <c r="Q14" s="148" t="n"/>
      <c r="R14" s="148" t="n"/>
      <c r="S14" s="148" t="n"/>
      <c r="T14" s="170" t="n"/>
    </row>
    <row r="15" ht="13.5" customHeight="1" s="426">
      <c r="A15" s="182" t="inlineStr">
        <is>
          <t>Confirm</t>
        </is>
      </c>
      <c r="B15" s="208" t="inlineStr">
        <is>
          <t>Return</t>
        </is>
      </c>
      <c r="C15" s="239" t="n"/>
      <c r="D15" s="210" t="n"/>
      <c r="E15" s="86" t="n"/>
      <c r="F15" s="87" t="n"/>
      <c r="G15" s="87" t="n"/>
      <c r="H15" s="87" t="n"/>
      <c r="I15" s="87" t="n"/>
      <c r="J15" s="87" t="n"/>
      <c r="K15" s="87" t="n"/>
      <c r="L15" s="87" t="n"/>
      <c r="M15" s="87" t="n"/>
      <c r="N15" s="87" t="n"/>
      <c r="O15" s="87" t="n"/>
      <c r="P15" s="87" t="n"/>
      <c r="Q15" s="87" t="n"/>
      <c r="R15" s="87" t="n"/>
      <c r="S15" s="87" t="n"/>
      <c r="T15" s="196" t="n"/>
    </row>
    <row r="16" ht="13.5" customHeight="1" s="426">
      <c r="A16" s="181" t="n"/>
      <c r="B16" s="208" t="n"/>
      <c r="C16" s="209" t="n"/>
      <c r="D16" s="210" t="inlineStr">
        <is>
          <t>Facilities List</t>
        </is>
      </c>
      <c r="E16" s="91" t="n"/>
      <c r="F16" s="148" t="inlineStr">
        <is>
          <t>O</t>
        </is>
      </c>
      <c r="G16" s="79" t="n"/>
      <c r="H16" s="79" t="n"/>
      <c r="I16" s="79" t="n"/>
      <c r="J16" s="79" t="n"/>
      <c r="K16" s="79" t="n"/>
      <c r="L16" s="148" t="n"/>
      <c r="M16" s="79" t="n"/>
      <c r="N16" s="148" t="n"/>
      <c r="O16" s="79" t="n"/>
      <c r="P16" s="79" t="n"/>
      <c r="Q16" s="79" t="n"/>
      <c r="R16" s="79" t="n"/>
      <c r="S16" s="79" t="n"/>
      <c r="T16" s="195" t="n"/>
    </row>
    <row r="17" ht="13.5" customHeight="1" s="426">
      <c r="A17" s="181" t="n"/>
      <c r="B17" s="126" t="n"/>
      <c r="C17" s="89" t="n"/>
      <c r="D17" s="90" t="inlineStr">
        <is>
          <t>Null</t>
        </is>
      </c>
      <c r="E17" s="91" t="n"/>
      <c r="F17" s="79" t="n"/>
      <c r="G17" s="148" t="inlineStr">
        <is>
          <t>O</t>
        </is>
      </c>
      <c r="H17" s="148" t="n"/>
      <c r="I17" s="148" t="n"/>
      <c r="J17" s="148" t="n"/>
      <c r="K17" s="79" t="n"/>
      <c r="L17" s="79" t="n"/>
      <c r="M17" s="148" t="n"/>
      <c r="N17" s="79" t="n"/>
      <c r="O17" s="148" t="n"/>
      <c r="P17" s="79" t="n"/>
      <c r="Q17" s="79" t="n"/>
      <c r="R17" s="79" t="n"/>
      <c r="S17" s="79" t="n"/>
      <c r="T17" s="195" t="n"/>
    </row>
    <row r="18" ht="13.5" customHeight="1" s="426">
      <c r="A18" s="181" t="n"/>
      <c r="B18" s="116" t="inlineStr">
        <is>
          <t>Exception</t>
        </is>
      </c>
      <c r="C18" s="120" t="n"/>
      <c r="D18" s="118" t="n"/>
      <c r="E18" s="91" t="n"/>
      <c r="F18" s="79" t="n"/>
      <c r="G18" s="79" t="n"/>
      <c r="H18" s="79" t="n"/>
      <c r="I18" s="79" t="n"/>
      <c r="J18" s="79" t="n"/>
      <c r="K18" s="79" t="n"/>
      <c r="L18" s="79" t="n"/>
      <c r="M18" s="79" t="n"/>
      <c r="N18" s="79" t="n"/>
      <c r="O18" s="79" t="n"/>
      <c r="P18" s="79" t="n"/>
      <c r="Q18" s="79" t="n"/>
      <c r="R18" s="79" t="n"/>
      <c r="S18" s="79" t="n"/>
      <c r="T18" s="195" t="n"/>
    </row>
    <row r="19" ht="13.5" customHeight="1" s="426">
      <c r="A19" s="181" t="n"/>
      <c r="B19" s="116" t="n"/>
      <c r="C19" s="120" t="n"/>
      <c r="D19" s="118" t="inlineStr">
        <is>
          <t>InvalidOperationException</t>
        </is>
      </c>
      <c r="E19" s="91" t="n"/>
      <c r="F19" s="79" t="n"/>
      <c r="G19" s="79" t="n"/>
      <c r="H19" s="148" t="inlineStr">
        <is>
          <t>O</t>
        </is>
      </c>
      <c r="I19" s="148" t="n"/>
      <c r="J19" s="79" t="n"/>
      <c r="K19" s="148" t="n"/>
      <c r="L19" s="79" t="n"/>
      <c r="M19" s="79" t="n"/>
      <c r="N19" s="79" t="n"/>
      <c r="O19" s="79" t="n"/>
      <c r="P19" s="79" t="n"/>
      <c r="Q19" s="79" t="n"/>
      <c r="R19" s="79" t="n"/>
      <c r="S19" s="79" t="n"/>
      <c r="T19" s="195" t="n"/>
    </row>
    <row r="20" ht="13.5" customHeight="1" s="426">
      <c r="A20" s="181" t="n"/>
      <c r="B20" s="88" t="inlineStr">
        <is>
          <t>Log message</t>
        </is>
      </c>
      <c r="C20" s="89" t="n"/>
      <c r="D20" s="90" t="n"/>
      <c r="E20" s="91" t="n"/>
      <c r="F20" s="79" t="n"/>
      <c r="G20" s="79" t="n"/>
      <c r="H20" s="79" t="n"/>
      <c r="I20" s="79" t="n"/>
      <c r="J20" s="79" t="n"/>
      <c r="K20" s="79" t="n"/>
      <c r="L20" s="79" t="n"/>
      <c r="M20" s="79" t="n"/>
      <c r="N20" s="79" t="n"/>
      <c r="O20" s="79" t="n"/>
      <c r="P20" s="79" t="n"/>
      <c r="Q20" s="79" t="n"/>
      <c r="R20" s="79" t="n"/>
      <c r="S20" s="79" t="n"/>
      <c r="T20" s="195" t="n"/>
    </row>
    <row r="21" ht="13.5" customHeight="1" s="426" thickBot="1">
      <c r="A21" s="181" t="n"/>
      <c r="B21" s="88" t="n"/>
      <c r="C21" s="89" t="n"/>
      <c r="D21" s="90" t="inlineStr">
        <is>
          <t>"Simulated DB error"</t>
        </is>
      </c>
      <c r="E21" s="91" t="n"/>
      <c r="F21" s="148" t="n"/>
      <c r="G21" s="79" t="n"/>
      <c r="H21" s="148" t="inlineStr">
        <is>
          <t>O</t>
        </is>
      </c>
      <c r="I21" s="79" t="n"/>
      <c r="J21" s="79" t="n"/>
      <c r="K21" s="79" t="n"/>
      <c r="L21" s="79" t="n"/>
      <c r="M21" s="79" t="n"/>
      <c r="N21" s="79" t="n"/>
      <c r="O21" s="79" t="n"/>
      <c r="P21" s="79" t="n"/>
      <c r="Q21" s="79" t="n"/>
      <c r="R21" s="79" t="n"/>
      <c r="S21" s="79" t="n"/>
      <c r="T21" s="195" t="n"/>
    </row>
    <row r="22" ht="13.5" customHeight="1" s="426" thickTop="1">
      <c r="A22" s="182" t="inlineStr">
        <is>
          <t>Result</t>
        </is>
      </c>
      <c r="B22" s="331" t="inlineStr">
        <is>
          <t>Type(N : Normal, A : Abnormal, B : Boundary)</t>
        </is>
      </c>
      <c r="C22" s="472" t="n"/>
      <c r="D22" s="473" t="n"/>
      <c r="E22" s="331" t="n"/>
      <c r="F22" s="188" t="inlineStr">
        <is>
          <t>N</t>
        </is>
      </c>
      <c r="G22" s="188" t="inlineStr">
        <is>
          <t>N</t>
        </is>
      </c>
      <c r="H22" s="188" t="inlineStr">
        <is>
          <t>A</t>
        </is>
      </c>
      <c r="I22" s="188" t="n"/>
      <c r="J22" s="188" t="n"/>
      <c r="K22" s="188" t="n"/>
      <c r="L22" s="188" t="n"/>
      <c r="M22" s="188" t="n"/>
      <c r="N22" s="188" t="n"/>
      <c r="O22" s="188" t="n"/>
      <c r="P22" s="188" t="n"/>
      <c r="Q22" s="188" t="n"/>
      <c r="R22" s="188" t="n"/>
      <c r="S22" s="188" t="n"/>
      <c r="T22" s="198" t="n"/>
    </row>
    <row r="23" ht="13.5" customHeight="1" s="426">
      <c r="A23" s="174" t="n"/>
      <c r="B23" s="320" t="inlineStr">
        <is>
          <t>Passed/Failed</t>
        </is>
      </c>
      <c r="C23" s="449" t="n"/>
      <c r="D23" s="450" t="n"/>
      <c r="E23" s="95" t="n"/>
      <c r="F23" s="94" t="inlineStr">
        <is>
          <t>P</t>
        </is>
      </c>
      <c r="G23" s="94" t="inlineStr">
        <is>
          <t>P</t>
        </is>
      </c>
      <c r="H23" s="94" t="inlineStr">
        <is>
          <t>P</t>
        </is>
      </c>
      <c r="I23" s="94" t="n"/>
      <c r="J23" s="94" t="n"/>
      <c r="K23" s="94" t="n"/>
      <c r="L23" s="94" t="n"/>
      <c r="M23" s="94" t="n"/>
      <c r="N23" s="94" t="n"/>
      <c r="O23" s="94" t="n"/>
      <c r="P23" s="94" t="n"/>
      <c r="Q23" s="94" t="n"/>
      <c r="R23" s="94" t="n"/>
      <c r="S23" s="94" t="n"/>
      <c r="T23" s="199" t="n"/>
    </row>
    <row r="24" ht="71.5" customHeight="1" s="426">
      <c r="A24" s="174" t="n"/>
      <c r="B24" s="329" t="inlineStr">
        <is>
          <t>Executed Date</t>
        </is>
      </c>
      <c r="C24" s="449" t="n"/>
      <c r="D24" s="450" t="n"/>
      <c r="E24" s="96" t="n"/>
      <c r="F24" s="97" t="n">
        <v>45700</v>
      </c>
      <c r="G24" s="97" t="n">
        <v>45700</v>
      </c>
      <c r="H24" s="97" t="n">
        <v>45700</v>
      </c>
      <c r="I24" s="97" t="n"/>
      <c r="J24" s="97" t="n"/>
      <c r="K24" s="97" t="n"/>
      <c r="L24" s="97" t="n"/>
      <c r="M24" s="97" t="n"/>
      <c r="N24" s="97" t="n"/>
      <c r="O24" s="97" t="n"/>
      <c r="P24" s="97" t="n"/>
      <c r="Q24" s="97" t="n"/>
      <c r="R24" s="97" t="n"/>
      <c r="S24" s="97" t="n"/>
      <c r="T24" s="176" t="n"/>
    </row>
    <row r="25" ht="10.5" customHeight="1" s="426" thickBot="1">
      <c r="A25" s="177" t="n"/>
      <c r="B25" s="330" t="inlineStr">
        <is>
          <t>Defect ID</t>
        </is>
      </c>
      <c r="C25" s="474" t="n"/>
      <c r="D25" s="475" t="n"/>
      <c r="E25" s="178" t="n"/>
      <c r="F25" s="179" t="n"/>
      <c r="G25" s="179" t="n"/>
      <c r="H25" s="179" t="n"/>
      <c r="I25" s="179" t="n"/>
      <c r="J25" s="179" t="n"/>
      <c r="K25" s="179" t="n"/>
      <c r="L25" s="179" t="n"/>
      <c r="M25" s="179" t="n"/>
      <c r="N25" s="179" t="n"/>
      <c r="O25" s="179" t="n"/>
      <c r="P25" s="179" t="n"/>
      <c r="Q25" s="179" t="n"/>
      <c r="R25" s="179" t="n"/>
      <c r="S25" s="179" t="n"/>
      <c r="T25" s="180" t="n"/>
    </row>
    <row r="26" ht="10.5" customHeight="1" s="426" thickTop="1">
      <c r="A26" s="73" t="n"/>
      <c r="B26" s="69" t="n"/>
      <c r="C26" s="413" t="n"/>
      <c r="D26" s="69" t="n"/>
    </row>
  </sheetData>
  <mergeCells count="27">
    <mergeCell ref="B23:D23"/>
    <mergeCell ref="F2:K2"/>
    <mergeCell ref="A6:B6"/>
    <mergeCell ref="C4:D4"/>
    <mergeCell ref="L4:T4"/>
    <mergeCell ref="C2:E2"/>
    <mergeCell ref="A7:B7"/>
    <mergeCell ref="C7:E7"/>
    <mergeCell ref="L6:N6"/>
    <mergeCell ref="A3:B3"/>
    <mergeCell ref="B24:D24"/>
    <mergeCell ref="A2:B2"/>
    <mergeCell ref="A5:B5"/>
    <mergeCell ref="C3:E3"/>
    <mergeCell ref="O7:T7"/>
    <mergeCell ref="F4:K4"/>
    <mergeCell ref="B25:D25"/>
    <mergeCell ref="C6:E6"/>
    <mergeCell ref="A4:B4"/>
    <mergeCell ref="L2:T2"/>
    <mergeCell ref="O6:T6"/>
    <mergeCell ref="F6:K6"/>
    <mergeCell ref="B22:D22"/>
    <mergeCell ref="F7:K7"/>
    <mergeCell ref="C5:T5"/>
    <mergeCell ref="L3:T3"/>
    <mergeCell ref="F3:K3"/>
  </mergeCells>
  <dataValidations count="3">
    <dataValidation sqref="F22:T22" showDropDown="0" showInputMessage="1" showErrorMessage="1" allowBlank="1" type="list">
      <formula1>"N,A,B, "</formula1>
    </dataValidation>
    <dataValidation sqref="F23:T23" showDropDown="0" showInputMessage="1" showErrorMessage="1" allowBlank="1" type="list">
      <formula1>"P,F, "</formula1>
    </dataValidation>
    <dataValidation sqref="F10:T21"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43.xml><?xml version="1.0" encoding="utf-8"?>
<worksheet xmlns="http://schemas.openxmlformats.org/spreadsheetml/2006/main">
  <sheetPr>
    <outlinePr summaryBelow="1" summaryRight="1"/>
    <pageSetUpPr/>
  </sheetPr>
  <dimension ref="A1:V26"/>
  <sheetViews>
    <sheetView topLeftCell="A2" zoomScale="115" zoomScaleNormal="115" workbookViewId="0">
      <selection activeCell="F24" sqref="F24"/>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Facility - 6</t>
        </is>
      </c>
      <c r="D2" s="439" t="n"/>
      <c r="E2" s="441" t="n"/>
      <c r="F2" s="410" t="inlineStr">
        <is>
          <t>Function Name</t>
        </is>
      </c>
      <c r="G2" s="496" t="n"/>
      <c r="H2" s="496" t="n"/>
      <c r="I2" s="496" t="n"/>
      <c r="J2" s="496" t="n"/>
      <c r="K2" s="496" t="n"/>
      <c r="L2" s="443" t="inlineStr">
        <is>
          <t>Get All Facilities</t>
        </is>
      </c>
      <c r="M2" s="439" t="n"/>
      <c r="N2" s="439" t="n"/>
      <c r="O2" s="439" t="n"/>
      <c r="P2" s="439" t="n"/>
      <c r="Q2" s="439" t="n"/>
      <c r="R2" s="439" t="n"/>
      <c r="S2" s="439" t="n"/>
      <c r="T2" s="444" t="n"/>
      <c r="V2" s="71" t="n"/>
    </row>
    <row r="3" ht="13.5" customHeight="1" s="426">
      <c r="A3" s="445" t="inlineStr">
        <is>
          <t>Created By</t>
        </is>
      </c>
      <c r="B3" s="428" t="n"/>
      <c r="C3" s="446" t="inlineStr">
        <is>
          <t>Nguyễn Thanh Tuấn</t>
        </is>
      </c>
      <c r="D3" s="433" t="n"/>
      <c r="E3" s="447" t="n"/>
      <c r="F3" s="448" t="inlineStr">
        <is>
          <t>Executed By</t>
        </is>
      </c>
      <c r="G3" s="449" t="n"/>
      <c r="H3" s="449" t="n"/>
      <c r="I3" s="449" t="n"/>
      <c r="J3" s="449" t="n"/>
      <c r="K3" s="450" t="n"/>
      <c r="L3" s="453" t="inlineStr">
        <is>
          <t>Nguyễn Thanh Tuấn</t>
        </is>
      </c>
      <c r="M3" s="454" t="n"/>
      <c r="N3" s="454" t="n"/>
      <c r="O3" s="454" t="n"/>
      <c r="P3" s="454" t="n"/>
      <c r="Q3" s="454" t="n"/>
      <c r="R3" s="454" t="n"/>
      <c r="S3" s="454" t="n"/>
      <c r="T3" s="455" t="n"/>
    </row>
    <row r="4" ht="13.5" customHeight="1" s="426">
      <c r="A4" s="445" t="inlineStr">
        <is>
          <t>Lines  of code</t>
        </is>
      </c>
      <c r="B4" s="428" t="n"/>
      <c r="C4" s="327" t="n">
        <v>71</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COUNTIF(F23:HQ23,"P")</f>
        <v/>
      </c>
      <c r="B7" s="465" t="n"/>
      <c r="C7" s="466">
        <f>COUNTIF(F24:HQ24,"F")</f>
        <v/>
      </c>
      <c r="D7" s="467" t="n"/>
      <c r="E7" s="465" t="n"/>
      <c r="F7" s="468">
        <f>SUM(O7,- A7,- C7)</f>
        <v/>
      </c>
      <c r="G7" s="467" t="n"/>
      <c r="H7" s="467" t="n"/>
      <c r="I7" s="467" t="n"/>
      <c r="J7" s="467" t="n"/>
      <c r="K7" s="469" t="n"/>
      <c r="L7" s="342">
        <f>COUNTIF(E22:HQ22,"N")</f>
        <v/>
      </c>
      <c r="M7" s="342">
        <f>COUNTIF(E22:HQ22,"A")</f>
        <v/>
      </c>
      <c r="N7" s="342">
        <f>COUNTIF(E22:HQ22,"B")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inlineStr">
        <is>
          <t>O</t>
        </is>
      </c>
      <c r="I13" s="148" t="n"/>
      <c r="J13" s="148" t="n"/>
      <c r="K13" s="148" t="n"/>
      <c r="L13" s="148" t="n"/>
      <c r="M13" s="148" t="n"/>
      <c r="N13" s="148" t="n"/>
      <c r="O13" s="148" t="n"/>
      <c r="P13" s="148" t="n"/>
      <c r="Q13" s="148" t="n"/>
      <c r="R13" s="148" t="n"/>
      <c r="S13" s="148" t="n"/>
      <c r="T13" s="170" t="n"/>
    </row>
    <row r="14" ht="13.5" customHeight="1" s="426" thickBot="1">
      <c r="A14" s="171" t="n"/>
      <c r="B14" s="75" t="n"/>
      <c r="C14" s="76" t="n"/>
      <c r="D14" s="77" t="inlineStr">
        <is>
          <t>No Entry in Database</t>
        </is>
      </c>
      <c r="E14" s="80" t="n"/>
      <c r="F14" s="148" t="n"/>
      <c r="G14" s="148" t="inlineStr">
        <is>
          <t>O</t>
        </is>
      </c>
      <c r="H14" s="148" t="n"/>
      <c r="I14" s="148" t="n"/>
      <c r="J14" s="148" t="n"/>
      <c r="K14" s="148" t="n"/>
      <c r="L14" s="148" t="n"/>
      <c r="M14" s="148" t="n"/>
      <c r="N14" s="148" t="n"/>
      <c r="O14" s="148" t="n"/>
      <c r="P14" s="148" t="n"/>
      <c r="Q14" s="148" t="n"/>
      <c r="R14" s="148" t="n"/>
      <c r="S14" s="148" t="n"/>
      <c r="T14" s="170" t="n"/>
    </row>
    <row r="15" ht="13.5" customHeight="1" s="426">
      <c r="A15" s="182" t="inlineStr">
        <is>
          <t>Confirm</t>
        </is>
      </c>
      <c r="B15" s="208" t="inlineStr">
        <is>
          <t>Return</t>
        </is>
      </c>
      <c r="C15" s="239" t="n"/>
      <c r="D15" s="210" t="n"/>
      <c r="E15" s="86" t="n"/>
      <c r="F15" s="87" t="n"/>
      <c r="G15" s="87" t="n"/>
      <c r="H15" s="87" t="n"/>
      <c r="I15" s="87" t="n"/>
      <c r="J15" s="87" t="n"/>
      <c r="K15" s="87" t="n"/>
      <c r="L15" s="87" t="n"/>
      <c r="M15" s="87" t="n"/>
      <c r="N15" s="87" t="n"/>
      <c r="O15" s="87" t="n"/>
      <c r="P15" s="87" t="n"/>
      <c r="Q15" s="87" t="n"/>
      <c r="R15" s="87" t="n"/>
      <c r="S15" s="87" t="n"/>
      <c r="T15" s="196" t="n"/>
    </row>
    <row r="16" ht="13.5" customHeight="1" s="426">
      <c r="A16" s="181" t="n"/>
      <c r="B16" s="208" t="n"/>
      <c r="C16" s="209" t="n"/>
      <c r="D16" s="210" t="inlineStr">
        <is>
          <t>Facilities List</t>
        </is>
      </c>
      <c r="E16" s="91" t="n"/>
      <c r="F16" s="148" t="inlineStr">
        <is>
          <t>O</t>
        </is>
      </c>
      <c r="G16" s="79" t="n"/>
      <c r="H16" s="79" t="n"/>
      <c r="I16" s="79" t="n"/>
      <c r="J16" s="79" t="n"/>
      <c r="K16" s="79" t="n"/>
      <c r="L16" s="148" t="n"/>
      <c r="M16" s="79" t="n"/>
      <c r="N16" s="148" t="n"/>
      <c r="O16" s="79" t="n"/>
      <c r="P16" s="79" t="n"/>
      <c r="Q16" s="79" t="n"/>
      <c r="R16" s="79" t="n"/>
      <c r="S16" s="79" t="n"/>
      <c r="T16" s="195" t="n"/>
    </row>
    <row r="17" ht="13.5" customHeight="1" s="426">
      <c r="A17" s="181" t="n"/>
      <c r="B17" s="126" t="n"/>
      <c r="C17" s="89" t="n"/>
      <c r="D17" s="90" t="inlineStr">
        <is>
          <t>Null</t>
        </is>
      </c>
      <c r="E17" s="91" t="n"/>
      <c r="F17" s="79" t="n"/>
      <c r="G17" s="148" t="inlineStr">
        <is>
          <t>O</t>
        </is>
      </c>
      <c r="H17" s="148" t="n"/>
      <c r="I17" s="148" t="n"/>
      <c r="J17" s="148" t="n"/>
      <c r="K17" s="79" t="n"/>
      <c r="L17" s="79" t="n"/>
      <c r="M17" s="148" t="n"/>
      <c r="N17" s="79" t="n"/>
      <c r="O17" s="148" t="n"/>
      <c r="P17" s="79" t="n"/>
      <c r="Q17" s="79" t="n"/>
      <c r="R17" s="79" t="n"/>
      <c r="S17" s="79" t="n"/>
      <c r="T17" s="195" t="n"/>
    </row>
    <row r="18" ht="13.5" customHeight="1" s="426">
      <c r="A18" s="181" t="n"/>
      <c r="B18" s="116" t="inlineStr">
        <is>
          <t>Exception</t>
        </is>
      </c>
      <c r="C18" s="120" t="n"/>
      <c r="D18" s="118" t="n"/>
      <c r="E18" s="91" t="n"/>
      <c r="F18" s="79" t="n"/>
      <c r="G18" s="79" t="n"/>
      <c r="H18" s="79" t="n"/>
      <c r="I18" s="79" t="n"/>
      <c r="J18" s="79" t="n"/>
      <c r="K18" s="79" t="n"/>
      <c r="L18" s="79" t="n"/>
      <c r="M18" s="79" t="n"/>
      <c r="N18" s="79" t="n"/>
      <c r="O18" s="79" t="n"/>
      <c r="P18" s="79" t="n"/>
      <c r="Q18" s="79" t="n"/>
      <c r="R18" s="79" t="n"/>
      <c r="S18" s="79" t="n"/>
      <c r="T18" s="195" t="n"/>
    </row>
    <row r="19" ht="13.5" customHeight="1" s="426">
      <c r="A19" s="181" t="n"/>
      <c r="B19" s="116" t="n"/>
      <c r="C19" s="120" t="n"/>
      <c r="D19" s="118" t="inlineStr">
        <is>
          <t>InvalidOperationException</t>
        </is>
      </c>
      <c r="E19" s="91" t="n"/>
      <c r="F19" s="79" t="n"/>
      <c r="G19" s="79" t="n"/>
      <c r="H19" s="148" t="inlineStr">
        <is>
          <t>O</t>
        </is>
      </c>
      <c r="I19" s="148" t="n"/>
      <c r="J19" s="79" t="n"/>
      <c r="K19" s="148" t="n"/>
      <c r="L19" s="79" t="n"/>
      <c r="M19" s="79" t="n"/>
      <c r="N19" s="79" t="n"/>
      <c r="O19" s="79" t="n"/>
      <c r="P19" s="79" t="n"/>
      <c r="Q19" s="79" t="n"/>
      <c r="R19" s="79" t="n"/>
      <c r="S19" s="79" t="n"/>
      <c r="T19" s="195" t="n"/>
    </row>
    <row r="20" ht="13.5" customHeight="1" s="426">
      <c r="A20" s="181" t="n"/>
      <c r="B20" s="88" t="inlineStr">
        <is>
          <t>Log message</t>
        </is>
      </c>
      <c r="C20" s="89" t="n"/>
      <c r="D20" s="90" t="n"/>
      <c r="E20" s="91" t="n"/>
      <c r="F20" s="79" t="n"/>
      <c r="G20" s="79" t="n"/>
      <c r="H20" s="79" t="n"/>
      <c r="I20" s="79" t="n"/>
      <c r="J20" s="79" t="n"/>
      <c r="K20" s="79" t="n"/>
      <c r="L20" s="79" t="n"/>
      <c r="M20" s="79" t="n"/>
      <c r="N20" s="79" t="n"/>
      <c r="O20" s="79" t="n"/>
      <c r="P20" s="79" t="n"/>
      <c r="Q20" s="79" t="n"/>
      <c r="R20" s="79" t="n"/>
      <c r="S20" s="79" t="n"/>
      <c r="T20" s="195" t="n"/>
    </row>
    <row r="21" ht="13.5" customHeight="1" s="426" thickBot="1">
      <c r="A21" s="181" t="n"/>
      <c r="B21" s="88" t="n"/>
      <c r="C21" s="89" t="n"/>
      <c r="D21" s="90" t="inlineStr">
        <is>
          <t>"Simulated DB error"</t>
        </is>
      </c>
      <c r="E21" s="91" t="n"/>
      <c r="F21" s="148" t="n"/>
      <c r="G21" s="79" t="n"/>
      <c r="H21" s="148" t="inlineStr">
        <is>
          <t>O</t>
        </is>
      </c>
      <c r="I21" s="79" t="n"/>
      <c r="J21" s="79" t="n"/>
      <c r="K21" s="79" t="n"/>
      <c r="L21" s="79" t="n"/>
      <c r="M21" s="79" t="n"/>
      <c r="N21" s="79" t="n"/>
      <c r="O21" s="79" t="n"/>
      <c r="P21" s="79" t="n"/>
      <c r="Q21" s="79" t="n"/>
      <c r="R21" s="79" t="n"/>
      <c r="S21" s="79" t="n"/>
      <c r="T21" s="195" t="n"/>
    </row>
    <row r="22" ht="13.5" customHeight="1" s="426" thickTop="1">
      <c r="A22" s="182" t="inlineStr">
        <is>
          <t>Result</t>
        </is>
      </c>
      <c r="B22" s="331" t="inlineStr">
        <is>
          <t>Type(N : Normal, A : Abnormal, B : Boundary)</t>
        </is>
      </c>
      <c r="C22" s="472" t="n"/>
      <c r="D22" s="473" t="n"/>
      <c r="E22" s="331" t="n"/>
      <c r="F22" s="188" t="inlineStr">
        <is>
          <t>N</t>
        </is>
      </c>
      <c r="G22" s="188" t="inlineStr">
        <is>
          <t>N</t>
        </is>
      </c>
      <c r="H22" s="188" t="inlineStr">
        <is>
          <t>A</t>
        </is>
      </c>
      <c r="I22" s="188" t="n"/>
      <c r="J22" s="188" t="n"/>
      <c r="K22" s="188" t="n"/>
      <c r="L22" s="188" t="n"/>
      <c r="M22" s="188" t="n"/>
      <c r="N22" s="188" t="n"/>
      <c r="O22" s="188" t="n"/>
      <c r="P22" s="188" t="n"/>
      <c r="Q22" s="188" t="n"/>
      <c r="R22" s="188" t="n"/>
      <c r="S22" s="188" t="n"/>
      <c r="T22" s="198" t="n"/>
    </row>
    <row r="23" ht="13.5" customHeight="1" s="426">
      <c r="A23" s="174" t="n"/>
      <c r="B23" s="320" t="inlineStr">
        <is>
          <t>Passed/Failed</t>
        </is>
      </c>
      <c r="C23" s="449" t="n"/>
      <c r="D23" s="450" t="n"/>
      <c r="E23" s="95" t="n"/>
      <c r="F23" s="94" t="inlineStr">
        <is>
          <t>P</t>
        </is>
      </c>
      <c r="G23" s="94" t="inlineStr">
        <is>
          <t>P</t>
        </is>
      </c>
      <c r="H23" s="94" t="inlineStr">
        <is>
          <t>P</t>
        </is>
      </c>
      <c r="I23" s="94" t="n"/>
      <c r="J23" s="94" t="n"/>
      <c r="K23" s="94" t="n"/>
      <c r="L23" s="94" t="n"/>
      <c r="M23" s="94" t="n"/>
      <c r="N23" s="94" t="n"/>
      <c r="O23" s="94" t="n"/>
      <c r="P23" s="94" t="n"/>
      <c r="Q23" s="94" t="n"/>
      <c r="R23" s="94" t="n"/>
      <c r="S23" s="94" t="n"/>
      <c r="T23" s="199" t="n"/>
    </row>
    <row r="24" ht="71.5" customHeight="1" s="426">
      <c r="A24" s="174" t="n"/>
      <c r="B24" s="329" t="inlineStr">
        <is>
          <t>Executed Date</t>
        </is>
      </c>
      <c r="C24" s="449" t="n"/>
      <c r="D24" s="450" t="n"/>
      <c r="E24" s="96" t="n"/>
      <c r="F24" s="97" t="n">
        <v>45700</v>
      </c>
      <c r="G24" s="97" t="n">
        <v>45700</v>
      </c>
      <c r="H24" s="97" t="n">
        <v>45700</v>
      </c>
      <c r="I24" s="97" t="n"/>
      <c r="J24" s="97" t="n"/>
      <c r="K24" s="97" t="n"/>
      <c r="L24" s="97" t="n"/>
      <c r="M24" s="97" t="n"/>
      <c r="N24" s="97" t="n"/>
      <c r="O24" s="97" t="n"/>
      <c r="P24" s="97" t="n"/>
      <c r="Q24" s="97" t="n"/>
      <c r="R24" s="97" t="n"/>
      <c r="S24" s="97" t="n"/>
      <c r="T24" s="176" t="n"/>
    </row>
    <row r="25" ht="10.5" customHeight="1" s="426" thickBot="1">
      <c r="A25" s="177" t="n"/>
      <c r="B25" s="330" t="inlineStr">
        <is>
          <t>Defect ID</t>
        </is>
      </c>
      <c r="C25" s="474" t="n"/>
      <c r="D25" s="475" t="n"/>
      <c r="E25" s="178" t="n"/>
      <c r="F25" s="179" t="n"/>
      <c r="G25" s="179" t="n"/>
      <c r="H25" s="179" t="n"/>
      <c r="I25" s="179" t="n"/>
      <c r="J25" s="179" t="n"/>
      <c r="K25" s="179" t="n"/>
      <c r="L25" s="179" t="n"/>
      <c r="M25" s="179" t="n"/>
      <c r="N25" s="179" t="n"/>
      <c r="O25" s="179" t="n"/>
      <c r="P25" s="179" t="n"/>
      <c r="Q25" s="179" t="n"/>
      <c r="R25" s="179" t="n"/>
      <c r="S25" s="179" t="n"/>
      <c r="T25" s="180" t="n"/>
    </row>
    <row r="26" ht="10.5" customHeight="1" s="426" thickTop="1">
      <c r="A26" s="73" t="n"/>
      <c r="B26" s="69" t="n"/>
      <c r="C26" s="413" t="n"/>
      <c r="D26" s="69" t="n"/>
    </row>
  </sheetData>
  <mergeCells count="27">
    <mergeCell ref="B23:D23"/>
    <mergeCell ref="F2:K2"/>
    <mergeCell ref="A6:B6"/>
    <mergeCell ref="C4:D4"/>
    <mergeCell ref="L4:T4"/>
    <mergeCell ref="C2:E2"/>
    <mergeCell ref="A7:B7"/>
    <mergeCell ref="C7:E7"/>
    <mergeCell ref="L6:N6"/>
    <mergeCell ref="A3:B3"/>
    <mergeCell ref="B24:D24"/>
    <mergeCell ref="A2:B2"/>
    <mergeCell ref="A5:B5"/>
    <mergeCell ref="C3:E3"/>
    <mergeCell ref="O7:T7"/>
    <mergeCell ref="F4:K4"/>
    <mergeCell ref="B25:D25"/>
    <mergeCell ref="C6:E6"/>
    <mergeCell ref="A4:B4"/>
    <mergeCell ref="L2:T2"/>
    <mergeCell ref="O6:T6"/>
    <mergeCell ref="F6:K6"/>
    <mergeCell ref="B22:D22"/>
    <mergeCell ref="F7:K7"/>
    <mergeCell ref="C5:T5"/>
    <mergeCell ref="L3:T3"/>
    <mergeCell ref="F3:K3"/>
  </mergeCells>
  <dataValidations count="3">
    <dataValidation sqref="F22:T22" showDropDown="0" showInputMessage="1" showErrorMessage="1" allowBlank="1" type="list">
      <formula1>"N,A,B, "</formula1>
    </dataValidation>
    <dataValidation sqref="F23:T23" showDropDown="0" showInputMessage="1" showErrorMessage="1" allowBlank="1" type="list">
      <formula1>"P,F, "</formula1>
    </dataValidation>
    <dataValidation sqref="F10:T21"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V26"/>
  <sheetViews>
    <sheetView workbookViewId="0">
      <selection activeCell="A1" sqref="A1"/>
    </sheetView>
  </sheetViews>
  <sheetFormatPr baseColWidth="8" defaultColWidth="9" defaultRowHeight="13.5" customHeight="1"/>
  <cols>
    <col width="8.1796875" customWidth="1" style="69" min="1" max="1"/>
    <col width="13.453125" customWidth="1" style="73" min="2" max="2"/>
    <col width="10.81640625" customWidth="1" style="69" min="3" max="3"/>
    <col width="11.453125" customWidth="1" style="413" min="4" max="4"/>
    <col hidden="1" width="1.81640625" customWidth="1" style="69" min="5" max="5"/>
    <col width="2.81640625" bestFit="1" customWidth="1" style="69" min="6" max="7"/>
    <col width="2.81640625" customWidth="1" style="69" min="8" max="8"/>
    <col width="2.81640625" bestFit="1" customWidth="1" style="69" min="9" max="10"/>
    <col width="2.81640625" customWidth="1" style="69" min="11"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f>'Function List'!E74</f>
        <v/>
      </c>
      <c r="D2" s="439" t="n"/>
      <c r="E2" s="441" t="n"/>
      <c r="F2" s="442" t="inlineStr">
        <is>
          <t>Function Name</t>
        </is>
      </c>
      <c r="G2" s="439" t="n"/>
      <c r="H2" s="439" t="n"/>
      <c r="I2" s="439" t="n"/>
      <c r="J2" s="439" t="n"/>
      <c r="K2" s="441" t="n"/>
      <c r="L2" s="443">
        <f>'Function List'!D74</f>
        <v/>
      </c>
      <c r="M2" s="439" t="n"/>
      <c r="N2" s="439" t="n"/>
      <c r="O2" s="439" t="n"/>
      <c r="P2" s="439" t="n"/>
      <c r="Q2" s="439" t="n"/>
      <c r="R2" s="439" t="n"/>
      <c r="S2" s="439" t="n"/>
      <c r="T2" s="444" t="n"/>
      <c r="V2" s="71" t="n"/>
    </row>
    <row r="3" ht="13.5" customHeight="1" s="426">
      <c r="A3" s="445" t="inlineStr">
        <is>
          <t>Created By</t>
        </is>
      </c>
      <c r="B3" s="428" t="n"/>
      <c r="C3" s="446" t="inlineStr">
        <is>
          <t>Codex</t>
        </is>
      </c>
      <c r="D3" s="433" t="n"/>
      <c r="E3" s="447" t="n"/>
      <c r="F3" s="448" t="inlineStr">
        <is>
          <t>Executed By</t>
        </is>
      </c>
      <c r="G3" s="449" t="n"/>
      <c r="H3" s="449" t="n"/>
      <c r="I3" s="449" t="n"/>
      <c r="J3" s="449" t="n"/>
      <c r="K3" s="450" t="n"/>
      <c r="L3" s="451" t="inlineStr">
        <is>
          <t>Codex (Jest)</t>
        </is>
      </c>
      <c r="M3" s="449" t="n"/>
      <c r="N3" s="449" t="n"/>
      <c r="O3" s="449" t="n"/>
      <c r="P3" s="449" t="n"/>
      <c r="Q3" s="449" t="n"/>
      <c r="R3" s="449" t="n"/>
      <c r="S3" s="449" t="n"/>
      <c r="T3" s="452" t="n"/>
    </row>
    <row r="4" ht="13.5" customHeight="1" s="426">
      <c r="A4" s="445" t="inlineStr">
        <is>
          <t>Lines  of code</t>
        </is>
      </c>
      <c r="B4" s="428" t="n"/>
      <c r="C4" s="327" t="n">
        <v>4</v>
      </c>
      <c r="D4" s="427" t="n"/>
      <c r="E4" s="328" t="n"/>
      <c r="F4" s="448" t="inlineStr">
        <is>
          <t>Lack of test cases</t>
        </is>
      </c>
      <c r="G4" s="449" t="n"/>
      <c r="H4" s="449" t="n"/>
      <c r="I4" s="449" t="n"/>
      <c r="J4" s="449" t="n"/>
      <c r="K4" s="450" t="n"/>
      <c r="L4" s="453" t="n">
        <v>0</v>
      </c>
      <c r="M4" s="454" t="n"/>
      <c r="N4" s="454" t="n"/>
      <c r="O4" s="454" t="n"/>
      <c r="P4" s="454" t="n"/>
      <c r="Q4" s="454" t="n"/>
      <c r="R4" s="454" t="n"/>
      <c r="S4" s="454" t="n"/>
      <c r="T4" s="455" t="n"/>
      <c r="V4" s="71" t="n"/>
    </row>
    <row r="5" ht="13.5" customHeight="1" s="426">
      <c r="A5" s="445" t="inlineStr">
        <is>
          <t>Test requirement</t>
        </is>
      </c>
      <c r="B5" s="428" t="n"/>
      <c r="C5" s="337" t="inlineStr">
        <is>
          <t>Controller-level unit coverage for listContracts based on current NestJS code.</t>
        </is>
      </c>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461" t="inlineStr">
        <is>
          <t>N/A/B</t>
        </is>
      </c>
      <c r="M6" s="427" t="n"/>
      <c r="N6" s="460" t="n"/>
      <c r="O6" s="462" t="inlineStr">
        <is>
          <t>Total Test Cases</t>
        </is>
      </c>
      <c r="P6" s="427" t="n"/>
      <c r="Q6" s="427" t="n"/>
      <c r="R6" s="427" t="n"/>
      <c r="S6" s="427" t="n"/>
      <c r="T6" s="463" t="n"/>
      <c r="V6" s="71" t="n"/>
    </row>
    <row r="7" ht="13.5" customHeight="1" s="426" thickBot="1">
      <c r="A7" s="464">
        <f>COUNTIF(F23:HQ23,"P")</f>
        <v/>
      </c>
      <c r="B7" s="465" t="n"/>
      <c r="C7" s="466">
        <f>COUNTIF(F23:HQ23,"F")</f>
        <v/>
      </c>
      <c r="D7" s="467" t="n"/>
      <c r="E7" s="465" t="n"/>
      <c r="F7" s="468">
        <f>SUM(O7,- A7,- C7)</f>
        <v/>
      </c>
      <c r="G7" s="467" t="n"/>
      <c r="H7" s="467" t="n"/>
      <c r="I7" s="467" t="n"/>
      <c r="J7" s="467" t="n"/>
      <c r="K7" s="469" t="n"/>
      <c r="L7" s="342">
        <f>COUNTIF(E22:HQ22,"N")</f>
        <v/>
      </c>
      <c r="M7" s="342">
        <f>COUNTIF(E22:HQ22,"A")</f>
        <v/>
      </c>
      <c r="N7" s="342">
        <f>COUNTIF(E22:HQ22,"B")</f>
        <v/>
      </c>
      <c r="O7" s="470">
        <f>COUNTA(E9:HT9)</f>
        <v/>
      </c>
      <c r="P7" s="467" t="n"/>
      <c r="Q7" s="467" t="n"/>
      <c r="R7" s="467" t="n"/>
      <c r="S7" s="467" t="n"/>
      <c r="T7" s="471" t="n"/>
      <c r="U7" s="72" t="n"/>
    </row>
    <row r="8" ht="10.5" customHeight="1" s="426" thickBot="1"/>
    <row r="9" ht="46.5" customHeight="1" s="426" thickBot="1" thickTop="1">
      <c r="A9" s="201" t="n"/>
      <c r="B9" s="202" t="n"/>
      <c r="C9" s="203" t="n"/>
      <c r="D9" s="204" t="n"/>
      <c r="E9" s="203" t="n"/>
      <c r="F9" s="238" t="inlineStr">
        <is>
          <t>UTCID01</t>
        </is>
      </c>
      <c r="G9" s="238" t="inlineStr">
        <is>
          <t>UTCID02</t>
        </is>
      </c>
      <c r="H9" s="238" t="inlineStr">
        <is>
          <t>UTCID03</t>
        </is>
      </c>
      <c r="I9" s="236" t="n"/>
      <c r="J9" s="236" t="n"/>
      <c r="K9" s="205" t="n"/>
      <c r="L9" s="205" t="n"/>
      <c r="M9" s="205" t="n"/>
      <c r="N9" s="205" t="n"/>
      <c r="O9" s="205" t="n"/>
      <c r="P9" s="205" t="n"/>
      <c r="Q9" s="205" t="n"/>
      <c r="R9" s="205" t="n"/>
      <c r="S9" s="205" t="n"/>
      <c r="T9" s="206" t="n"/>
      <c r="U9" s="74" t="n"/>
      <c r="V9" s="71" t="n"/>
    </row>
    <row r="10" ht="13.5" customHeight="1" s="426">
      <c r="A10" s="183" t="inlineStr">
        <is>
          <t>Condition</t>
        </is>
      </c>
      <c r="B10" s="184" t="inlineStr">
        <is>
          <t>Precondition / Input</t>
        </is>
      </c>
      <c r="C10" s="185" t="n"/>
      <c r="D10" s="186" t="n"/>
      <c r="E10" s="80" t="n"/>
      <c r="F10" s="149" t="n"/>
      <c r="G10" s="149" t="n"/>
      <c r="H10" s="149" t="n"/>
      <c r="I10" s="149" t="n"/>
      <c r="J10" s="149" t="n"/>
      <c r="K10" s="149" t="n"/>
      <c r="L10" s="149" t="n"/>
      <c r="M10" s="149" t="n"/>
      <c r="N10" s="149" t="n"/>
      <c r="O10" s="149" t="n"/>
      <c r="P10" s="149" t="n"/>
      <c r="Q10" s="149" t="n"/>
      <c r="R10" s="149" t="n"/>
      <c r="S10" s="149" t="n"/>
      <c r="T10" s="172" t="n"/>
    </row>
    <row r="11" ht="13.5" customHeight="1" s="426">
      <c r="A11" s="171" t="n"/>
      <c r="B11" s="75" t="n"/>
      <c r="C11" s="76" t="n"/>
      <c r="D11" s="77" t="inlineStr">
        <is>
          <t>Authenticated user context available</t>
        </is>
      </c>
      <c r="E11" s="80" t="n"/>
      <c r="F11" s="148" t="inlineStr">
        <is>
          <t>O</t>
        </is>
      </c>
      <c r="G11" s="148" t="inlineStr">
        <is>
          <t>O</t>
        </is>
      </c>
      <c r="H11" s="148" t="inlineStr">
        <is>
          <t>O</t>
        </is>
      </c>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Service returns one or more contracts</t>
        </is>
      </c>
      <c r="E12" s="80" t="n"/>
      <c r="F12" s="148" t="inlineStr">
        <is>
          <t>O</t>
        </is>
      </c>
      <c r="G12" s="148" t="n"/>
      <c r="H12" s="148" t="n"/>
      <c r="I12" s="148" t="n"/>
      <c r="J12" s="148" t="n"/>
      <c r="K12" s="148" t="n"/>
      <c r="L12" s="148" t="n"/>
      <c r="M12" s="148" t="n"/>
      <c r="N12" s="148" t="n"/>
      <c r="O12" s="148" t="n"/>
      <c r="P12" s="148" t="n"/>
      <c r="Q12" s="148" t="n"/>
      <c r="R12" s="148" t="n"/>
      <c r="S12" s="148" t="n"/>
      <c r="T12" s="170" t="n"/>
      <c r="V12" s="71" t="n"/>
    </row>
    <row r="13" ht="13.5" customHeight="1" s="426">
      <c r="A13" s="171" t="n"/>
      <c r="B13" s="75" t="n"/>
      <c r="C13" s="76" t="n"/>
      <c r="D13" s="77" t="inlineStr">
        <is>
          <t>Service returns an empty array</t>
        </is>
      </c>
      <c r="E13" s="80" t="n"/>
      <c r="F13" s="148" t="n"/>
      <c r="G13" s="148" t="inlineStr">
        <is>
          <t>O</t>
        </is>
      </c>
      <c r="H13" s="148" t="n"/>
      <c r="I13" s="148" t="n"/>
      <c r="J13" s="148" t="n"/>
      <c r="K13" s="148" t="n"/>
      <c r="L13" s="148" t="n"/>
      <c r="M13" s="148" t="n"/>
      <c r="N13" s="148" t="n"/>
      <c r="O13" s="148" t="n"/>
      <c r="P13" s="148" t="n"/>
      <c r="Q13" s="148" t="n"/>
      <c r="R13" s="148" t="n"/>
      <c r="S13" s="148" t="n"/>
      <c r="T13" s="170" t="n"/>
      <c r="V13" s="71" t="n"/>
    </row>
    <row r="14" ht="13.5" customHeight="1" s="426" thickBot="1">
      <c r="A14" s="171" t="n"/>
      <c r="B14" s="75" t="n"/>
      <c r="C14" s="76" t="n"/>
      <c r="D14" s="77" t="inlineStr">
        <is>
          <t>Service throws an unexpected error</t>
        </is>
      </c>
      <c r="E14" s="80" t="n"/>
      <c r="F14" s="148" t="n"/>
      <c r="G14" s="148" t="n"/>
      <c r="H14" s="148" t="inlineStr">
        <is>
          <t>O</t>
        </is>
      </c>
      <c r="I14" s="148" t="n"/>
      <c r="J14" s="148" t="n"/>
      <c r="K14" s="148" t="n"/>
      <c r="L14" s="148" t="n"/>
      <c r="M14" s="148" t="n"/>
      <c r="N14" s="148" t="n"/>
      <c r="O14" s="148" t="n"/>
      <c r="P14" s="148" t="n"/>
      <c r="Q14" s="148" t="n"/>
      <c r="R14" s="148" t="n"/>
      <c r="S14" s="148" t="n"/>
      <c r="T14" s="170" t="n"/>
    </row>
    <row r="15" ht="13.5" customHeight="1" s="426">
      <c r="A15" s="182" t="inlineStr">
        <is>
          <t>Confirm</t>
        </is>
      </c>
      <c r="B15" s="83" t="inlineStr">
        <is>
          <t>Expected Output</t>
        </is>
      </c>
      <c r="C15" s="84" t="n"/>
      <c r="D15" s="85" t="n"/>
      <c r="E15" s="86" t="n"/>
      <c r="F15" s="149" t="n"/>
      <c r="G15" s="149" t="n"/>
      <c r="H15" s="149" t="n"/>
      <c r="I15" s="149" t="n"/>
      <c r="J15" s="149" t="n"/>
      <c r="K15" s="149" t="n"/>
      <c r="L15" s="149" t="n"/>
      <c r="M15" s="149" t="n"/>
      <c r="N15" s="149" t="n"/>
      <c r="O15" s="149" t="n"/>
      <c r="P15" s="149" t="n"/>
      <c r="Q15" s="149" t="n"/>
      <c r="R15" s="149" t="n"/>
      <c r="S15" s="149" t="n"/>
      <c r="T15" s="172" t="n"/>
    </row>
    <row r="16" ht="13.5" customHeight="1" s="426">
      <c r="A16" s="181" t="n"/>
      <c r="B16" s="88" t="n"/>
      <c r="C16" s="89" t="n"/>
      <c r="D16" s="90" t="inlineStr">
        <is>
          <t>Return contract list for the authenticated user</t>
        </is>
      </c>
      <c r="E16" s="91" t="n"/>
      <c r="F16" s="148" t="inlineStr">
        <is>
          <t>O</t>
        </is>
      </c>
      <c r="G16" s="148" t="n"/>
      <c r="H16" s="148" t="n"/>
      <c r="I16" s="148" t="n"/>
      <c r="J16" s="148" t="n"/>
      <c r="K16" s="148" t="n"/>
      <c r="L16" s="148" t="n"/>
      <c r="M16" s="148" t="n"/>
      <c r="N16" s="148" t="n"/>
      <c r="O16" s="148" t="n"/>
      <c r="P16" s="148" t="n"/>
      <c r="Q16" s="148" t="n"/>
      <c r="R16" s="148" t="n"/>
      <c r="S16" s="148" t="n"/>
      <c r="T16" s="170" t="n"/>
    </row>
    <row r="17" ht="13.5" customHeight="1" s="426">
      <c r="A17" s="181" t="n"/>
      <c r="B17" s="88" t="n"/>
      <c r="C17" s="150" t="n"/>
      <c r="D17" s="90" t="inlineStr">
        <is>
          <t>Return empty array</t>
        </is>
      </c>
      <c r="E17" s="93" t="n"/>
      <c r="F17" s="148" t="n"/>
      <c r="G17" s="148" t="inlineStr">
        <is>
          <t>O</t>
        </is>
      </c>
      <c r="H17" s="148" t="n"/>
      <c r="I17" s="148" t="n"/>
      <c r="J17" s="148" t="n"/>
      <c r="K17" s="148" t="n"/>
      <c r="L17" s="148" t="n"/>
      <c r="M17" s="148" t="n"/>
      <c r="N17" s="148" t="n"/>
      <c r="O17" s="148" t="n"/>
      <c r="P17" s="148" t="n"/>
      <c r="Q17" s="148" t="n"/>
      <c r="R17" s="148" t="n"/>
      <c r="S17" s="148" t="n"/>
      <c r="T17" s="170" t="n"/>
    </row>
    <row r="18" ht="13.5" customHeight="1" s="426">
      <c r="A18" s="181" t="n"/>
      <c r="B18" s="88" t="inlineStr">
        <is>
          <t>Exception</t>
        </is>
      </c>
      <c r="C18" s="150" t="n"/>
      <c r="D18" s="90" t="n"/>
      <c r="E18" s="93" t="n"/>
      <c r="F18" s="148" t="n"/>
      <c r="G18" s="148" t="n"/>
      <c r="H18" s="148" t="n"/>
      <c r="I18" s="148" t="n"/>
      <c r="J18" s="148" t="n"/>
      <c r="K18" s="148" t="n"/>
      <c r="L18" s="148" t="n"/>
      <c r="M18" s="148" t="n"/>
      <c r="N18" s="148" t="n"/>
      <c r="O18" s="148" t="n"/>
      <c r="P18" s="148" t="n"/>
      <c r="Q18" s="148" t="n"/>
      <c r="R18" s="148" t="n"/>
      <c r="S18" s="148" t="n"/>
      <c r="T18" s="170" t="n"/>
    </row>
    <row r="19" ht="13.5" customHeight="1" s="426">
      <c r="A19" s="181" t="n"/>
      <c r="B19" s="88" t="n"/>
      <c r="C19" s="150" t="n"/>
      <c r="D19" s="90" t="inlineStr">
        <is>
          <t>Propagate service exception</t>
        </is>
      </c>
      <c r="E19" s="93" t="n"/>
      <c r="F19" s="148" t="n"/>
      <c r="G19" s="148" t="n"/>
      <c r="H19" s="148" t="inlineStr">
        <is>
          <t>O</t>
        </is>
      </c>
      <c r="I19" s="148" t="n"/>
      <c r="J19" s="148" t="n"/>
      <c r="K19" s="148" t="n"/>
      <c r="L19" s="148" t="n"/>
      <c r="M19" s="148" t="n"/>
      <c r="N19" s="148" t="n"/>
      <c r="O19" s="148" t="n"/>
      <c r="P19" s="148" t="n"/>
      <c r="Q19" s="148" t="n"/>
      <c r="R19" s="148" t="n"/>
      <c r="S19" s="148" t="n"/>
      <c r="T19" s="170" t="n"/>
    </row>
    <row r="20" ht="13.5" customHeight="1" s="426">
      <c r="A20" s="181" t="n"/>
      <c r="B20" s="88" t="inlineStr">
        <is>
          <t>Verification</t>
        </is>
      </c>
      <c r="C20" s="150" t="n"/>
      <c r="D20" s="90" t="n"/>
      <c r="E20" s="93" t="n"/>
      <c r="F20" s="148" t="n"/>
      <c r="G20" s="148" t="n"/>
      <c r="H20" s="148" t="n"/>
      <c r="I20" s="148" t="n"/>
      <c r="J20" s="148" t="n"/>
      <c r="K20" s="148" t="n"/>
      <c r="L20" s="148" t="n"/>
      <c r="M20" s="148" t="n"/>
      <c r="N20" s="148" t="n"/>
      <c r="O20" s="148" t="n"/>
      <c r="P20" s="148" t="n"/>
      <c r="Q20" s="148" t="n"/>
      <c r="R20" s="148" t="n"/>
      <c r="S20" s="148" t="n"/>
      <c r="T20" s="170" t="n"/>
    </row>
    <row r="21" ht="13.5" customHeight="1" s="426" thickBot="1">
      <c r="A21" s="181" t="n"/>
      <c r="B21" s="88" t="n"/>
      <c r="C21" s="150" t="n"/>
      <c r="D21" s="90" t="inlineStr">
        <is>
          <t>contractsService.listByUser is called with user.id</t>
        </is>
      </c>
      <c r="E21" s="93" t="n"/>
      <c r="F21" s="148" t="inlineStr">
        <is>
          <t>O</t>
        </is>
      </c>
      <c r="G21" s="148" t="inlineStr">
        <is>
          <t>O</t>
        </is>
      </c>
      <c r="H21" s="148" t="inlineStr">
        <is>
          <t>O</t>
        </is>
      </c>
      <c r="I21" s="148" t="n"/>
      <c r="J21" s="148" t="n"/>
      <c r="K21" s="148" t="n"/>
      <c r="L21" s="148" t="n"/>
      <c r="M21" s="148" t="n"/>
      <c r="N21" s="148" t="n"/>
      <c r="O21" s="148" t="n"/>
      <c r="P21" s="148" t="n"/>
      <c r="Q21" s="148" t="n"/>
      <c r="R21" s="148" t="n"/>
      <c r="S21" s="148" t="n"/>
      <c r="T21" s="170" t="n"/>
    </row>
    <row r="22" ht="13.5" customHeight="1" s="426" thickTop="1">
      <c r="A22" s="182" t="inlineStr">
        <is>
          <t>Result</t>
        </is>
      </c>
      <c r="B22" s="331" t="inlineStr">
        <is>
          <t>Type(N : Normal, A : Abnormal, B : Boundary)</t>
        </is>
      </c>
      <c r="C22" s="472" t="n"/>
      <c r="D22" s="473" t="n"/>
      <c r="E22" s="331" t="n"/>
      <c r="F22" s="163" t="inlineStr">
        <is>
          <t>N</t>
        </is>
      </c>
      <c r="G22" s="163" t="inlineStr">
        <is>
          <t>N</t>
        </is>
      </c>
      <c r="H22" s="163" t="inlineStr">
        <is>
          <t>A</t>
        </is>
      </c>
      <c r="I22" s="163" t="n"/>
      <c r="J22" s="163" t="n"/>
      <c r="K22" s="163" t="n"/>
      <c r="L22" s="163" t="n"/>
      <c r="M22" s="163" t="n"/>
      <c r="N22" s="163" t="n"/>
      <c r="O22" s="163" t="n"/>
      <c r="P22" s="163" t="n"/>
      <c r="Q22" s="163" t="n"/>
      <c r="R22" s="163" t="n"/>
      <c r="S22" s="163" t="n"/>
      <c r="T22" s="173" t="n"/>
    </row>
    <row r="23" ht="13.5" customHeight="1" s="426">
      <c r="A23" s="181" t="n"/>
      <c r="B23" s="320" t="inlineStr">
        <is>
          <t>Passed/Failed</t>
        </is>
      </c>
      <c r="C23" s="449" t="n"/>
      <c r="D23" s="450" t="n"/>
      <c r="E23" s="95" t="n"/>
      <c r="F23" s="151" t="inlineStr">
        <is>
          <t>P</t>
        </is>
      </c>
      <c r="G23" s="151" t="inlineStr">
        <is>
          <t>P</t>
        </is>
      </c>
      <c r="H23" s="151" t="inlineStr">
        <is>
          <t>P</t>
        </is>
      </c>
      <c r="I23" s="151" t="n"/>
      <c r="J23" s="151" t="n"/>
      <c r="K23" s="151" t="n"/>
      <c r="L23" s="151" t="n"/>
      <c r="M23" s="151" t="n"/>
      <c r="N23" s="151" t="n"/>
      <c r="O23" s="151" t="n"/>
      <c r="P23" s="151" t="n"/>
      <c r="Q23" s="151" t="n"/>
      <c r="R23" s="151" t="n"/>
      <c r="S23" s="151" t="n"/>
      <c r="T23" s="175" t="n"/>
    </row>
    <row r="24" ht="64.5" customHeight="1" s="426">
      <c r="A24" s="181" t="n"/>
      <c r="B24" s="329" t="inlineStr">
        <is>
          <t>Executed Date</t>
        </is>
      </c>
      <c r="C24" s="449" t="n"/>
      <c r="D24" s="450" t="n"/>
      <c r="E24" s="96" t="n"/>
      <c r="F24" s="97" t="n">
        <v>46110</v>
      </c>
      <c r="G24" s="97" t="n">
        <v>46110</v>
      </c>
      <c r="H24" s="97" t="n">
        <v>46110</v>
      </c>
      <c r="I24" s="97" t="n"/>
      <c r="J24" s="97" t="n"/>
      <c r="K24" s="97" t="n"/>
      <c r="L24" s="97" t="n"/>
      <c r="M24" s="97" t="n"/>
      <c r="N24" s="97" t="n"/>
      <c r="O24" s="97" t="n"/>
      <c r="P24" s="97" t="n"/>
      <c r="Q24" s="97" t="n"/>
      <c r="R24" s="97" t="n"/>
      <c r="S24" s="97" t="n"/>
      <c r="T24" s="176" t="n"/>
    </row>
    <row r="25" ht="10.5" customHeight="1" s="426" thickBot="1">
      <c r="A25" s="200" t="n"/>
      <c r="B25" s="330" t="inlineStr">
        <is>
          <t>Defect ID</t>
        </is>
      </c>
      <c r="C25" s="474" t="n"/>
      <c r="D25" s="475" t="n"/>
      <c r="E25" s="178" t="n"/>
      <c r="F25" s="179" t="n"/>
      <c r="G25" s="179" t="n"/>
      <c r="H25" s="179" t="n"/>
      <c r="I25" s="179" t="n"/>
      <c r="J25" s="179" t="n"/>
      <c r="K25" s="179" t="n"/>
      <c r="L25" s="179" t="n"/>
      <c r="M25" s="179" t="n"/>
      <c r="N25" s="179" t="n"/>
      <c r="O25" s="179" t="n"/>
      <c r="P25" s="179" t="n"/>
      <c r="Q25" s="179" t="n"/>
      <c r="R25" s="179" t="n"/>
      <c r="S25" s="179" t="n"/>
      <c r="T25" s="180" t="n"/>
    </row>
    <row r="26" ht="10.5" customHeight="1" s="426" thickTop="1">
      <c r="A26" s="164" t="n"/>
    </row>
  </sheetData>
  <mergeCells count="27">
    <mergeCell ref="B23:D23"/>
    <mergeCell ref="F2:K2"/>
    <mergeCell ref="A6:B6"/>
    <mergeCell ref="C4:D4"/>
    <mergeCell ref="L4:T4"/>
    <mergeCell ref="C2:E2"/>
    <mergeCell ref="A7:B7"/>
    <mergeCell ref="C7:E7"/>
    <mergeCell ref="L6:N6"/>
    <mergeCell ref="A3:B3"/>
    <mergeCell ref="B24:D24"/>
    <mergeCell ref="A2:B2"/>
    <mergeCell ref="A5:B5"/>
    <mergeCell ref="C3:E3"/>
    <mergeCell ref="F4:K4"/>
    <mergeCell ref="O7:T7"/>
    <mergeCell ref="B25:D25"/>
    <mergeCell ref="C6:E6"/>
    <mergeCell ref="A4:B4"/>
    <mergeCell ref="L2:T2"/>
    <mergeCell ref="O6:T6"/>
    <mergeCell ref="F6:K6"/>
    <mergeCell ref="B22:D22"/>
    <mergeCell ref="C5:T5"/>
    <mergeCell ref="F7:K7"/>
    <mergeCell ref="L3:T3"/>
    <mergeCell ref="F3:K3"/>
  </mergeCells>
  <pageMargins left="0.75" right="0.75" top="0.75" bottom="0.75" header="0.5" footer="0.5"/>
  <pageSetup orientation="portrait" paperSize="9" horizontalDpi="300" verticalDpi="300"/>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A1:V26"/>
  <sheetViews>
    <sheetView workbookViewId="0">
      <selection activeCell="A1" sqref="A1"/>
    </sheetView>
  </sheetViews>
  <sheetFormatPr baseColWidth="8" defaultColWidth="9" defaultRowHeight="13.5" customHeight="1"/>
  <cols>
    <col width="8.1796875" customWidth="1" style="69" min="1" max="1"/>
    <col width="13.453125" customWidth="1" style="73" min="2" max="2"/>
    <col width="10.81640625" customWidth="1" style="69" min="3" max="3"/>
    <col width="11.453125" customWidth="1" style="413" min="4" max="4"/>
    <col hidden="1" width="1.81640625" customWidth="1" style="69" min="5" max="5"/>
    <col width="2.81640625" bestFit="1" customWidth="1" style="69" min="6" max="7"/>
    <col width="2.81640625" customWidth="1" style="69" min="8" max="8"/>
    <col width="2.81640625" bestFit="1" customWidth="1" style="69" min="9" max="10"/>
    <col width="2.81640625" customWidth="1" style="69" min="11"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f>'Function List'!E75</f>
        <v/>
      </c>
      <c r="D2" s="439" t="n"/>
      <c r="E2" s="441" t="n"/>
      <c r="F2" s="442" t="inlineStr">
        <is>
          <t>Function Name</t>
        </is>
      </c>
      <c r="G2" s="439" t="n"/>
      <c r="H2" s="439" t="n"/>
      <c r="I2" s="439" t="n"/>
      <c r="J2" s="439" t="n"/>
      <c r="K2" s="441" t="n"/>
      <c r="L2" s="443">
        <f>'Function List'!D75</f>
        <v/>
      </c>
      <c r="M2" s="439" t="n"/>
      <c r="N2" s="439" t="n"/>
      <c r="O2" s="439" t="n"/>
      <c r="P2" s="439" t="n"/>
      <c r="Q2" s="439" t="n"/>
      <c r="R2" s="439" t="n"/>
      <c r="S2" s="439" t="n"/>
      <c r="T2" s="444" t="n"/>
      <c r="V2" s="71" t="n"/>
    </row>
    <row r="3" ht="13.5" customHeight="1" s="426">
      <c r="A3" s="445" t="inlineStr">
        <is>
          <t>Created By</t>
        </is>
      </c>
      <c r="B3" s="428" t="n"/>
      <c r="C3" s="446" t="inlineStr">
        <is>
          <t>Codex</t>
        </is>
      </c>
      <c r="D3" s="433" t="n"/>
      <c r="E3" s="447" t="n"/>
      <c r="F3" s="448" t="inlineStr">
        <is>
          <t>Executed By</t>
        </is>
      </c>
      <c r="G3" s="449" t="n"/>
      <c r="H3" s="449" t="n"/>
      <c r="I3" s="449" t="n"/>
      <c r="J3" s="449" t="n"/>
      <c r="K3" s="450" t="n"/>
      <c r="L3" s="451" t="inlineStr">
        <is>
          <t>Codex (Jest)</t>
        </is>
      </c>
      <c r="M3" s="449" t="n"/>
      <c r="N3" s="449" t="n"/>
      <c r="O3" s="449" t="n"/>
      <c r="P3" s="449" t="n"/>
      <c r="Q3" s="449" t="n"/>
      <c r="R3" s="449" t="n"/>
      <c r="S3" s="449" t="n"/>
      <c r="T3" s="452" t="n"/>
    </row>
    <row r="4" ht="13.5" customHeight="1" s="426">
      <c r="A4" s="445" t="inlineStr">
        <is>
          <t>Lines  of code</t>
        </is>
      </c>
      <c r="B4" s="428" t="n"/>
      <c r="C4" s="327" t="n">
        <v>28</v>
      </c>
      <c r="D4" s="427" t="n"/>
      <c r="E4" s="328" t="n"/>
      <c r="F4" s="448" t="inlineStr">
        <is>
          <t>Lack of test cases</t>
        </is>
      </c>
      <c r="G4" s="449" t="n"/>
      <c r="H4" s="449" t="n"/>
      <c r="I4" s="449" t="n"/>
      <c r="J4" s="449" t="n"/>
      <c r="K4" s="450" t="n"/>
      <c r="L4" s="453" t="n">
        <v>0</v>
      </c>
      <c r="M4" s="454" t="n"/>
      <c r="N4" s="454" t="n"/>
      <c r="O4" s="454" t="n"/>
      <c r="P4" s="454" t="n"/>
      <c r="Q4" s="454" t="n"/>
      <c r="R4" s="454" t="n"/>
      <c r="S4" s="454" t="n"/>
      <c r="T4" s="455" t="n"/>
      <c r="V4" s="71" t="n"/>
    </row>
    <row r="5" ht="13.5" customHeight="1" s="426">
      <c r="A5" s="445" t="inlineStr">
        <is>
          <t>Test requirement</t>
        </is>
      </c>
      <c r="B5" s="428" t="n"/>
      <c r="C5" s="337" t="inlineStr">
        <is>
          <t>Controller-level unit coverage for fundMilestone based on current NestJS code.</t>
        </is>
      </c>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461" t="inlineStr">
        <is>
          <t>N/A/B</t>
        </is>
      </c>
      <c r="M6" s="427" t="n"/>
      <c r="N6" s="460" t="n"/>
      <c r="O6" s="462" t="inlineStr">
        <is>
          <t>Total Test Cases</t>
        </is>
      </c>
      <c r="P6" s="427" t="n"/>
      <c r="Q6" s="427" t="n"/>
      <c r="R6" s="427" t="n"/>
      <c r="S6" s="427" t="n"/>
      <c r="T6" s="463" t="n"/>
      <c r="V6" s="71" t="n"/>
    </row>
    <row r="7" ht="13.5" customHeight="1" s="426" thickBot="1">
      <c r="A7" s="464">
        <f>COUNTIF(F23:HQ23,"P")</f>
        <v/>
      </c>
      <c r="B7" s="465" t="n"/>
      <c r="C7" s="466">
        <f>COUNTIF(F23:HQ23,"F")</f>
        <v/>
      </c>
      <c r="D7" s="467" t="n"/>
      <c r="E7" s="465" t="n"/>
      <c r="F7" s="468">
        <f>SUM(O7,- A7,- C7)</f>
        <v/>
      </c>
      <c r="G7" s="467" t="n"/>
      <c r="H7" s="467" t="n"/>
      <c r="I7" s="467" t="n"/>
      <c r="J7" s="467" t="n"/>
      <c r="K7" s="469" t="n"/>
      <c r="L7" s="342">
        <f>COUNTIF(E22:HQ22,"N")</f>
        <v/>
      </c>
      <c r="M7" s="342">
        <f>COUNTIF(E22:HQ22,"A")</f>
        <v/>
      </c>
      <c r="N7" s="342">
        <f>COUNTIF(E22:HQ22,"B")</f>
        <v/>
      </c>
      <c r="O7" s="470">
        <f>COUNTA(E9:HT9)</f>
        <v/>
      </c>
      <c r="P7" s="467" t="n"/>
      <c r="Q7" s="467" t="n"/>
      <c r="R7" s="467" t="n"/>
      <c r="S7" s="467" t="n"/>
      <c r="T7" s="471" t="n"/>
      <c r="U7" s="72" t="n"/>
    </row>
    <row r="8" ht="10.5" customHeight="1" s="426" thickBot="1"/>
    <row r="9" ht="46.5" customHeight="1" s="426" thickBot="1" thickTop="1">
      <c r="A9" s="201" t="n"/>
      <c r="B9" s="202" t="n"/>
      <c r="C9" s="203" t="n"/>
      <c r="D9" s="204" t="n"/>
      <c r="E9" s="203" t="n"/>
      <c r="F9" s="238" t="inlineStr">
        <is>
          <t>UTCID01</t>
        </is>
      </c>
      <c r="G9" s="238" t="inlineStr">
        <is>
          <t>UTCID02</t>
        </is>
      </c>
      <c r="H9" s="238" t="inlineStr">
        <is>
          <t>UTCID03</t>
        </is>
      </c>
      <c r="I9" s="236" t="n"/>
      <c r="J9" s="236" t="n"/>
      <c r="K9" s="205" t="n"/>
      <c r="L9" s="205" t="n"/>
      <c r="M9" s="205" t="n"/>
      <c r="N9" s="205" t="n"/>
      <c r="O9" s="205" t="n"/>
      <c r="P9" s="205" t="n"/>
      <c r="Q9" s="205" t="n"/>
      <c r="R9" s="205" t="n"/>
      <c r="S9" s="205" t="n"/>
      <c r="T9" s="206" t="n"/>
      <c r="U9" s="74" t="n"/>
      <c r="V9" s="71" t="n"/>
    </row>
    <row r="10" ht="13.5" customHeight="1" s="426">
      <c r="A10" s="183" t="inlineStr">
        <is>
          <t>Condition</t>
        </is>
      </c>
      <c r="B10" s="184" t="inlineStr">
        <is>
          <t>Precondition / Input</t>
        </is>
      </c>
      <c r="C10" s="185" t="n"/>
      <c r="D10" s="186" t="n"/>
      <c r="E10" s="80" t="n"/>
      <c r="F10" s="149" t="n"/>
      <c r="G10" s="149" t="n"/>
      <c r="H10" s="149" t="n"/>
      <c r="I10" s="149" t="n"/>
      <c r="J10" s="149" t="n"/>
      <c r="K10" s="149" t="n"/>
      <c r="L10" s="149" t="n"/>
      <c r="M10" s="149" t="n"/>
      <c r="N10" s="149" t="n"/>
      <c r="O10" s="149" t="n"/>
      <c r="P10" s="149" t="n"/>
      <c r="Q10" s="149" t="n"/>
      <c r="R10" s="149" t="n"/>
      <c r="S10" s="149" t="n"/>
      <c r="T10" s="172" t="n"/>
    </row>
    <row r="11" ht="13.5" customHeight="1" s="426">
      <c r="A11" s="171" t="n"/>
      <c r="B11" s="75" t="n"/>
      <c r="C11" s="76" t="n"/>
      <c r="D11" s="77" t="inlineStr">
        <is>
          <t>Authenticated user context available</t>
        </is>
      </c>
      <c r="E11" s="80" t="n"/>
      <c r="F11" s="148" t="inlineStr">
        <is>
          <t>O</t>
        </is>
      </c>
      <c r="G11" s="148" t="inlineStr">
        <is>
          <t>O</t>
        </is>
      </c>
      <c r="H11" s="148" t="inlineStr">
        <is>
          <t>O</t>
        </is>
      </c>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Valid milestoneId, paymentMethodId, and gateway payload</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c r="V12" s="71" t="n"/>
    </row>
    <row r="13" ht="13.5" customHeight="1" s="426">
      <c r="A13" s="171" t="n"/>
      <c r="B13" s="75" t="n"/>
      <c r="C13" s="76" t="n"/>
      <c r="D13" s="77" t="inlineStr">
        <is>
          <t>Idempotency-Key header is missing</t>
        </is>
      </c>
      <c r="E13" s="80" t="n"/>
      <c r="F13" s="148" t="inlineStr">
        <is>
          <t>O</t>
        </is>
      </c>
      <c r="G13" s="148" t="n"/>
      <c r="H13" s="148" t="n"/>
      <c r="I13" s="148" t="n"/>
      <c r="J13" s="148" t="n"/>
      <c r="K13" s="148" t="n"/>
      <c r="L13" s="148" t="n"/>
      <c r="M13" s="148" t="n"/>
      <c r="N13" s="148" t="n"/>
      <c r="O13" s="148" t="n"/>
      <c r="P13" s="148" t="n"/>
      <c r="Q13" s="148" t="n"/>
      <c r="R13" s="148" t="n"/>
      <c r="S13" s="148" t="n"/>
      <c r="T13" s="170" t="n"/>
      <c r="V13" s="71" t="n"/>
    </row>
    <row r="14" ht="13.5" customHeight="1" s="426" thickBot="1">
      <c r="A14" s="171" t="n"/>
      <c r="B14" s="75" t="n"/>
      <c r="C14" s="76" t="n"/>
      <c r="D14" s="77" t="inlineStr">
        <is>
          <t>Idempotency-Key header is present</t>
        </is>
      </c>
      <c r="E14" s="80" t="n"/>
      <c r="F14" s="148" t="n"/>
      <c r="G14" s="148" t="inlineStr">
        <is>
          <t>O</t>
        </is>
      </c>
      <c r="H14" s="148" t="inlineStr">
        <is>
          <t>O</t>
        </is>
      </c>
      <c r="I14" s="148" t="n"/>
      <c r="J14" s="148" t="n"/>
      <c r="K14" s="148" t="n"/>
      <c r="L14" s="148" t="n"/>
      <c r="M14" s="148" t="n"/>
      <c r="N14" s="148" t="n"/>
      <c r="O14" s="148" t="n"/>
      <c r="P14" s="148" t="n"/>
      <c r="Q14" s="148" t="n"/>
      <c r="R14" s="148" t="n"/>
      <c r="S14" s="148" t="n"/>
      <c r="T14" s="170" t="n"/>
    </row>
    <row r="15" ht="13.5" customHeight="1" s="426">
      <c r="A15" s="182" t="inlineStr">
        <is>
          <t>Confirm</t>
        </is>
      </c>
      <c r="B15" s="83" t="inlineStr">
        <is>
          <t>Expected Output</t>
        </is>
      </c>
      <c r="C15" s="84" t="n"/>
      <c r="D15" s="85" t="n"/>
      <c r="E15" s="86" t="n"/>
      <c r="F15" s="149" t="n"/>
      <c r="G15" s="149" t="n"/>
      <c r="H15" s="149" t="n"/>
      <c r="I15" s="149" t="n"/>
      <c r="J15" s="149" t="n"/>
      <c r="K15" s="149" t="n"/>
      <c r="L15" s="149" t="n"/>
      <c r="M15" s="149" t="n"/>
      <c r="N15" s="149" t="n"/>
      <c r="O15" s="149" t="n"/>
      <c r="P15" s="149" t="n"/>
      <c r="Q15" s="149" t="n"/>
      <c r="R15" s="149" t="n"/>
      <c r="S15" s="149" t="n"/>
      <c r="T15" s="172" t="n"/>
    </row>
    <row r="16" ht="13.5" customHeight="1" s="426">
      <c r="A16" s="181" t="n"/>
      <c r="B16" s="88" t="n"/>
      <c r="C16" s="89" t="n"/>
      <c r="D16" s="90" t="inlineStr">
        <is>
          <t>Return { success: true, data: funding result }</t>
        </is>
      </c>
      <c r="E16" s="91" t="n"/>
      <c r="F16" s="148" t="n"/>
      <c r="G16" s="148" t="inlineStr">
        <is>
          <t>O</t>
        </is>
      </c>
      <c r="H16" s="148" t="n"/>
      <c r="I16" s="148" t="n"/>
      <c r="J16" s="148" t="n"/>
      <c r="K16" s="148" t="n"/>
      <c r="L16" s="148" t="n"/>
      <c r="M16" s="148" t="n"/>
      <c r="N16" s="148" t="n"/>
      <c r="O16" s="148" t="n"/>
      <c r="P16" s="148" t="n"/>
      <c r="Q16" s="148" t="n"/>
      <c r="R16" s="148" t="n"/>
      <c r="S16" s="148" t="n"/>
      <c r="T16" s="170" t="n"/>
    </row>
    <row r="17" ht="13.5" customHeight="1" s="426">
      <c r="A17" s="181" t="n"/>
      <c r="B17" s="88" t="n"/>
      <c r="C17" s="150" t="n"/>
      <c r="D17" s="90" t="n"/>
      <c r="E17" s="93" t="n"/>
      <c r="F17" s="148" t="n"/>
      <c r="G17" s="148" t="n"/>
      <c r="H17" s="148" t="n"/>
      <c r="I17" s="148" t="n"/>
      <c r="J17" s="148" t="n"/>
      <c r="K17" s="148" t="n"/>
      <c r="L17" s="148" t="n"/>
      <c r="M17" s="148" t="n"/>
      <c r="N17" s="148" t="n"/>
      <c r="O17" s="148" t="n"/>
      <c r="P17" s="148" t="n"/>
      <c r="Q17" s="148" t="n"/>
      <c r="R17" s="148" t="n"/>
      <c r="S17" s="148" t="n"/>
      <c r="T17" s="170" t="n"/>
    </row>
    <row r="18" ht="13.5" customHeight="1" s="426">
      <c r="A18" s="181" t="n"/>
      <c r="B18" s="88" t="inlineStr">
        <is>
          <t>Exception</t>
        </is>
      </c>
      <c r="C18" s="150" t="n"/>
      <c r="D18" s="90" t="n"/>
      <c r="E18" s="93" t="n"/>
      <c r="F18" s="148" t="n"/>
      <c r="G18" s="148" t="n"/>
      <c r="H18" s="148" t="n"/>
      <c r="I18" s="148" t="n"/>
      <c r="J18" s="148" t="n"/>
      <c r="K18" s="148" t="n"/>
      <c r="L18" s="148" t="n"/>
      <c r="M18" s="148" t="n"/>
      <c r="N18" s="148" t="n"/>
      <c r="O18" s="148" t="n"/>
      <c r="P18" s="148" t="n"/>
      <c r="Q18" s="148" t="n"/>
      <c r="R18" s="148" t="n"/>
      <c r="S18" s="148" t="n"/>
      <c r="T18" s="170" t="n"/>
    </row>
    <row r="19" ht="13.5" customHeight="1" s="426">
      <c r="A19" s="181" t="n"/>
      <c r="B19" s="88" t="n"/>
      <c r="C19" s="150" t="n"/>
      <c r="D19" s="90" t="inlineStr">
        <is>
          <t>Throw/propagate funding error when validation or service call fails</t>
        </is>
      </c>
      <c r="E19" s="93" t="n"/>
      <c r="F19" s="148" t="inlineStr">
        <is>
          <t>O</t>
        </is>
      </c>
      <c r="G19" s="148" t="n"/>
      <c r="H19" s="148" t="inlineStr">
        <is>
          <t>O</t>
        </is>
      </c>
      <c r="I19" s="148" t="n"/>
      <c r="J19" s="148" t="n"/>
      <c r="K19" s="148" t="n"/>
      <c r="L19" s="148" t="n"/>
      <c r="M19" s="148" t="n"/>
      <c r="N19" s="148" t="n"/>
      <c r="O19" s="148" t="n"/>
      <c r="P19" s="148" t="n"/>
      <c r="Q19" s="148" t="n"/>
      <c r="R19" s="148" t="n"/>
      <c r="S19" s="148" t="n"/>
      <c r="T19" s="170" t="n"/>
    </row>
    <row r="20" ht="13.5" customHeight="1" s="426">
      <c r="A20" s="181" t="n"/>
      <c r="B20" s="88" t="inlineStr">
        <is>
          <t>Verification</t>
        </is>
      </c>
      <c r="C20" s="150" t="n"/>
      <c r="D20" s="90" t="n"/>
      <c r="E20" s="93" t="n"/>
      <c r="F20" s="148" t="n"/>
      <c r="G20" s="148" t="n"/>
      <c r="H20" s="148" t="n"/>
      <c r="I20" s="148" t="n"/>
      <c r="J20" s="148" t="n"/>
      <c r="K20" s="148" t="n"/>
      <c r="L20" s="148" t="n"/>
      <c r="M20" s="148" t="n"/>
      <c r="N20" s="148" t="n"/>
      <c r="O20" s="148" t="n"/>
      <c r="P20" s="148" t="n"/>
      <c r="Q20" s="148" t="n"/>
      <c r="R20" s="148" t="n"/>
      <c r="S20" s="148" t="n"/>
      <c r="T20" s="170" t="n"/>
    </row>
    <row r="21" ht="13.5" customHeight="1" s="426" thickBot="1">
      <c r="A21" s="181" t="n"/>
      <c r="B21" s="88" t="n"/>
      <c r="C21" s="150" t="n"/>
      <c r="D21" s="90" t="inlineStr">
        <is>
          <t>milestoneFundingService.fundMilestone receives milestoneId, payerId, paymentMethodId, gateway, and idempotencyKey after header validation</t>
        </is>
      </c>
      <c r="E21" s="93" t="n"/>
      <c r="F21" s="148" t="n"/>
      <c r="G21" s="148" t="inlineStr">
        <is>
          <t>O</t>
        </is>
      </c>
      <c r="H21" s="148" t="inlineStr">
        <is>
          <t>O</t>
        </is>
      </c>
      <c r="I21" s="148" t="n"/>
      <c r="J21" s="148" t="n"/>
      <c r="K21" s="148" t="n"/>
      <c r="L21" s="148" t="n"/>
      <c r="M21" s="148" t="n"/>
      <c r="N21" s="148" t="n"/>
      <c r="O21" s="148" t="n"/>
      <c r="P21" s="148" t="n"/>
      <c r="Q21" s="148" t="n"/>
      <c r="R21" s="148" t="n"/>
      <c r="S21" s="148" t="n"/>
      <c r="T21" s="170" t="n"/>
    </row>
    <row r="22" ht="13.5" customHeight="1" s="426" thickTop="1">
      <c r="A22" s="182" t="inlineStr">
        <is>
          <t>Result</t>
        </is>
      </c>
      <c r="B22" s="331" t="inlineStr">
        <is>
          <t>Type(N : Normal, A : Abnormal, B : Boundary)</t>
        </is>
      </c>
      <c r="C22" s="472" t="n"/>
      <c r="D22" s="473" t="n"/>
      <c r="E22" s="331" t="n"/>
      <c r="F22" s="163" t="inlineStr">
        <is>
          <t>A</t>
        </is>
      </c>
      <c r="G22" s="163" t="inlineStr">
        <is>
          <t>N</t>
        </is>
      </c>
      <c r="H22" s="163" t="inlineStr">
        <is>
          <t>A</t>
        </is>
      </c>
      <c r="I22" s="163" t="n"/>
      <c r="J22" s="163" t="n"/>
      <c r="K22" s="163" t="n"/>
      <c r="L22" s="163" t="n"/>
      <c r="M22" s="163" t="n"/>
      <c r="N22" s="163" t="n"/>
      <c r="O22" s="163" t="n"/>
      <c r="P22" s="163" t="n"/>
      <c r="Q22" s="163" t="n"/>
      <c r="R22" s="163" t="n"/>
      <c r="S22" s="163" t="n"/>
      <c r="T22" s="173" t="n"/>
    </row>
    <row r="23" ht="13.5" customHeight="1" s="426">
      <c r="A23" s="181" t="n"/>
      <c r="B23" s="320" t="inlineStr">
        <is>
          <t>Passed/Failed</t>
        </is>
      </c>
      <c r="C23" s="449" t="n"/>
      <c r="D23" s="450" t="n"/>
      <c r="E23" s="95" t="n"/>
      <c r="F23" s="151" t="inlineStr">
        <is>
          <t>P</t>
        </is>
      </c>
      <c r="G23" s="151" t="inlineStr">
        <is>
          <t>P</t>
        </is>
      </c>
      <c r="H23" s="151" t="inlineStr">
        <is>
          <t>P</t>
        </is>
      </c>
      <c r="I23" s="151" t="n"/>
      <c r="J23" s="151" t="n"/>
      <c r="K23" s="151" t="n"/>
      <c r="L23" s="151" t="n"/>
      <c r="M23" s="151" t="n"/>
      <c r="N23" s="151" t="n"/>
      <c r="O23" s="151" t="n"/>
      <c r="P23" s="151" t="n"/>
      <c r="Q23" s="151" t="n"/>
      <c r="R23" s="151" t="n"/>
      <c r="S23" s="151" t="n"/>
      <c r="T23" s="175" t="n"/>
    </row>
    <row r="24" ht="64.5" customHeight="1" s="426">
      <c r="A24" s="181" t="n"/>
      <c r="B24" s="329" t="inlineStr">
        <is>
          <t>Executed Date</t>
        </is>
      </c>
      <c r="C24" s="449" t="n"/>
      <c r="D24" s="450" t="n"/>
      <c r="E24" s="96" t="n"/>
      <c r="F24" s="97" t="n">
        <v>46110</v>
      </c>
      <c r="G24" s="97" t="n">
        <v>46110</v>
      </c>
      <c r="H24" s="97" t="n">
        <v>46110</v>
      </c>
      <c r="I24" s="97" t="n"/>
      <c r="J24" s="97" t="n"/>
      <c r="K24" s="97" t="n"/>
      <c r="L24" s="97" t="n"/>
      <c r="M24" s="97" t="n"/>
      <c r="N24" s="97" t="n"/>
      <c r="O24" s="97" t="n"/>
      <c r="P24" s="97" t="n"/>
      <c r="Q24" s="97" t="n"/>
      <c r="R24" s="97" t="n"/>
      <c r="S24" s="97" t="n"/>
      <c r="T24" s="176" t="n"/>
    </row>
    <row r="25" ht="10.5" customHeight="1" s="426" thickBot="1">
      <c r="A25" s="200" t="n"/>
      <c r="B25" s="330" t="inlineStr">
        <is>
          <t>Defect ID</t>
        </is>
      </c>
      <c r="C25" s="474" t="n"/>
      <c r="D25" s="475" t="n"/>
      <c r="E25" s="178" t="n"/>
      <c r="F25" s="179" t="n"/>
      <c r="G25" s="179" t="n"/>
      <c r="H25" s="179" t="n"/>
      <c r="I25" s="179" t="n"/>
      <c r="J25" s="179" t="n"/>
      <c r="K25" s="179" t="n"/>
      <c r="L25" s="179" t="n"/>
      <c r="M25" s="179" t="n"/>
      <c r="N25" s="179" t="n"/>
      <c r="O25" s="179" t="n"/>
      <c r="P25" s="179" t="n"/>
      <c r="Q25" s="179" t="n"/>
      <c r="R25" s="179" t="n"/>
      <c r="S25" s="179" t="n"/>
      <c r="T25" s="180" t="n"/>
    </row>
    <row r="26" ht="10.5" customHeight="1" s="426" thickTop="1">
      <c r="A26" s="164" t="n"/>
    </row>
  </sheetData>
  <mergeCells count="27">
    <mergeCell ref="B23:D23"/>
    <mergeCell ref="F2:K2"/>
    <mergeCell ref="A6:B6"/>
    <mergeCell ref="C4:D4"/>
    <mergeCell ref="L4:T4"/>
    <mergeCell ref="C2:E2"/>
    <mergeCell ref="A7:B7"/>
    <mergeCell ref="C7:E7"/>
    <mergeCell ref="L6:N6"/>
    <mergeCell ref="A3:B3"/>
    <mergeCell ref="B24:D24"/>
    <mergeCell ref="A2:B2"/>
    <mergeCell ref="A5:B5"/>
    <mergeCell ref="C3:E3"/>
    <mergeCell ref="F4:K4"/>
    <mergeCell ref="O7:T7"/>
    <mergeCell ref="B25:D25"/>
    <mergeCell ref="C6:E6"/>
    <mergeCell ref="A4:B4"/>
    <mergeCell ref="L2:T2"/>
    <mergeCell ref="O6:T6"/>
    <mergeCell ref="F6:K6"/>
    <mergeCell ref="B22:D22"/>
    <mergeCell ref="C5:T5"/>
    <mergeCell ref="F7:K7"/>
    <mergeCell ref="L3:T3"/>
    <mergeCell ref="F3:K3"/>
  </mergeCells>
  <pageMargins left="0.75" right="0.75" top="0.75" bottom="0.75" header="0.5" footer="0.5"/>
  <pageSetup orientation="portrait" paperSize="9" horizontalDpi="300" verticalDpi="300"/>
  <legacyDrawing xmlns:r="http://schemas.openxmlformats.org/officeDocument/2006/relationships" r:id="anysvml"/>
</worksheet>
</file>

<file path=xl/worksheets/sheet46.xml><?xml version="1.0" encoding="utf-8"?>
<worksheet xmlns="http://schemas.openxmlformats.org/spreadsheetml/2006/main">
  <sheetPr>
    <outlinePr summaryBelow="1" summaryRight="1"/>
    <pageSetUpPr/>
  </sheetPr>
  <dimension ref="A1:V26"/>
  <sheetViews>
    <sheetView workbookViewId="0">
      <selection activeCell="A1" sqref="A1"/>
    </sheetView>
  </sheetViews>
  <sheetFormatPr baseColWidth="8" defaultColWidth="9" defaultRowHeight="13.5" customHeight="1"/>
  <cols>
    <col width="8.1796875" customWidth="1" style="69" min="1" max="1"/>
    <col width="13.453125" customWidth="1" style="73" min="2" max="2"/>
    <col width="10.81640625" customWidth="1" style="69" min="3" max="3"/>
    <col width="11.453125" customWidth="1" style="413" min="4" max="4"/>
    <col hidden="1" width="1.81640625" customWidth="1" style="69" min="5" max="5"/>
    <col width="2.81640625" bestFit="1" customWidth="1" style="69" min="6" max="7"/>
    <col width="2.81640625" customWidth="1" style="69" min="8" max="8"/>
    <col width="2.81640625" bestFit="1" customWidth="1" style="69" min="9" max="10"/>
    <col width="2.81640625" customWidth="1" style="69" min="11"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f>'Function List'!E76</f>
        <v/>
      </c>
      <c r="D2" s="439" t="n"/>
      <c r="E2" s="441" t="n"/>
      <c r="F2" s="442" t="inlineStr">
        <is>
          <t>Function Name</t>
        </is>
      </c>
      <c r="G2" s="439" t="n"/>
      <c r="H2" s="439" t="n"/>
      <c r="I2" s="439" t="n"/>
      <c r="J2" s="439" t="n"/>
      <c r="K2" s="441" t="n"/>
      <c r="L2" s="443">
        <f>'Function List'!D76</f>
        <v/>
      </c>
      <c r="M2" s="439" t="n"/>
      <c r="N2" s="439" t="n"/>
      <c r="O2" s="439" t="n"/>
      <c r="P2" s="439" t="n"/>
      <c r="Q2" s="439" t="n"/>
      <c r="R2" s="439" t="n"/>
      <c r="S2" s="439" t="n"/>
      <c r="T2" s="444" t="n"/>
      <c r="V2" s="71" t="n"/>
    </row>
    <row r="3" ht="13.5" customHeight="1" s="426">
      <c r="A3" s="445" t="inlineStr">
        <is>
          <t>Created By</t>
        </is>
      </c>
      <c r="B3" s="428" t="n"/>
      <c r="C3" s="446" t="inlineStr">
        <is>
          <t>Codex</t>
        </is>
      </c>
      <c r="D3" s="433" t="n"/>
      <c r="E3" s="447" t="n"/>
      <c r="F3" s="448" t="inlineStr">
        <is>
          <t>Executed By</t>
        </is>
      </c>
      <c r="G3" s="449" t="n"/>
      <c r="H3" s="449" t="n"/>
      <c r="I3" s="449" t="n"/>
      <c r="J3" s="449" t="n"/>
      <c r="K3" s="450" t="n"/>
      <c r="L3" s="451" t="inlineStr">
        <is>
          <t>Codex (Jest)</t>
        </is>
      </c>
      <c r="M3" s="449" t="n"/>
      <c r="N3" s="449" t="n"/>
      <c r="O3" s="449" t="n"/>
      <c r="P3" s="449" t="n"/>
      <c r="Q3" s="449" t="n"/>
      <c r="R3" s="449" t="n"/>
      <c r="S3" s="449" t="n"/>
      <c r="T3" s="452" t="n"/>
    </row>
    <row r="4" ht="13.5" customHeight="1" s="426">
      <c r="A4" s="445" t="inlineStr">
        <is>
          <t>Lines  of code</t>
        </is>
      </c>
      <c r="B4" s="428" t="n"/>
      <c r="C4" s="327" t="n">
        <v>15</v>
      </c>
      <c r="D4" s="427" t="n"/>
      <c r="E4" s="328" t="n"/>
      <c r="F4" s="448" t="inlineStr">
        <is>
          <t>Lack of test cases</t>
        </is>
      </c>
      <c r="G4" s="449" t="n"/>
      <c r="H4" s="449" t="n"/>
      <c r="I4" s="449" t="n"/>
      <c r="J4" s="449" t="n"/>
      <c r="K4" s="450" t="n"/>
      <c r="L4" s="453" t="n">
        <v>0</v>
      </c>
      <c r="M4" s="454" t="n"/>
      <c r="N4" s="454" t="n"/>
      <c r="O4" s="454" t="n"/>
      <c r="P4" s="454" t="n"/>
      <c r="Q4" s="454" t="n"/>
      <c r="R4" s="454" t="n"/>
      <c r="S4" s="454" t="n"/>
      <c r="T4" s="455" t="n"/>
      <c r="V4" s="71" t="n"/>
    </row>
    <row r="5" ht="13.5" customHeight="1" s="426">
      <c r="A5" s="445" t="inlineStr">
        <is>
          <t>Test requirement</t>
        </is>
      </c>
      <c r="B5" s="428" t="n"/>
      <c r="C5" s="337" t="inlineStr">
        <is>
          <t>Controller-level unit coverage for auditSpec based on current NestJS code.</t>
        </is>
      </c>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461" t="inlineStr">
        <is>
          <t>N/A/B</t>
        </is>
      </c>
      <c r="M6" s="427" t="n"/>
      <c r="N6" s="460" t="n"/>
      <c r="O6" s="462" t="inlineStr">
        <is>
          <t>Total Test Cases</t>
        </is>
      </c>
      <c r="P6" s="427" t="n"/>
      <c r="Q6" s="427" t="n"/>
      <c r="R6" s="427" t="n"/>
      <c r="S6" s="427" t="n"/>
      <c r="T6" s="463" t="n"/>
      <c r="V6" s="71" t="n"/>
    </row>
    <row r="7" ht="13.5" customHeight="1" s="426" thickBot="1">
      <c r="A7" s="464">
        <f>COUNTIF(F23:HQ23,"P")</f>
        <v/>
      </c>
      <c r="B7" s="465" t="n"/>
      <c r="C7" s="466">
        <f>COUNTIF(F23:HQ23,"F")</f>
        <v/>
      </c>
      <c r="D7" s="467" t="n"/>
      <c r="E7" s="465" t="n"/>
      <c r="F7" s="468">
        <f>SUM(O7,- A7,- C7)</f>
        <v/>
      </c>
      <c r="G7" s="467" t="n"/>
      <c r="H7" s="467" t="n"/>
      <c r="I7" s="467" t="n"/>
      <c r="J7" s="467" t="n"/>
      <c r="K7" s="469" t="n"/>
      <c r="L7" s="342">
        <f>COUNTIF(E22:HQ22,"N")</f>
        <v/>
      </c>
      <c r="M7" s="342">
        <f>COUNTIF(E22:HQ22,"A")</f>
        <v/>
      </c>
      <c r="N7" s="342">
        <f>COUNTIF(E22:HQ22,"B")</f>
        <v/>
      </c>
      <c r="O7" s="470">
        <f>COUNTA(E9:HT9)</f>
        <v/>
      </c>
      <c r="P7" s="467" t="n"/>
      <c r="Q7" s="467" t="n"/>
      <c r="R7" s="467" t="n"/>
      <c r="S7" s="467" t="n"/>
      <c r="T7" s="471" t="n"/>
      <c r="U7" s="72" t="n"/>
    </row>
    <row r="8" ht="10.5" customHeight="1" s="426" thickBot="1"/>
    <row r="9" ht="46.5" customHeight="1" s="426" thickBot="1" thickTop="1">
      <c r="A9" s="201" t="n"/>
      <c r="B9" s="202" t="n"/>
      <c r="C9" s="203" t="n"/>
      <c r="D9" s="204" t="n"/>
      <c r="E9" s="203" t="n"/>
      <c r="F9" s="238" t="inlineStr">
        <is>
          <t>UTCID01</t>
        </is>
      </c>
      <c r="G9" s="238" t="inlineStr">
        <is>
          <t>UTCID02</t>
        </is>
      </c>
      <c r="H9" s="238" t="inlineStr">
        <is>
          <t>UTCID03</t>
        </is>
      </c>
      <c r="I9" s="236" t="n"/>
      <c r="J9" s="236" t="n"/>
      <c r="K9" s="205" t="n"/>
      <c r="L9" s="205" t="n"/>
      <c r="M9" s="205" t="n"/>
      <c r="N9" s="205" t="n"/>
      <c r="O9" s="205" t="n"/>
      <c r="P9" s="205" t="n"/>
      <c r="Q9" s="205" t="n"/>
      <c r="R9" s="205" t="n"/>
      <c r="S9" s="205" t="n"/>
      <c r="T9" s="206" t="n"/>
      <c r="U9" s="74" t="n"/>
      <c r="V9" s="71" t="n"/>
    </row>
    <row r="10" ht="13.5" customHeight="1" s="426">
      <c r="A10" s="183" t="inlineStr">
        <is>
          <t>Condition</t>
        </is>
      </c>
      <c r="B10" s="184" t="inlineStr">
        <is>
          <t>Precondition / Input</t>
        </is>
      </c>
      <c r="C10" s="185" t="n"/>
      <c r="D10" s="186" t="n"/>
      <c r="E10" s="80" t="n"/>
      <c r="F10" s="149" t="n"/>
      <c r="G10" s="149" t="n"/>
      <c r="H10" s="149" t="n"/>
      <c r="I10" s="149" t="n"/>
      <c r="J10" s="149" t="n"/>
      <c r="K10" s="149" t="n"/>
      <c r="L10" s="149" t="n"/>
      <c r="M10" s="149" t="n"/>
      <c r="N10" s="149" t="n"/>
      <c r="O10" s="149" t="n"/>
      <c r="P10" s="149" t="n"/>
      <c r="Q10" s="149" t="n"/>
      <c r="R10" s="149" t="n"/>
      <c r="S10" s="149" t="n"/>
      <c r="T10" s="172" t="n"/>
    </row>
    <row r="11" ht="13.5" customHeight="1" s="426">
      <c r="A11" s="171" t="n"/>
      <c r="B11" s="75" t="n"/>
      <c r="C11" s="76" t="n"/>
      <c r="D11" s="77" t="inlineStr">
        <is>
          <t>Authenticated admin/staff user context available</t>
        </is>
      </c>
      <c r="E11" s="80" t="n"/>
      <c r="F11" s="148" t="inlineStr">
        <is>
          <t>O</t>
        </is>
      </c>
      <c r="G11" s="148" t="inlineStr">
        <is>
          <t>O</t>
        </is>
      </c>
      <c r="H11" s="148" t="inlineStr">
        <is>
          <t>O</t>
        </is>
      </c>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auditDto.action = APPROVE</t>
        </is>
      </c>
      <c r="E12" s="80" t="n"/>
      <c r="F12" s="148" t="inlineStr">
        <is>
          <t>O</t>
        </is>
      </c>
      <c r="G12" s="148" t="n"/>
      <c r="H12" s="148" t="n"/>
      <c r="I12" s="148" t="n"/>
      <c r="J12" s="148" t="n"/>
      <c r="K12" s="148" t="n"/>
      <c r="L12" s="148" t="n"/>
      <c r="M12" s="148" t="n"/>
      <c r="N12" s="148" t="n"/>
      <c r="O12" s="148" t="n"/>
      <c r="P12" s="148" t="n"/>
      <c r="Q12" s="148" t="n"/>
      <c r="R12" s="148" t="n"/>
      <c r="S12" s="148" t="n"/>
      <c r="T12" s="170" t="n"/>
      <c r="V12" s="71" t="n"/>
    </row>
    <row r="13" ht="13.5" customHeight="1" s="426">
      <c r="A13" s="171" t="n"/>
      <c r="B13" s="75" t="n"/>
      <c r="C13" s="76" t="n"/>
      <c r="D13" s="77" t="inlineStr">
        <is>
          <t>auditDto.action = REJECT with non-empty reason</t>
        </is>
      </c>
      <c r="E13" s="80" t="n"/>
      <c r="F13" s="148" t="n"/>
      <c r="G13" s="148" t="inlineStr">
        <is>
          <t>O</t>
        </is>
      </c>
      <c r="H13" s="148" t="n"/>
      <c r="I13" s="148" t="n"/>
      <c r="J13" s="148" t="n"/>
      <c r="K13" s="148" t="n"/>
      <c r="L13" s="148" t="n"/>
      <c r="M13" s="148" t="n"/>
      <c r="N13" s="148" t="n"/>
      <c r="O13" s="148" t="n"/>
      <c r="P13" s="148" t="n"/>
      <c r="Q13" s="148" t="n"/>
      <c r="R13" s="148" t="n"/>
      <c r="S13" s="148" t="n"/>
      <c r="T13" s="170" t="n"/>
      <c r="V13" s="71" t="n"/>
    </row>
    <row r="14" ht="13.5" customHeight="1" s="426" thickBot="1">
      <c r="A14" s="171" t="n"/>
      <c r="B14" s="75" t="n"/>
      <c r="C14" s="76" t="n"/>
      <c r="D14" s="77" t="inlineStr">
        <is>
          <t>auditDto.action = REJECT without reason</t>
        </is>
      </c>
      <c r="E14" s="80" t="n"/>
      <c r="F14" s="148" t="n"/>
      <c r="G14" s="148" t="n"/>
      <c r="H14" s="148" t="inlineStr">
        <is>
          <t>O</t>
        </is>
      </c>
      <c r="I14" s="148" t="n"/>
      <c r="J14" s="148" t="n"/>
      <c r="K14" s="148" t="n"/>
      <c r="L14" s="148" t="n"/>
      <c r="M14" s="148" t="n"/>
      <c r="N14" s="148" t="n"/>
      <c r="O14" s="148" t="n"/>
      <c r="P14" s="148" t="n"/>
      <c r="Q14" s="148" t="n"/>
      <c r="R14" s="148" t="n"/>
      <c r="S14" s="148" t="n"/>
      <c r="T14" s="170" t="n"/>
    </row>
    <row r="15" ht="13.5" customHeight="1" s="426">
      <c r="A15" s="182" t="inlineStr">
        <is>
          <t>Confirm</t>
        </is>
      </c>
      <c r="B15" s="83" t="inlineStr">
        <is>
          <t>Expected Output</t>
        </is>
      </c>
      <c r="C15" s="84" t="n"/>
      <c r="D15" s="85" t="n"/>
      <c r="E15" s="86" t="n"/>
      <c r="F15" s="149" t="n"/>
      <c r="G15" s="149" t="n"/>
      <c r="H15" s="149" t="n"/>
      <c r="I15" s="149" t="n"/>
      <c r="J15" s="149" t="n"/>
      <c r="K15" s="149" t="n"/>
      <c r="L15" s="149" t="n"/>
      <c r="M15" s="149" t="n"/>
      <c r="N15" s="149" t="n"/>
      <c r="O15" s="149" t="n"/>
      <c r="P15" s="149" t="n"/>
      <c r="Q15" s="149" t="n"/>
      <c r="R15" s="149" t="n"/>
      <c r="S15" s="149" t="n"/>
      <c r="T15" s="172" t="n"/>
    </row>
    <row r="16" ht="13.5" customHeight="1" s="426">
      <c r="A16" s="181" t="n"/>
      <c r="B16" s="88" t="n"/>
      <c r="C16" s="89" t="n"/>
      <c r="D16" s="90" t="inlineStr">
        <is>
          <t>Call approveSpec and return approved result</t>
        </is>
      </c>
      <c r="E16" s="91" t="n"/>
      <c r="F16" s="148" t="inlineStr">
        <is>
          <t>O</t>
        </is>
      </c>
      <c r="G16" s="148" t="n"/>
      <c r="H16" s="148" t="n"/>
      <c r="I16" s="148" t="n"/>
      <c r="J16" s="148" t="n"/>
      <c r="K16" s="148" t="n"/>
      <c r="L16" s="148" t="n"/>
      <c r="M16" s="148" t="n"/>
      <c r="N16" s="148" t="n"/>
      <c r="O16" s="148" t="n"/>
      <c r="P16" s="148" t="n"/>
      <c r="Q16" s="148" t="n"/>
      <c r="R16" s="148" t="n"/>
      <c r="S16" s="148" t="n"/>
      <c r="T16" s="170" t="n"/>
    </row>
    <row r="17" ht="13.5" customHeight="1" s="426">
      <c r="A17" s="181" t="n"/>
      <c r="B17" s="88" t="n"/>
      <c r="C17" s="150" t="n"/>
      <c r="D17" s="90" t="inlineStr">
        <is>
          <t>Call rejectSpec with reason and return rejected result</t>
        </is>
      </c>
      <c r="E17" s="93" t="n"/>
      <c r="F17" s="148" t="n"/>
      <c r="G17" s="148" t="inlineStr">
        <is>
          <t>O</t>
        </is>
      </c>
      <c r="H17" s="148" t="n"/>
      <c r="I17" s="148" t="n"/>
      <c r="J17" s="148" t="n"/>
      <c r="K17" s="148" t="n"/>
      <c r="L17" s="148" t="n"/>
      <c r="M17" s="148" t="n"/>
      <c r="N17" s="148" t="n"/>
      <c r="O17" s="148" t="n"/>
      <c r="P17" s="148" t="n"/>
      <c r="Q17" s="148" t="n"/>
      <c r="R17" s="148" t="n"/>
      <c r="S17" s="148" t="n"/>
      <c r="T17" s="170" t="n"/>
    </row>
    <row r="18" ht="13.5" customHeight="1" s="426">
      <c r="A18" s="181" t="n"/>
      <c r="B18" s="88" t="inlineStr">
        <is>
          <t>Exception</t>
        </is>
      </c>
      <c r="C18" s="150" t="n"/>
      <c r="D18" s="90" t="n"/>
      <c r="E18" s="93" t="n"/>
      <c r="F18" s="148" t="n"/>
      <c r="G18" s="148" t="n"/>
      <c r="H18" s="148" t="n"/>
      <c r="I18" s="148" t="n"/>
      <c r="J18" s="148" t="n"/>
      <c r="K18" s="148" t="n"/>
      <c r="L18" s="148" t="n"/>
      <c r="M18" s="148" t="n"/>
      <c r="N18" s="148" t="n"/>
      <c r="O18" s="148" t="n"/>
      <c r="P18" s="148" t="n"/>
      <c r="Q18" s="148" t="n"/>
      <c r="R18" s="148" t="n"/>
      <c r="S18" s="148" t="n"/>
      <c r="T18" s="170" t="n"/>
    </row>
    <row r="19" ht="13.5" customHeight="1" s="426">
      <c r="A19" s="181" t="n"/>
      <c r="B19" s="88" t="n"/>
      <c r="C19" s="150" t="n"/>
      <c r="D19" s="90" t="inlineStr">
        <is>
          <t>Throw BadRequestException when REJECT is sent without reason</t>
        </is>
      </c>
      <c r="E19" s="93" t="n"/>
      <c r="F19" s="148" t="n"/>
      <c r="G19" s="148" t="n"/>
      <c r="H19" s="148" t="inlineStr">
        <is>
          <t>O</t>
        </is>
      </c>
      <c r="I19" s="148" t="n"/>
      <c r="J19" s="148" t="n"/>
      <c r="K19" s="148" t="n"/>
      <c r="L19" s="148" t="n"/>
      <c r="M19" s="148" t="n"/>
      <c r="N19" s="148" t="n"/>
      <c r="O19" s="148" t="n"/>
      <c r="P19" s="148" t="n"/>
      <c r="Q19" s="148" t="n"/>
      <c r="R19" s="148" t="n"/>
      <c r="S19" s="148" t="n"/>
      <c r="T19" s="170" t="n"/>
    </row>
    <row r="20" ht="13.5" customHeight="1" s="426">
      <c r="A20" s="181" t="n"/>
      <c r="B20" s="88" t="inlineStr">
        <is>
          <t>Verification</t>
        </is>
      </c>
      <c r="C20" s="150" t="n"/>
      <c r="D20" s="90" t="n"/>
      <c r="E20" s="93" t="n"/>
      <c r="F20" s="148" t="n"/>
      <c r="G20" s="148" t="n"/>
      <c r="H20" s="148" t="n"/>
      <c r="I20" s="148" t="n"/>
      <c r="J20" s="148" t="n"/>
      <c r="K20" s="148" t="n"/>
      <c r="L20" s="148" t="n"/>
      <c r="M20" s="148" t="n"/>
      <c r="N20" s="148" t="n"/>
      <c r="O20" s="148" t="n"/>
      <c r="P20" s="148" t="n"/>
      <c r="Q20" s="148" t="n"/>
      <c r="R20" s="148" t="n"/>
      <c r="S20" s="148" t="n"/>
      <c r="T20" s="170" t="n"/>
    </row>
    <row r="21" ht="13.5" customHeight="1" s="426" thickBot="1">
      <c r="A21" s="181" t="n"/>
      <c r="B21" s="88" t="n"/>
      <c r="C21" s="150" t="n"/>
      <c r="D21" s="90" t="inlineStr">
        <is>
          <t>Only the matching service path is called for each action</t>
        </is>
      </c>
      <c r="E21" s="93" t="n"/>
      <c r="F21" s="148" t="inlineStr">
        <is>
          <t>O</t>
        </is>
      </c>
      <c r="G21" s="148" t="inlineStr">
        <is>
          <t>O</t>
        </is>
      </c>
      <c r="H21" s="148" t="inlineStr">
        <is>
          <t>O</t>
        </is>
      </c>
      <c r="I21" s="148" t="n"/>
      <c r="J21" s="148" t="n"/>
      <c r="K21" s="148" t="n"/>
      <c r="L21" s="148" t="n"/>
      <c r="M21" s="148" t="n"/>
      <c r="N21" s="148" t="n"/>
      <c r="O21" s="148" t="n"/>
      <c r="P21" s="148" t="n"/>
      <c r="Q21" s="148" t="n"/>
      <c r="R21" s="148" t="n"/>
      <c r="S21" s="148" t="n"/>
      <c r="T21" s="170" t="n"/>
    </row>
    <row r="22" ht="13.5" customHeight="1" s="426" thickTop="1">
      <c r="A22" s="182" t="inlineStr">
        <is>
          <t>Result</t>
        </is>
      </c>
      <c r="B22" s="331" t="inlineStr">
        <is>
          <t>Type(N : Normal, A : Abnormal, B : Boundary)</t>
        </is>
      </c>
      <c r="C22" s="472" t="n"/>
      <c r="D22" s="473" t="n"/>
      <c r="E22" s="331" t="n"/>
      <c r="F22" s="163" t="inlineStr">
        <is>
          <t>N</t>
        </is>
      </c>
      <c r="G22" s="163" t="inlineStr">
        <is>
          <t>N</t>
        </is>
      </c>
      <c r="H22" s="163" t="inlineStr">
        <is>
          <t>A</t>
        </is>
      </c>
      <c r="I22" s="163" t="n"/>
      <c r="J22" s="163" t="n"/>
      <c r="K22" s="163" t="n"/>
      <c r="L22" s="163" t="n"/>
      <c r="M22" s="163" t="n"/>
      <c r="N22" s="163" t="n"/>
      <c r="O22" s="163" t="n"/>
      <c r="P22" s="163" t="n"/>
      <c r="Q22" s="163" t="n"/>
      <c r="R22" s="163" t="n"/>
      <c r="S22" s="163" t="n"/>
      <c r="T22" s="173" t="n"/>
    </row>
    <row r="23" ht="13.5" customHeight="1" s="426">
      <c r="A23" s="181" t="n"/>
      <c r="B23" s="320" t="inlineStr">
        <is>
          <t>Passed/Failed</t>
        </is>
      </c>
      <c r="C23" s="449" t="n"/>
      <c r="D23" s="450" t="n"/>
      <c r="E23" s="95" t="n"/>
      <c r="F23" s="151" t="inlineStr">
        <is>
          <t>P</t>
        </is>
      </c>
      <c r="G23" s="151" t="inlineStr">
        <is>
          <t>P</t>
        </is>
      </c>
      <c r="H23" s="151" t="inlineStr">
        <is>
          <t>P</t>
        </is>
      </c>
      <c r="I23" s="151" t="n"/>
      <c r="J23" s="151" t="n"/>
      <c r="K23" s="151" t="n"/>
      <c r="L23" s="151" t="n"/>
      <c r="M23" s="151" t="n"/>
      <c r="N23" s="151" t="n"/>
      <c r="O23" s="151" t="n"/>
      <c r="P23" s="151" t="n"/>
      <c r="Q23" s="151" t="n"/>
      <c r="R23" s="151" t="n"/>
      <c r="S23" s="151" t="n"/>
      <c r="T23" s="175" t="n"/>
    </row>
    <row r="24" ht="64.5" customHeight="1" s="426">
      <c r="A24" s="181" t="n"/>
      <c r="B24" s="329" t="inlineStr">
        <is>
          <t>Executed Date</t>
        </is>
      </c>
      <c r="C24" s="449" t="n"/>
      <c r="D24" s="450" t="n"/>
      <c r="E24" s="96" t="n"/>
      <c r="F24" s="97" t="n">
        <v>46110</v>
      </c>
      <c r="G24" s="97" t="n">
        <v>46110</v>
      </c>
      <c r="H24" s="97" t="n">
        <v>46110</v>
      </c>
      <c r="I24" s="97" t="n"/>
      <c r="J24" s="97" t="n"/>
      <c r="K24" s="97" t="n"/>
      <c r="L24" s="97" t="n"/>
      <c r="M24" s="97" t="n"/>
      <c r="N24" s="97" t="n"/>
      <c r="O24" s="97" t="n"/>
      <c r="P24" s="97" t="n"/>
      <c r="Q24" s="97" t="n"/>
      <c r="R24" s="97" t="n"/>
      <c r="S24" s="97" t="n"/>
      <c r="T24" s="176" t="n"/>
    </row>
    <row r="25" ht="10.5" customHeight="1" s="426" thickBot="1">
      <c r="A25" s="200" t="n"/>
      <c r="B25" s="330" t="inlineStr">
        <is>
          <t>Defect ID</t>
        </is>
      </c>
      <c r="C25" s="474" t="n"/>
      <c r="D25" s="475" t="n"/>
      <c r="E25" s="178" t="n"/>
      <c r="F25" s="179" t="n"/>
      <c r="G25" s="179" t="n"/>
      <c r="H25" s="179" t="n"/>
      <c r="I25" s="179" t="n"/>
      <c r="J25" s="179" t="n"/>
      <c r="K25" s="179" t="n"/>
      <c r="L25" s="179" t="n"/>
      <c r="M25" s="179" t="n"/>
      <c r="N25" s="179" t="n"/>
      <c r="O25" s="179" t="n"/>
      <c r="P25" s="179" t="n"/>
      <c r="Q25" s="179" t="n"/>
      <c r="R25" s="179" t="n"/>
      <c r="S25" s="179" t="n"/>
      <c r="T25" s="180" t="n"/>
    </row>
    <row r="26" ht="10.5" customHeight="1" s="426" thickTop="1">
      <c r="A26" s="164" t="n"/>
    </row>
  </sheetData>
  <mergeCells count="27">
    <mergeCell ref="B23:D23"/>
    <mergeCell ref="F2:K2"/>
    <mergeCell ref="A6:B6"/>
    <mergeCell ref="C4:D4"/>
    <mergeCell ref="L4:T4"/>
    <mergeCell ref="C2:E2"/>
    <mergeCell ref="A7:B7"/>
    <mergeCell ref="C7:E7"/>
    <mergeCell ref="L6:N6"/>
    <mergeCell ref="A3:B3"/>
    <mergeCell ref="B24:D24"/>
    <mergeCell ref="A2:B2"/>
    <mergeCell ref="A5:B5"/>
    <mergeCell ref="C3:E3"/>
    <mergeCell ref="F4:K4"/>
    <mergeCell ref="O7:T7"/>
    <mergeCell ref="B25:D25"/>
    <mergeCell ref="C6:E6"/>
    <mergeCell ref="A4:B4"/>
    <mergeCell ref="L2:T2"/>
    <mergeCell ref="O6:T6"/>
    <mergeCell ref="F6:K6"/>
    <mergeCell ref="B22:D22"/>
    <mergeCell ref="C5:T5"/>
    <mergeCell ref="F7:K7"/>
    <mergeCell ref="L3:T3"/>
    <mergeCell ref="F3:K3"/>
  </mergeCells>
  <pageMargins left="0.75" right="0.75" top="0.75" bottom="0.75" header="0.5" footer="0.5"/>
  <pageSetup orientation="portrait" paperSize="9" horizontalDpi="300" verticalDpi="30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Nguyen Hoang Anh</dc:creator>
  <dcterms:created xsi:type="dcterms:W3CDTF">2007-10-09T09:39:48Z</dcterms:created>
  <dcterms:modified xsi:type="dcterms:W3CDTF">2026-03-29T03:11:40Z</dcterms:modified>
  <cp:lastModifiedBy>Nguyen Duy</cp:lastModifiedBy>
</cp:coreProperties>
</file>